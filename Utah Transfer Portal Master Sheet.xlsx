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ah Roster and Grades" sheetId="1" r:id="rId4"/>
    <sheet state="visible" name="QB Sheet" sheetId="2" r:id="rId5"/>
    <sheet state="visible" name="RB Sheet" sheetId="3" r:id="rId6"/>
    <sheet state="visible" name="WR Sheet" sheetId="4" r:id="rId7"/>
    <sheet state="visible" name="TE Sheet" sheetId="5" r:id="rId8"/>
    <sheet state="visible" name="OT Sheet" sheetId="6" r:id="rId9"/>
    <sheet state="visible" name="IOL Sheet" sheetId="7" r:id="rId10"/>
    <sheet state="visible" name="CB Sheet" sheetId="8" r:id="rId11"/>
    <sheet state="visible" name="DB Sheet" sheetId="9" r:id="rId12"/>
    <sheet state="visible" name="Conference Match" sheetId="10" r:id="rId13"/>
  </sheets>
  <externalReferences>
    <externalReference r:id="rId14"/>
  </externalReferences>
  <definedNames>
    <definedName hidden="1" localSheetId="1" name="_xlnm._FilterDatabase">'QB Sheet'!$A$1:$AD$423</definedName>
    <definedName hidden="1" localSheetId="2" name="_xlnm._FilterDatabase">'RB Sheet'!$A$1:$Z$143</definedName>
    <definedName hidden="1" localSheetId="3" name="_xlnm._FilterDatabase">'WR Sheet'!$A$1:$Z$268</definedName>
    <definedName hidden="1" localSheetId="4" name="_xlnm._FilterDatabase">'TE Sheet'!$A$1:$AB$41</definedName>
    <definedName hidden="1" localSheetId="5" name="_xlnm._FilterDatabase">'OT Sheet'!$A$2:$X$77</definedName>
    <definedName hidden="1" localSheetId="6" name="_xlnm._FilterDatabase">'IOL Sheet'!$A$2:$W$89</definedName>
    <definedName hidden="1" localSheetId="7" name="_xlnm._FilterDatabase">'CB Sheet'!$A$1:$AA$126</definedName>
    <definedName hidden="1" localSheetId="8" name="_xlnm._FilterDatabase">'DB Sheet'!$A$1:$AA$88</definedName>
  </definedNames>
  <calcPr/>
  <extLst>
    <ext uri="GoogleSheetsCustomDataVersion2">
      <go:sheetsCustomData xmlns:go="http://customooxmlschemas.google.com/" r:id="rId15" roundtripDataChecksum="eeVmHtRTdvL+M5O1UdChrdFlA8QxP7ufgbe64TjF98M="/>
    </ext>
  </extLst>
</workbook>
</file>

<file path=xl/sharedStrings.xml><?xml version="1.0" encoding="utf-8"?>
<sst xmlns="http://schemas.openxmlformats.org/spreadsheetml/2006/main" count="5131" uniqueCount="1670">
  <si>
    <t>Offense Two Deep</t>
  </si>
  <si>
    <t>WR-X</t>
  </si>
  <si>
    <t>Left Tackle</t>
  </si>
  <si>
    <t>Left Guard</t>
  </si>
  <si>
    <t>Center</t>
  </si>
  <si>
    <t>Right Guard</t>
  </si>
  <si>
    <t>Right Tackle</t>
  </si>
  <si>
    <t>WR-Z</t>
  </si>
  <si>
    <t>Tight End</t>
  </si>
  <si>
    <t>Tobias Merriweather</t>
  </si>
  <si>
    <t>Caleb Lomu</t>
  </si>
  <si>
    <t>Tanoa Togiai</t>
  </si>
  <si>
    <t>Jaren Kump</t>
  </si>
  <si>
    <t>Michael Mokofisi</t>
  </si>
  <si>
    <t>Spencer Fano</t>
  </si>
  <si>
    <t>Ryan Davis</t>
  </si>
  <si>
    <t>Creed Whittmore</t>
  </si>
  <si>
    <t>WR-Slot</t>
  </si>
  <si>
    <t>Zereoue Williams</t>
  </si>
  <si>
    <t>Reece Parenter</t>
  </si>
  <si>
    <t>Alex Harrison</t>
  </si>
  <si>
    <t>Keith Olson</t>
  </si>
  <si>
    <t>Isaiah Garcia</t>
  </si>
  <si>
    <t>Dallen Bentley</t>
  </si>
  <si>
    <t>Larry Simmons</t>
  </si>
  <si>
    <t>Lander Barton</t>
  </si>
  <si>
    <t>JJ Buchanan</t>
  </si>
  <si>
    <t>Smith Snowden</t>
  </si>
  <si>
    <t>Quarterback</t>
  </si>
  <si>
    <t>Running Back</t>
  </si>
  <si>
    <t>Devon Dampier</t>
  </si>
  <si>
    <t>Wayshawn Parker</t>
  </si>
  <si>
    <t>Byrd Ficklin</t>
  </si>
  <si>
    <t>NaQuari Rogers</t>
  </si>
  <si>
    <t>Isaac Wilson</t>
  </si>
  <si>
    <t>Bryce Duke</t>
  </si>
  <si>
    <t>Daniel Bray</t>
  </si>
  <si>
    <t>Defense Two Deep</t>
  </si>
  <si>
    <t>CB</t>
  </si>
  <si>
    <t>Left Defensive End</t>
  </si>
  <si>
    <t>Left Defensive Tackle</t>
  </si>
  <si>
    <t>Right Defensive Tackle</t>
  </si>
  <si>
    <t>Right Defensive End</t>
  </si>
  <si>
    <t>Blake Cotton</t>
  </si>
  <si>
    <t>Logan Fano</t>
  </si>
  <si>
    <t>Jonah Lea'ea</t>
  </si>
  <si>
    <t>Aliki Vimahi</t>
  </si>
  <si>
    <t>John Henry Daley</t>
  </si>
  <si>
    <t>Elijah Davis</t>
  </si>
  <si>
    <t>Don Saunders</t>
  </si>
  <si>
    <t>Nickel CB</t>
  </si>
  <si>
    <t>Kash Dillon</t>
  </si>
  <si>
    <t>Pupu Sepulona</t>
  </si>
  <si>
    <t>Karson Kaufusi</t>
  </si>
  <si>
    <t>Lance Holtzclaw</t>
  </si>
  <si>
    <t>JC Hart</t>
  </si>
  <si>
    <t>LaTristan Thompson</t>
  </si>
  <si>
    <t>WILL LB</t>
  </si>
  <si>
    <t>MIKE LB</t>
  </si>
  <si>
    <t>Johnathan Hall</t>
  </si>
  <si>
    <t>Trey Reynolds</t>
  </si>
  <si>
    <t>Levani Damuni</t>
  </si>
  <si>
    <t>Cyrus Polu</t>
  </si>
  <si>
    <t>Free Safety</t>
  </si>
  <si>
    <t>Strong Safety</t>
  </si>
  <si>
    <t>Jackson Bennee</t>
  </si>
  <si>
    <t>Tao Johnson</t>
  </si>
  <si>
    <t>Nate Tilmon</t>
  </si>
  <si>
    <t>Nate Ritchie</t>
  </si>
  <si>
    <t>Ashton Olevao</t>
  </si>
  <si>
    <t>Rabbit Evans</t>
  </si>
  <si>
    <t>Name</t>
  </si>
  <si>
    <t>Team</t>
  </si>
  <si>
    <t>#</t>
  </si>
  <si>
    <t>POS</t>
  </si>
  <si>
    <t>CONF</t>
  </si>
  <si>
    <t>DB</t>
  </si>
  <si>
    <t>ATT</t>
  </si>
  <si>
    <t>COMP</t>
  </si>
  <si>
    <t>COMP%</t>
  </si>
  <si>
    <t>PASS YDS</t>
  </si>
  <si>
    <t>PASS YPA</t>
  </si>
  <si>
    <t>PASS TD</t>
  </si>
  <si>
    <t>INT</t>
  </si>
  <si>
    <t>SK</t>
  </si>
  <si>
    <t>TWP</t>
  </si>
  <si>
    <t>Game Score</t>
  </si>
  <si>
    <t>Normalized Game Score</t>
  </si>
  <si>
    <t>Average Value</t>
  </si>
  <si>
    <t>Film Grade</t>
  </si>
  <si>
    <t>Differential</t>
  </si>
  <si>
    <t>Conference Modifier</t>
  </si>
  <si>
    <t>Adjusted Game Score</t>
  </si>
  <si>
    <t>Normalized Adjusted Game Score</t>
  </si>
  <si>
    <t>FCS Prospect Percentile</t>
  </si>
  <si>
    <t>G5 Prospect Percentile</t>
  </si>
  <si>
    <t>P4 Prospect Percentile</t>
  </si>
  <si>
    <t>Brendan Sorsby</t>
  </si>
  <si>
    <t>QB</t>
  </si>
  <si>
    <t>Big 12</t>
  </si>
  <si>
    <t>Jaden Craig</t>
  </si>
  <si>
    <t>HARVARD</t>
  </si>
  <si>
    <t>Ivy</t>
  </si>
  <si>
    <t>Jax Leatherwood</t>
  </si>
  <si>
    <t>SE MO ST</t>
  </si>
  <si>
    <t>Big South - OVC Football Association</t>
  </si>
  <si>
    <t>Dylan Raiola</t>
  </si>
  <si>
    <t>NEBRASKA</t>
  </si>
  <si>
    <t>Big Ten</t>
  </si>
  <si>
    <t>Wyatt Bower</t>
  </si>
  <si>
    <t>FERRIS ST</t>
  </si>
  <si>
    <t>Ferris State</t>
  </si>
  <si>
    <t>Ean Rodrigue</t>
  </si>
  <si>
    <t>NICHOLLS</t>
  </si>
  <si>
    <t>Southland</t>
  </si>
  <si>
    <t>Colton Joseph</t>
  </si>
  <si>
    <t>DOMINION</t>
  </si>
  <si>
    <t>Sun Belt</t>
  </si>
  <si>
    <t>UTAH</t>
  </si>
  <si>
    <t>Trey Hedden</t>
  </si>
  <si>
    <t>FURMAN</t>
  </si>
  <si>
    <t>Southern</t>
  </si>
  <si>
    <t>Collin Hurst</t>
  </si>
  <si>
    <t>PRESBYTERN</t>
  </si>
  <si>
    <t>Pioneer</t>
  </si>
  <si>
    <t>Dean DeNobile</t>
  </si>
  <si>
    <t>LAFAYETTE</t>
  </si>
  <si>
    <t>Patriot</t>
  </si>
  <si>
    <t>Coulter Cleland</t>
  </si>
  <si>
    <t>DAVIDSON</t>
  </si>
  <si>
    <t>Jackson Brousseau</t>
  </si>
  <si>
    <t>COLO STATE</t>
  </si>
  <si>
    <t>MWC</t>
  </si>
  <si>
    <t>Eli Holstein</t>
  </si>
  <si>
    <t>PITTSBURGH</t>
  </si>
  <si>
    <t>ACC</t>
  </si>
  <si>
    <t>Jared Lockhart</t>
  </si>
  <si>
    <t>JACKSON ST</t>
  </si>
  <si>
    <t>SWAC</t>
  </si>
  <si>
    <t>Liam O'Brien</t>
  </si>
  <si>
    <t>PENN</t>
  </si>
  <si>
    <t>Johnny Weber</t>
  </si>
  <si>
    <t>Amari Odom</t>
  </si>
  <si>
    <t>KENNESAW</t>
  </si>
  <si>
    <t>C-USA</t>
  </si>
  <si>
    <t>Grant Jordan</t>
  </si>
  <si>
    <t>UMASS</t>
  </si>
  <si>
    <t>MAC</t>
  </si>
  <si>
    <t>Carson Camp</t>
  </si>
  <si>
    <t>SE LA</t>
  </si>
  <si>
    <t>Sonny Mannino</t>
  </si>
  <si>
    <t>MARIST</t>
  </si>
  <si>
    <t>AJ Hairston</t>
  </si>
  <si>
    <t>Davin Wydner</t>
  </si>
  <si>
    <t>W GEORGIA</t>
  </si>
  <si>
    <t>United Athletic</t>
  </si>
  <si>
    <t>Brandon Tennison</t>
  </si>
  <si>
    <t>UTSA</t>
  </si>
  <si>
    <t>The American</t>
  </si>
  <si>
    <t>Brayden Fowler-Nicolosi</t>
  </si>
  <si>
    <t>Taron Dickens</t>
  </si>
  <si>
    <t>W CAROLINA</t>
  </si>
  <si>
    <t>Drew Mestemaker</t>
  </si>
  <si>
    <t>N TEXAS</t>
  </si>
  <si>
    <t>Darian Mensah</t>
  </si>
  <si>
    <t>DUKE</t>
  </si>
  <si>
    <t>Fernando Mendoza</t>
  </si>
  <si>
    <t>INDIANA</t>
  </si>
  <si>
    <t>Braden Atkinson</t>
  </si>
  <si>
    <t>MERCER</t>
  </si>
  <si>
    <t>Beau Brungard</t>
  </si>
  <si>
    <t>YNGTOWN ST</t>
  </si>
  <si>
    <t>Missouri Valley</t>
  </si>
  <si>
    <t>Julian Sayin</t>
  </si>
  <si>
    <t>OHIO STATE</t>
  </si>
  <si>
    <t>Eddie Lee Marburger</t>
  </si>
  <si>
    <t>TXGV</t>
  </si>
  <si>
    <t>Derek Robertson</t>
  </si>
  <si>
    <t>MONMOUTH</t>
  </si>
  <si>
    <t>CAA</t>
  </si>
  <si>
    <t>Ty Simpson</t>
  </si>
  <si>
    <t>ALABAMA</t>
  </si>
  <si>
    <t>SEC</t>
  </si>
  <si>
    <t>Byrum Brown</t>
  </si>
  <si>
    <t>USF</t>
  </si>
  <si>
    <t>Sawyer Robertson</t>
  </si>
  <si>
    <t>BAYLOR</t>
  </si>
  <si>
    <t>Ty Pennington</t>
  </si>
  <si>
    <t>N ARIZONA</t>
  </si>
  <si>
    <t>Big Sky</t>
  </si>
  <si>
    <t>Victor Gabalis</t>
  </si>
  <si>
    <t>TARLETON</t>
  </si>
  <si>
    <t>Jayden Maiava</t>
  </si>
  <si>
    <t>USC</t>
  </si>
  <si>
    <t>Tommy Rittenhouse</t>
  </si>
  <si>
    <t>ILL STATE</t>
  </si>
  <si>
    <t>Pat McQuaide</t>
  </si>
  <si>
    <t>VILLANOVA</t>
  </si>
  <si>
    <t>Chris Parson</t>
  </si>
  <si>
    <t>AUSTINPEAY</t>
  </si>
  <si>
    <t>Kekoa Visperas</t>
  </si>
  <si>
    <t>TENN TECH</t>
  </si>
  <si>
    <t>Andrew Body</t>
  </si>
  <si>
    <t>ALABAMA ST</t>
  </si>
  <si>
    <t>Noah Fifita</t>
  </si>
  <si>
    <t>ARIZONA</t>
  </si>
  <si>
    <t>Keali'i Ah Yat</t>
  </si>
  <si>
    <t>MONTANA</t>
  </si>
  <si>
    <t>Brady Olson</t>
  </si>
  <si>
    <t>CENT CT ST</t>
  </si>
  <si>
    <t>Northeast</t>
  </si>
  <si>
    <t>Arch Manning</t>
  </si>
  <si>
    <t>TEXAS</t>
  </si>
  <si>
    <t>Behren Morton</t>
  </si>
  <si>
    <t>TEXAS TECH</t>
  </si>
  <si>
    <t>Cole Payton</t>
  </si>
  <si>
    <t>N DAK ST</t>
  </si>
  <si>
    <t>Owen McCown</t>
  </si>
  <si>
    <t>CJ Carr</t>
  </si>
  <si>
    <t>NOTRE DAME</t>
  </si>
  <si>
    <t>IND (FBS)</t>
  </si>
  <si>
    <t>Josh Hoover</t>
  </si>
  <si>
    <t>TCU</t>
  </si>
  <si>
    <t>Devin Farrell</t>
  </si>
  <si>
    <t>RHODE ISLD</t>
  </si>
  <si>
    <t>Dante Moore</t>
  </si>
  <si>
    <t>OREGON</t>
  </si>
  <si>
    <t>Justin Lamson</t>
  </si>
  <si>
    <t>MONTANA ST</t>
  </si>
  <si>
    <t>DJ Williams</t>
  </si>
  <si>
    <t>S ILLINOIS</t>
  </si>
  <si>
    <t>Nick Minicucci</t>
  </si>
  <si>
    <t>DELAWARE</t>
  </si>
  <si>
    <t>Joey Aguilar</t>
  </si>
  <si>
    <t>TENNESSEE</t>
  </si>
  <si>
    <t>Anthony Colandrea</t>
  </si>
  <si>
    <t>UNLV</t>
  </si>
  <si>
    <t>Braylon Braxton</t>
  </si>
  <si>
    <t>SO MISS</t>
  </si>
  <si>
    <t>Demond Williams Jr.</t>
  </si>
  <si>
    <t>WASHINGTON</t>
  </si>
  <si>
    <t>Walker Harris</t>
  </si>
  <si>
    <t>NC CENT</t>
  </si>
  <si>
    <t>MEAC</t>
  </si>
  <si>
    <t>Katin Houser</t>
  </si>
  <si>
    <t>E CAROLINA</t>
  </si>
  <si>
    <t>Marcel Reed</t>
  </si>
  <si>
    <t>TEXAS A&amp;M</t>
  </si>
  <si>
    <t>Caden Pinnick</t>
  </si>
  <si>
    <t>UC DAVIS</t>
  </si>
  <si>
    <t>Jalon Daniels</t>
  </si>
  <si>
    <t>KANSAS</t>
  </si>
  <si>
    <t>CJ Bailey</t>
  </si>
  <si>
    <t>NC STATE</t>
  </si>
  <si>
    <t>Bryce Schondelmyer</t>
  </si>
  <si>
    <t>DAYTON</t>
  </si>
  <si>
    <t>Gunner Stockton</t>
  </si>
  <si>
    <t>GEORGIA</t>
  </si>
  <si>
    <t>William Atkins IV</t>
  </si>
  <si>
    <t>SCAR STATE</t>
  </si>
  <si>
    <t>Dru DeShields</t>
  </si>
  <si>
    <t>KENT STATE</t>
  </si>
  <si>
    <t>Tyler Hughes</t>
  </si>
  <si>
    <t>WM &amp; MARY</t>
  </si>
  <si>
    <t>Aidan Bouman</t>
  </si>
  <si>
    <t>S DAKOTA</t>
  </si>
  <si>
    <t>Brad Jackson</t>
  </si>
  <si>
    <t>TEXAS ST</t>
  </si>
  <si>
    <t>Athan Kaliakmanis</t>
  </si>
  <si>
    <t>RUTGERS</t>
  </si>
  <si>
    <t>Jerry Kaminski</t>
  </si>
  <si>
    <t>N DAKOTA</t>
  </si>
  <si>
    <t>Matt Vezza</t>
  </si>
  <si>
    <t>NEW HAMP</t>
  </si>
  <si>
    <t>Stone Earle</t>
  </si>
  <si>
    <t>ABILENE CH</t>
  </si>
  <si>
    <t>Micah Alejado</t>
  </si>
  <si>
    <t>HAWAII</t>
  </si>
  <si>
    <t>Hayden Johnson</t>
  </si>
  <si>
    <t>LEHIGH</t>
  </si>
  <si>
    <t>Tyler Riddell</t>
  </si>
  <si>
    <t>DUQUESNE</t>
  </si>
  <si>
    <t>Andy Peters</t>
  </si>
  <si>
    <t>STTHOM</t>
  </si>
  <si>
    <t>JC French IV</t>
  </si>
  <si>
    <t>GA SOUTHRN</t>
  </si>
  <si>
    <t>Alonza Barnett III</t>
  </si>
  <si>
    <t>JAMES MAD</t>
  </si>
  <si>
    <t>Chase Mason</t>
  </si>
  <si>
    <t>S DAK ST</t>
  </si>
  <si>
    <t>Cameron Peters</t>
  </si>
  <si>
    <t>PRVIEW A&amp;M</t>
  </si>
  <si>
    <t>Carlos Del Rio-Wilson</t>
  </si>
  <si>
    <t>MARSHALL</t>
  </si>
  <si>
    <t>Jake Retzlaff</t>
  </si>
  <si>
    <t>TULANE</t>
  </si>
  <si>
    <t>Sam Vidlak</t>
  </si>
  <si>
    <t>STF AUSTIN</t>
  </si>
  <si>
    <t>Tucker Gleason</t>
  </si>
  <si>
    <t>TOLEDO</t>
  </si>
  <si>
    <t>Jacob Clark</t>
  </si>
  <si>
    <t>MO STATE</t>
  </si>
  <si>
    <t>Cason Carswell</t>
  </si>
  <si>
    <t>W ILLINOIS</t>
  </si>
  <si>
    <t>Walker Eget</t>
  </si>
  <si>
    <t>S JOSE ST</t>
  </si>
  <si>
    <t>Bear Bachmeier</t>
  </si>
  <si>
    <t>BYU</t>
  </si>
  <si>
    <t>Landen Clark</t>
  </si>
  <si>
    <t>ELON</t>
  </si>
  <si>
    <t>Malik Washington</t>
  </si>
  <si>
    <t>MARYLAND</t>
  </si>
  <si>
    <t>Brendon Lewis</t>
  </si>
  <si>
    <t>MEMPHIS</t>
  </si>
  <si>
    <t>Andrew Indorf</t>
  </si>
  <si>
    <t>TOWSON</t>
  </si>
  <si>
    <t>Dom Nankil</t>
  </si>
  <si>
    <t>SAN DIEGO</t>
  </si>
  <si>
    <t>Jake Stearney</t>
  </si>
  <si>
    <t>COLGATE</t>
  </si>
  <si>
    <t>Dante Reno</t>
  </si>
  <si>
    <t>YALE</t>
  </si>
  <si>
    <t>Jordan Cooke</t>
  </si>
  <si>
    <t>IDAHO ST</t>
  </si>
  <si>
    <t>Bronson Barron</t>
  </si>
  <si>
    <t>SO UTAH</t>
  </si>
  <si>
    <t>Jaron-Keawe Sagapolutele</t>
  </si>
  <si>
    <t>CAL</t>
  </si>
  <si>
    <t>Avery Johnson</t>
  </si>
  <si>
    <t>KANSAS ST</t>
  </si>
  <si>
    <t>Taylen Green</t>
  </si>
  <si>
    <t>ARKANSAS</t>
  </si>
  <si>
    <t>Noah Kim</t>
  </si>
  <si>
    <t>E MICHIGAN</t>
  </si>
  <si>
    <t>Miller Moss</t>
  </si>
  <si>
    <t>LOUISVILLE</t>
  </si>
  <si>
    <t>Jaylon Tolbert</t>
  </si>
  <si>
    <t>ALCORN ST</t>
  </si>
  <si>
    <t>Jase Bauer</t>
  </si>
  <si>
    <t>TENN MARTN</t>
  </si>
  <si>
    <t>EJ Colson</t>
  </si>
  <si>
    <t>INCAR WORD</t>
  </si>
  <si>
    <t>Nate Hampton</t>
  </si>
  <si>
    <t>GARD-WEBB</t>
  </si>
  <si>
    <t>Nicholas Vattiato</t>
  </si>
  <si>
    <t>MIDDLE TN</t>
  </si>
  <si>
    <t>Cameran Brown</t>
  </si>
  <si>
    <t>GA STATE</t>
  </si>
  <si>
    <t>Drake Lindsey</t>
  </si>
  <si>
    <t>MINNESOTA</t>
  </si>
  <si>
    <t>Dylan Lonergan</t>
  </si>
  <si>
    <t>BOSTON COL</t>
  </si>
  <si>
    <t>Zolten Osborne</t>
  </si>
  <si>
    <t>CHARLES SO</t>
  </si>
  <si>
    <t>Jaylen Raynor</t>
  </si>
  <si>
    <t>ARK STATE</t>
  </si>
  <si>
    <t>Collin Shannon</t>
  </si>
  <si>
    <t>VA MILT IN</t>
  </si>
  <si>
    <t>Daniel Greek</t>
  </si>
  <si>
    <t>Joshua Wood</t>
  </si>
  <si>
    <t>IDAHO</t>
  </si>
  <si>
    <t>Otto Kuhns</t>
  </si>
  <si>
    <t>NORFOLK</t>
  </si>
  <si>
    <t>JaCobian Morgan</t>
  </si>
  <si>
    <t>Sam Leavitt</t>
  </si>
  <si>
    <t>ARIZONA ST</t>
  </si>
  <si>
    <t>Carter Peevy</t>
  </si>
  <si>
    <t>MAINE</t>
  </si>
  <si>
    <t>Steve Angeli</t>
  </si>
  <si>
    <t>SYRACUSE</t>
  </si>
  <si>
    <t>Ralph Rucker IV</t>
  </si>
  <si>
    <t>BUCKNELL</t>
  </si>
  <si>
    <t>Kamden Sixkiller</t>
  </si>
  <si>
    <t>CAMPBELL</t>
  </si>
  <si>
    <t>Nate Glantz</t>
  </si>
  <si>
    <t>LNDNWD</t>
  </si>
  <si>
    <t>Cornelious Brown IV</t>
  </si>
  <si>
    <t>ALAB A&amp;M</t>
  </si>
  <si>
    <t>Cam'Ron Ransom</t>
  </si>
  <si>
    <t>BETH COOK</t>
  </si>
  <si>
    <t>Mason Heintschel</t>
  </si>
  <si>
    <t>LaNorris Sellers</t>
  </si>
  <si>
    <t>S CAROLINA</t>
  </si>
  <si>
    <t>Carter Cravens</t>
  </si>
  <si>
    <t>MOREHEAD</t>
  </si>
  <si>
    <t>Baylor Hayes</t>
  </si>
  <si>
    <t>TULSA</t>
  </si>
  <si>
    <t>Maddux Madsen</t>
  </si>
  <si>
    <t>BOISE ST</t>
  </si>
  <si>
    <t>Joe Labas</t>
  </si>
  <si>
    <t>C MICHIGAN</t>
  </si>
  <si>
    <t>Jacolby Criswell</t>
  </si>
  <si>
    <t>E TENN ST</t>
  </si>
  <si>
    <t>Jack O'Connell</t>
  </si>
  <si>
    <t>STHLSK</t>
  </si>
  <si>
    <t>Zach Osborne</t>
  </si>
  <si>
    <t>JJ Kohl</t>
  </si>
  <si>
    <t>APP STATE</t>
  </si>
  <si>
    <t>Zach Tanner</t>
  </si>
  <si>
    <t>ROB MORRIS</t>
  </si>
  <si>
    <t>Timmy McClain</t>
  </si>
  <si>
    <t>Alessio Milivojevic</t>
  </si>
  <si>
    <t>MICH STATE</t>
  </si>
  <si>
    <t>Bryce Underwood</t>
  </si>
  <si>
    <t>MICHIGAN</t>
  </si>
  <si>
    <t>Kyron Drones</t>
  </si>
  <si>
    <t>VA TECH</t>
  </si>
  <si>
    <t>Broc Lowry</t>
  </si>
  <si>
    <t>W MICHIGAN</t>
  </si>
  <si>
    <t>Ta'Quan Roberson</t>
  </si>
  <si>
    <t>BUFFALO</t>
  </si>
  <si>
    <t>Aidan Chiles</t>
  </si>
  <si>
    <t>Blake Horvath</t>
  </si>
  <si>
    <t>NAVY</t>
  </si>
  <si>
    <t>KJ Cooper</t>
  </si>
  <si>
    <t>TEXAS STHN</t>
  </si>
  <si>
    <t>Nico Iamaleava</t>
  </si>
  <si>
    <t>UCLA</t>
  </si>
  <si>
    <t>Bishop Davenport</t>
  </si>
  <si>
    <t>S ALABAMA</t>
  </si>
  <si>
    <t>Cardell Williams</t>
  </si>
  <si>
    <t>SACRAMENTO</t>
  </si>
  <si>
    <t>Jack Layne</t>
  </si>
  <si>
    <t>NEW MEXICO</t>
  </si>
  <si>
    <t>Tucker Kilcrease</t>
  </si>
  <si>
    <t>TROY</t>
  </si>
  <si>
    <t>Reagan Andrew</t>
  </si>
  <si>
    <t>BUTLER</t>
  </si>
  <si>
    <t>John Mateer</t>
  </si>
  <si>
    <t>OKLAHOMA</t>
  </si>
  <si>
    <t>Keyone Jenkins</t>
  </si>
  <si>
    <t>FIU</t>
  </si>
  <si>
    <t>Liam Szarka</t>
  </si>
  <si>
    <t>AIR FORCE</t>
  </si>
  <si>
    <t>Aaron Philo</t>
  </si>
  <si>
    <t>GA TECH</t>
  </si>
  <si>
    <t>Kyle Wickersham</t>
  </si>
  <si>
    <t>RICHMOND</t>
  </si>
  <si>
    <t>Parker Navarro</t>
  </si>
  <si>
    <t>OHIO</t>
  </si>
  <si>
    <t>Gio Lopez</t>
  </si>
  <si>
    <t>N CAROLINA</t>
  </si>
  <si>
    <t>Christian Peters</t>
  </si>
  <si>
    <t>ARKAPB</t>
  </si>
  <si>
    <t>Destin Wade</t>
  </si>
  <si>
    <t>N ALABAMA</t>
  </si>
  <si>
    <t>Tayven Jackson</t>
  </si>
  <si>
    <t>UCF</t>
  </si>
  <si>
    <t>Keegan Patterson</t>
  </si>
  <si>
    <t>INDIANA ST</t>
  </si>
  <si>
    <t>Alberto Mendoza</t>
  </si>
  <si>
    <t>Goose Crowder</t>
  </si>
  <si>
    <t>James Murphy</t>
  </si>
  <si>
    <t>BROWN</t>
  </si>
  <si>
    <t>Caden Creel</t>
  </si>
  <si>
    <t>JVILLE ST</t>
  </si>
  <si>
    <t>Drew Allar</t>
  </si>
  <si>
    <t>PENN STATE</t>
  </si>
  <si>
    <t>Quentin Hayes</t>
  </si>
  <si>
    <t>CITADEL</t>
  </si>
  <si>
    <t>Kai Colon</t>
  </si>
  <si>
    <t>PRINCETON</t>
  </si>
  <si>
    <t>Cutter Boley</t>
  </si>
  <si>
    <t>KENTUCKY</t>
  </si>
  <si>
    <t>TJ Lateef</t>
  </si>
  <si>
    <t>Logan Inagawa</t>
  </si>
  <si>
    <t>DRAKE</t>
  </si>
  <si>
    <t>Amari Powell</t>
  </si>
  <si>
    <t>Adam Urena</t>
  </si>
  <si>
    <t>MERCYHURST</t>
  </si>
  <si>
    <t>Grayson Saunier</t>
  </si>
  <si>
    <t>DARTMOUTH</t>
  </si>
  <si>
    <t>Aidan Armenta</t>
  </si>
  <si>
    <t>LA MONROE</t>
  </si>
  <si>
    <t>C'zavian Teasett</t>
  </si>
  <si>
    <t>GRAMBLING</t>
  </si>
  <si>
    <t>Jack Shields</t>
  </si>
  <si>
    <t>ALBANY</t>
  </si>
  <si>
    <t>Beau Pribula</t>
  </si>
  <si>
    <t>MISSOURI</t>
  </si>
  <si>
    <t>Chase Jenkins</t>
  </si>
  <si>
    <t>RICE</t>
  </si>
  <si>
    <t>Cole Pennington</t>
  </si>
  <si>
    <t>Aiden McCown</t>
  </si>
  <si>
    <t>LAMAR</t>
  </si>
  <si>
    <t>Josh Johnson</t>
  </si>
  <si>
    <t>Garrett Bass-Sulpizio</t>
  </si>
  <si>
    <t>CORNELL</t>
  </si>
  <si>
    <t>Josh Brown</t>
  </si>
  <si>
    <t>MS VLY ST</t>
  </si>
  <si>
    <t>Byron McNair</t>
  </si>
  <si>
    <t>TENN STATE</t>
  </si>
  <si>
    <t>Camden Orth</t>
  </si>
  <si>
    <t>CHATTNOOGA</t>
  </si>
  <si>
    <t>DJ Lagway</t>
  </si>
  <si>
    <t>FLORIDA</t>
  </si>
  <si>
    <t>Connor Wolf</t>
  </si>
  <si>
    <t>E ILLINOIS</t>
  </si>
  <si>
    <t>Austin Myers</t>
  </si>
  <si>
    <t>CENT ARK</t>
  </si>
  <si>
    <t>Gunnar Smith</t>
  </si>
  <si>
    <t>FORDHAM</t>
  </si>
  <si>
    <t>Eric Gibson Jr.</t>
  </si>
  <si>
    <t>N COLORADO</t>
  </si>
  <si>
    <t>Zevi Eckhaus</t>
  </si>
  <si>
    <t>WASH STATE</t>
  </si>
  <si>
    <t>Pac-12</t>
  </si>
  <si>
    <t>Davis Harsin</t>
  </si>
  <si>
    <t>Kaidon Salter</t>
  </si>
  <si>
    <t>COLORADO</t>
  </si>
  <si>
    <t>Jackson Arnold</t>
  </si>
  <si>
    <t>AUBURN</t>
  </si>
  <si>
    <t>Rodney Tisdale Jr.</t>
  </si>
  <si>
    <t>W KENTUCKY</t>
  </si>
  <si>
    <t>Nathan Hayes</t>
  </si>
  <si>
    <t>Kyle Lowe</t>
  </si>
  <si>
    <t>Lunch Winfield</t>
  </si>
  <si>
    <t>LA LAFAYET</t>
  </si>
  <si>
    <t>Danny Lauter</t>
  </si>
  <si>
    <t>GEORGETOWN</t>
  </si>
  <si>
    <t>Preston Stone</t>
  </si>
  <si>
    <t>NWESTERN</t>
  </si>
  <si>
    <t>Bo Kelly</t>
  </si>
  <si>
    <t>CAL POLY</t>
  </si>
  <si>
    <t>Jayden Denegal</t>
  </si>
  <si>
    <t>S DIEGO ST</t>
  </si>
  <si>
    <t>Kaden Anderson</t>
  </si>
  <si>
    <t>WYOMING</t>
  </si>
  <si>
    <t>Blake Baker</t>
  </si>
  <si>
    <t>LA TECH</t>
  </si>
  <si>
    <t>Ron Peace</t>
  </si>
  <si>
    <t>TXAMCO</t>
  </si>
  <si>
    <t>Grayson James</t>
  </si>
  <si>
    <t>Mark Gronowski</t>
  </si>
  <si>
    <t>IOWA</t>
  </si>
  <si>
    <t>Cobey Thompkins</t>
  </si>
  <si>
    <t>Kevin White</t>
  </si>
  <si>
    <t>NC A&amp;T</t>
  </si>
  <si>
    <t>Anthony Grigsby Jr.</t>
  </si>
  <si>
    <t>Kalieb Osborne</t>
  </si>
  <si>
    <t>Kiael Kelly</t>
  </si>
  <si>
    <t>BALL ST</t>
  </si>
  <si>
    <t>Ryan Stubblefield</t>
  </si>
  <si>
    <t>Conner Harrell</t>
  </si>
  <si>
    <t>CHARLOTTE</t>
  </si>
  <si>
    <t>Eric Handley</t>
  </si>
  <si>
    <t>Eric Rodriguez</t>
  </si>
  <si>
    <t>Quincy Crittendon</t>
  </si>
  <si>
    <t>SAMFORD</t>
  </si>
  <si>
    <t>Ethan Grunkemeyer</t>
  </si>
  <si>
    <t>Chris Zellous</t>
  </si>
  <si>
    <t>STNY BROOK</t>
  </si>
  <si>
    <t>Jayden Sauray</t>
  </si>
  <si>
    <t>DELWARE ST</t>
  </si>
  <si>
    <t>Samari Collier</t>
  </si>
  <si>
    <t>COAST CAR</t>
  </si>
  <si>
    <t>Cade McNamara</t>
  </si>
  <si>
    <t>Scotty Fox Jr.</t>
  </si>
  <si>
    <t>W VIRGINIA</t>
  </si>
  <si>
    <t>Dexter Williams II</t>
  </si>
  <si>
    <t>Gavin Rutherford</t>
  </si>
  <si>
    <t>Deshawn Purdie</t>
  </si>
  <si>
    <t>WAKE</t>
  </si>
  <si>
    <t>Joe Pesansky</t>
  </si>
  <si>
    <t>Maalik Murphy</t>
  </si>
  <si>
    <t>OREGON ST</t>
  </si>
  <si>
    <t>Cam'Ron McCoy</t>
  </si>
  <si>
    <t>SOUTHERN U</t>
  </si>
  <si>
    <t>Mike Chandler II</t>
  </si>
  <si>
    <t>Logan Fife</t>
  </si>
  <si>
    <t>NEW MEX ST</t>
  </si>
  <si>
    <t>William Watson</t>
  </si>
  <si>
    <t>Virginia Tech</t>
  </si>
  <si>
    <t>Elijah Brown</t>
  </si>
  <si>
    <t>STANFORD</t>
  </si>
  <si>
    <t>Elijah Owens</t>
  </si>
  <si>
    <t>Ethan Vasko</t>
  </si>
  <si>
    <t>LIBERTY</t>
  </si>
  <si>
    <t>Gevani McCoy</t>
  </si>
  <si>
    <t>TEMPLE</t>
  </si>
  <si>
    <t>Malachi Singleton</t>
  </si>
  <si>
    <t>PURDUE</t>
  </si>
  <si>
    <t>AJ Swann</t>
  </si>
  <si>
    <t>Michael Merdinger</t>
  </si>
  <si>
    <t>Skyler Locklear</t>
  </si>
  <si>
    <t>UTEP</t>
  </si>
  <si>
    <t>Max Cutforth</t>
  </si>
  <si>
    <t>Ben Gulbranson</t>
  </si>
  <si>
    <t>Ashten Snelsire</t>
  </si>
  <si>
    <t>Kael Alexander</t>
  </si>
  <si>
    <t>STETSON</t>
  </si>
  <si>
    <t>Luther Richesson</t>
  </si>
  <si>
    <t>Cal Swanson</t>
  </si>
  <si>
    <t>HOLY CROSS</t>
  </si>
  <si>
    <t>Kobe Muasau</t>
  </si>
  <si>
    <t>MORGAN ST</t>
  </si>
  <si>
    <t>Ethan Drumm</t>
  </si>
  <si>
    <t>WOFFORD</t>
  </si>
  <si>
    <t>Jake Merklinger</t>
  </si>
  <si>
    <t>Tyler Voss</t>
  </si>
  <si>
    <t>Matthew Schecklman</t>
  </si>
  <si>
    <t>N IOWA</t>
  </si>
  <si>
    <t>Deuce Bailey</t>
  </si>
  <si>
    <t>Jacob Conover</t>
  </si>
  <si>
    <t>UTAH ST</t>
  </si>
  <si>
    <t>Ryan Browne</t>
  </si>
  <si>
    <t>Chase Spellman</t>
  </si>
  <si>
    <t>Ryder Burton</t>
  </si>
  <si>
    <t>UAB</t>
  </si>
  <si>
    <t>Jake Schakel</t>
  </si>
  <si>
    <t>E WASHGTON</t>
  </si>
  <si>
    <t>Maddox Kopp</t>
  </si>
  <si>
    <t>HOUCHR</t>
  </si>
  <si>
    <t>Will Burns</t>
  </si>
  <si>
    <t>Hunter Watson</t>
  </si>
  <si>
    <t>SM HOUSTON</t>
  </si>
  <si>
    <t>Brennan Myer</t>
  </si>
  <si>
    <t>BRYANT</t>
  </si>
  <si>
    <t>Luke Weaver</t>
  </si>
  <si>
    <t>Jaxon Potter</t>
  </si>
  <si>
    <t>Chris Irvin</t>
  </si>
  <si>
    <t>Austin Simmons</t>
  </si>
  <si>
    <t>OLE MISS</t>
  </si>
  <si>
    <t>Kaiden Bennett</t>
  </si>
  <si>
    <t>Michael Hawkins Jr.</t>
  </si>
  <si>
    <t>Baxter Wright</t>
  </si>
  <si>
    <t>MURRAY ST</t>
  </si>
  <si>
    <t>Dez Thomas II</t>
  </si>
  <si>
    <t>Nate Bell</t>
  </si>
  <si>
    <t>Tyriq Starks</t>
  </si>
  <si>
    <t>HOWARD</t>
  </si>
  <si>
    <t>Cale Hellums</t>
  </si>
  <si>
    <t>ARMY</t>
  </si>
  <si>
    <t>Ashton Strother</t>
  </si>
  <si>
    <t>Angel Flores</t>
  </si>
  <si>
    <t>Jayden Whitaker</t>
  </si>
  <si>
    <t>Jaden Keefner</t>
  </si>
  <si>
    <t>Ty Dieffenbach</t>
  </si>
  <si>
    <t>Zion Turner</t>
  </si>
  <si>
    <t>Tramell Jones Jr.</t>
  </si>
  <si>
    <t>Nicco Marchiol</t>
  </si>
  <si>
    <t>John Alan Richter</t>
  </si>
  <si>
    <t>Drew VanVleet</t>
  </si>
  <si>
    <t>Caleb Sanchez</t>
  </si>
  <si>
    <t>COLUMBIA</t>
  </si>
  <si>
    <t>Jordan Barton</t>
  </si>
  <si>
    <t>WAGNER</t>
  </si>
  <si>
    <t>Chase Goodwin</t>
  </si>
  <si>
    <t>Aidan Jakobsohn</t>
  </si>
  <si>
    <t>Tevin Carter</t>
  </si>
  <si>
    <t>Josh Holst</t>
  </si>
  <si>
    <t>N ILLINOIS</t>
  </si>
  <si>
    <t>Christopher Vizzina</t>
  </si>
  <si>
    <t>CLEMSON</t>
  </si>
  <si>
    <t>Tyrese Smith</t>
  </si>
  <si>
    <t>PORTLAND</t>
  </si>
  <si>
    <t>Jake McNamara</t>
  </si>
  <si>
    <t>Daniel Kaelin</t>
  </si>
  <si>
    <t>VIRGINIA</t>
  </si>
  <si>
    <t>Myles Burkett</t>
  </si>
  <si>
    <t>E KENTUCKY</t>
  </si>
  <si>
    <t>Jake Strong</t>
  </si>
  <si>
    <t>MCNEESE</t>
  </si>
  <si>
    <t>Jeff Hoenstine</t>
  </si>
  <si>
    <t>ST FRANCIS</t>
  </si>
  <si>
    <t>Grayson Loftis</t>
  </si>
  <si>
    <t>Ethan Greenwood</t>
  </si>
  <si>
    <t>LIUSHAR</t>
  </si>
  <si>
    <t>Deuce Hogan</t>
  </si>
  <si>
    <t>Dewayne Coleman</t>
  </si>
  <si>
    <t>Landyn Locke</t>
  </si>
  <si>
    <t>Alex Gevaudan</t>
  </si>
  <si>
    <t>Jake Wolfe</t>
  </si>
  <si>
    <t>Eli Anderson</t>
  </si>
  <si>
    <t>NWSTATE</t>
  </si>
  <si>
    <t>Grant Harper</t>
  </si>
  <si>
    <t>Gabe Passini</t>
  </si>
  <si>
    <t>Christian Veilleux</t>
  </si>
  <si>
    <t>CJ Montes</t>
  </si>
  <si>
    <t>Danny O'Neil</t>
  </si>
  <si>
    <t>WISCONSIN</t>
  </si>
  <si>
    <t>Caron Tyler</t>
  </si>
  <si>
    <t>VALPO</t>
  </si>
  <si>
    <t>AJ Hill</t>
  </si>
  <si>
    <t>Ryan Jackson</t>
  </si>
  <si>
    <t>Henry Hesson</t>
  </si>
  <si>
    <t>MIAMI OH</t>
  </si>
  <si>
    <t>Bennett Judy</t>
  </si>
  <si>
    <t>DJ Smith</t>
  </si>
  <si>
    <t>Jaden Rashada</t>
  </si>
  <si>
    <t>Ashton Frye</t>
  </si>
  <si>
    <t>Mabrey Mettauer</t>
  </si>
  <si>
    <t>Jared Taylor</t>
  </si>
  <si>
    <t>Nelson Layne</t>
  </si>
  <si>
    <t>Malachi Nelson</t>
  </si>
  <si>
    <t>Brendan Sullivan</t>
  </si>
  <si>
    <t>Richard Torres</t>
  </si>
  <si>
    <t>Noah Brannock</t>
  </si>
  <si>
    <t>Rowan Keefe</t>
  </si>
  <si>
    <t>Trey Kukuk</t>
  </si>
  <si>
    <t>Julian Calvez</t>
  </si>
  <si>
    <t>Luca Stanzani</t>
  </si>
  <si>
    <t>Isaiah Freeman</t>
  </si>
  <si>
    <t>HAMPTON</t>
  </si>
  <si>
    <t>Robert Coleman</t>
  </si>
  <si>
    <t>Noah Sanders</t>
  </si>
  <si>
    <t>Jack Wagner</t>
  </si>
  <si>
    <t>Brady Stober</t>
  </si>
  <si>
    <t>Colton Fitzgerald</t>
  </si>
  <si>
    <t>Zach Gibson</t>
  </si>
  <si>
    <t>FAU</t>
  </si>
  <si>
    <t>Jordyn Potts</t>
  </si>
  <si>
    <t>Ryan Staub</t>
  </si>
  <si>
    <t>Alex Flores</t>
  </si>
  <si>
    <t>Will O'Dell</t>
  </si>
  <si>
    <t>Lucian Anderson III</t>
  </si>
  <si>
    <t>BOWL GREEN</t>
  </si>
  <si>
    <t>Isaac Lee</t>
  </si>
  <si>
    <t>Cooper Panteck</t>
  </si>
  <si>
    <t>Ari Patu</t>
  </si>
  <si>
    <t>Shaker Reisig</t>
  </si>
  <si>
    <t>Xander Menapace</t>
  </si>
  <si>
    <t>Carter Jones</t>
  </si>
  <si>
    <t>NEVADA</t>
  </si>
  <si>
    <t>Blaine Hipa</t>
  </si>
  <si>
    <t>Zane Flores</t>
  </si>
  <si>
    <t>OKLA STATE</t>
  </si>
  <si>
    <t>Kirk Francis</t>
  </si>
  <si>
    <t>Sam Jackson V</t>
  </si>
  <si>
    <t>Tad Hudson</t>
  </si>
  <si>
    <t>Gabarri Johnson</t>
  </si>
  <si>
    <t>Brock Riddle</t>
  </si>
  <si>
    <t>Ryan Puglisi</t>
  </si>
  <si>
    <t>AJ Bianco</t>
  </si>
  <si>
    <t>Landon Graves</t>
  </si>
  <si>
    <t>Casey Bullock</t>
  </si>
  <si>
    <t>Abram Johnston</t>
  </si>
  <si>
    <t>Gunnar Gray</t>
  </si>
  <si>
    <t>Zach Wilcke</t>
  </si>
  <si>
    <t>Reggie Graff</t>
  </si>
  <si>
    <t>UTAHTC</t>
  </si>
  <si>
    <t>Luke Doty</t>
  </si>
  <si>
    <t>Bronson Barben</t>
  </si>
  <si>
    <t>Jim Ogle</t>
  </si>
  <si>
    <t>Braden Davis</t>
  </si>
  <si>
    <t>Chandler Wilson</t>
  </si>
  <si>
    <t>Michael Johnson Jr.</t>
  </si>
  <si>
    <t>AKRON</t>
  </si>
  <si>
    <t>Gaston Moore</t>
  </si>
  <si>
    <t>Colin Parachek</t>
  </si>
  <si>
    <t>Bryce Patterson</t>
  </si>
  <si>
    <t>Casey Case</t>
  </si>
  <si>
    <t>Gabe Downing</t>
  </si>
  <si>
    <t>Brandon Rose</t>
  </si>
  <si>
    <t>Noah Gillon</t>
  </si>
  <si>
    <t>Ty Englehart</t>
  </si>
  <si>
    <t>Dijon Jennings</t>
  </si>
  <si>
    <t>WEBER ST</t>
  </si>
  <si>
    <t>Cole LaCrue</t>
  </si>
  <si>
    <t>Jarrin Alley</t>
  </si>
  <si>
    <t>Jack Johnson</t>
  </si>
  <si>
    <t>Israel Carter</t>
  </si>
  <si>
    <t>Gunner Chenier</t>
  </si>
  <si>
    <t>Nick Whitfield Jr.</t>
  </si>
  <si>
    <t>Beckham Pellant</t>
  </si>
  <si>
    <t>Khalil Wilkins</t>
  </si>
  <si>
    <t>Evan Bullock</t>
  </si>
  <si>
    <t>Peter Costelli</t>
  </si>
  <si>
    <t>Gavin Rupp</t>
  </si>
  <si>
    <t>DC Tabscott</t>
  </si>
  <si>
    <t>Jake Weir</t>
  </si>
  <si>
    <t>Rickie Collins</t>
  </si>
  <si>
    <t>MJ Morris</t>
  </si>
  <si>
    <t>Chris Stephenson</t>
  </si>
  <si>
    <t>Jackson Akins</t>
  </si>
  <si>
    <t>Ridge Docekal</t>
  </si>
  <si>
    <t>Braden Graham</t>
  </si>
  <si>
    <t>Jaylen Henderson</t>
  </si>
  <si>
    <t>Jett Peddy</t>
  </si>
  <si>
    <t>FL A&amp;M</t>
  </si>
  <si>
    <t>Hunter Simmons</t>
  </si>
  <si>
    <t>Chris Howell</t>
  </si>
  <si>
    <t>Daniel Beale</t>
  </si>
  <si>
    <t>Brady Jones</t>
  </si>
  <si>
    <t>Jackson Gilkey</t>
  </si>
  <si>
    <t>Walker Howard</t>
  </si>
  <si>
    <t>Brady Davidson</t>
  </si>
  <si>
    <t>Brandon Nunez</t>
  </si>
  <si>
    <t>Devin Page</t>
  </si>
  <si>
    <t>Xavier Ward</t>
  </si>
  <si>
    <t>Jonathan Palmer</t>
  </si>
  <si>
    <t>Jack Stevens</t>
  </si>
  <si>
    <t>John-Keawe Sagapolutele</t>
  </si>
  <si>
    <t>Drew Devillier</t>
  </si>
  <si>
    <t>RJ Johnson</t>
  </si>
  <si>
    <t>Raymond Moore III</t>
  </si>
  <si>
    <t>RUN YDS</t>
  </si>
  <si>
    <t>YPC</t>
  </si>
  <si>
    <t>RUN TD</t>
  </si>
  <si>
    <t>Normalized Score</t>
  </si>
  <si>
    <t>Production Modifier</t>
  </si>
  <si>
    <t>Adjusted Score</t>
  </si>
  <si>
    <t>Xai'Shaun Edwards</t>
  </si>
  <si>
    <t>HB</t>
  </si>
  <si>
    <t>Miles Davis</t>
  </si>
  <si>
    <t>Dason Brooks</t>
  </si>
  <si>
    <t>Cam Cook</t>
  </si>
  <si>
    <t>Carson Gresock</t>
  </si>
  <si>
    <t>Nykahi Davenport</t>
  </si>
  <si>
    <t>Ofa Mataele</t>
  </si>
  <si>
    <t>Daelen Alexander</t>
  </si>
  <si>
    <t>Cornell Hatcher Jr.</t>
  </si>
  <si>
    <t>Jeffery Pittman</t>
  </si>
  <si>
    <t>Brady Hensley</t>
  </si>
  <si>
    <t>Caleb Hawkins</t>
  </si>
  <si>
    <t>Telly Johnson Jr.</t>
  </si>
  <si>
    <t>Zylan Perry</t>
  </si>
  <si>
    <t>Dominic Knicely</t>
  </si>
  <si>
    <t>Greg Burrell</t>
  </si>
  <si>
    <t>Jaylen Jennings</t>
  </si>
  <si>
    <t>Lucky Sutton</t>
  </si>
  <si>
    <t>Landan Brown</t>
  </si>
  <si>
    <t>Nick Herman</t>
  </si>
  <si>
    <t>Terron Kellman</t>
  </si>
  <si>
    <t>Gerald Modest</t>
  </si>
  <si>
    <t>Rayshon Luke</t>
  </si>
  <si>
    <t>FRESNO ST</t>
  </si>
  <si>
    <t>Clay Thevenin</t>
  </si>
  <si>
    <t>Wayne Knight</t>
  </si>
  <si>
    <t>Makenzie McGill II</t>
  </si>
  <si>
    <t>Sutton Smith</t>
  </si>
  <si>
    <t>Scottre Humphrey</t>
  </si>
  <si>
    <t>Kente Edwards</t>
  </si>
  <si>
    <t>Will Henderson III</t>
  </si>
  <si>
    <t>London Montgomery</t>
  </si>
  <si>
    <t>Solomon Beebe</t>
  </si>
  <si>
    <t>Jabari Bates</t>
  </si>
  <si>
    <t>Marlon Gunn Jr.</t>
  </si>
  <si>
    <t>Jalen Dupree</t>
  </si>
  <si>
    <t>Trequan Jones</t>
  </si>
  <si>
    <t>Kaden Shields-Dutton</t>
  </si>
  <si>
    <t>Jordan Gant</t>
  </si>
  <si>
    <t>Maurki James</t>
  </si>
  <si>
    <t>Ja'Vin Simpkins</t>
  </si>
  <si>
    <t>Anthony Carrie</t>
  </si>
  <si>
    <t>Lamar Sperling</t>
  </si>
  <si>
    <t>Quinton Jackson</t>
  </si>
  <si>
    <t>DJ Gordon</t>
  </si>
  <si>
    <t>Brock Townsend</t>
  </si>
  <si>
    <t>Trent Battle</t>
  </si>
  <si>
    <t>EJ Oakmon</t>
  </si>
  <si>
    <t>Chris Johnson Jr.</t>
  </si>
  <si>
    <t>SMU</t>
  </si>
  <si>
    <t>Xavier Robinson</t>
  </si>
  <si>
    <t>L.J. Phillips Jr.</t>
  </si>
  <si>
    <t>Joshua Dye</t>
  </si>
  <si>
    <t>Rodney Nelson</t>
  </si>
  <si>
    <t>Harlem Berry</t>
  </si>
  <si>
    <t>LSU</t>
  </si>
  <si>
    <t>Landen Chambers</t>
  </si>
  <si>
    <t>James Jones</t>
  </si>
  <si>
    <t>Eli Gillman</t>
  </si>
  <si>
    <t>Jayvian Allen</t>
  </si>
  <si>
    <t>Luke Yoder</t>
  </si>
  <si>
    <t>David Avit</t>
  </si>
  <si>
    <t>Ness Davis</t>
  </si>
  <si>
    <t>Justin Montgomery</t>
  </si>
  <si>
    <t>O'Shawn Ross Jr.</t>
  </si>
  <si>
    <t>Dylan Riley</t>
  </si>
  <si>
    <t>Quran Gossett</t>
  </si>
  <si>
    <t>Jordon Davison</t>
  </si>
  <si>
    <t>Jimmyll Williams</t>
  </si>
  <si>
    <t>Tre Page III</t>
  </si>
  <si>
    <t>Nick Osho</t>
  </si>
  <si>
    <t>Khamani Robinson</t>
  </si>
  <si>
    <t>Jai'Den Thomas</t>
  </si>
  <si>
    <t>Anthony Reagan Jr.</t>
  </si>
  <si>
    <t>Sawyer Seidl</t>
  </si>
  <si>
    <t>Makhilyn Young</t>
  </si>
  <si>
    <t>VANDERBILT</t>
  </si>
  <si>
    <t>Jaden Green</t>
  </si>
  <si>
    <t>Danny Shaban</t>
  </si>
  <si>
    <t>Quintell Quinn</t>
  </si>
  <si>
    <t>Trey Holly</t>
  </si>
  <si>
    <t>Khobie Martin</t>
  </si>
  <si>
    <t>Ahmad Miller</t>
  </si>
  <si>
    <t>Athean Renfro</t>
  </si>
  <si>
    <t>Sire Gaines</t>
  </si>
  <si>
    <t>Adam Jones</t>
  </si>
  <si>
    <t>Juelz Goff</t>
  </si>
  <si>
    <t>Dylan Edwards</t>
  </si>
  <si>
    <t>Jaylon Spears</t>
  </si>
  <si>
    <t>James Paige</t>
  </si>
  <si>
    <t>Luke Hansen</t>
  </si>
  <si>
    <t>Jordan Fisher</t>
  </si>
  <si>
    <t>Ke'Marion Baldwin</t>
  </si>
  <si>
    <t>Matt Childs</t>
  </si>
  <si>
    <t>Dierre Hill Jr.</t>
  </si>
  <si>
    <t>JJ Cowan</t>
  </si>
  <si>
    <t>Kedrick Reescano</t>
  </si>
  <si>
    <t>Deantre Jackson</t>
  </si>
  <si>
    <t>Damian Henderson II</t>
  </si>
  <si>
    <t>DJ Scott</t>
  </si>
  <si>
    <t>Terion Stewart</t>
  </si>
  <si>
    <t>Hakeem Watters</t>
  </si>
  <si>
    <t>Michael Turner</t>
  </si>
  <si>
    <t>Elijah Jennings</t>
  </si>
  <si>
    <t>Harrison Waylee</t>
  </si>
  <si>
    <t>Steve Chavez-Soto</t>
  </si>
  <si>
    <t>Lloyd Avant</t>
  </si>
  <si>
    <t>Jamarie Hostzclaw</t>
  </si>
  <si>
    <t>Jayden Sumpter</t>
  </si>
  <si>
    <t>Chandler Chapman</t>
  </si>
  <si>
    <t>Xavier Williams</t>
  </si>
  <si>
    <t>Jaquail Smith</t>
  </si>
  <si>
    <t>Carter Vargas</t>
  </si>
  <si>
    <t>Xaviah Bascon</t>
  </si>
  <si>
    <t>Caleb Lewis</t>
  </si>
  <si>
    <t>Rovaughn Banks Jr.</t>
  </si>
  <si>
    <t>Ja'shon Benjamin</t>
  </si>
  <si>
    <t>Tre'Vonte Citizen</t>
  </si>
  <si>
    <t>Travis Terrell Jr.</t>
  </si>
  <si>
    <t>Trey Clark</t>
  </si>
  <si>
    <t>Braylon McReynolds</t>
  </si>
  <si>
    <t>Lee Beebe Jr.</t>
  </si>
  <si>
    <t>Jordon Vaughn</t>
  </si>
  <si>
    <t>Shane Lee</t>
  </si>
  <si>
    <t>Jaziun Patterson</t>
  </si>
  <si>
    <t>Keenan Phillips</t>
  </si>
  <si>
    <t>Braylen Russell</t>
  </si>
  <si>
    <t>Jayden Limar</t>
  </si>
  <si>
    <t>Edward Robinson</t>
  </si>
  <si>
    <t>Justin Williams-Thomas</t>
  </si>
  <si>
    <t>Jordan Washington</t>
  </si>
  <si>
    <t>Aidan Laughery</t>
  </si>
  <si>
    <t>ILLINOIS</t>
  </si>
  <si>
    <t>Jevon Edwards</t>
  </si>
  <si>
    <t>Samuel Harris</t>
  </si>
  <si>
    <t>PJ Martin</t>
  </si>
  <si>
    <t>Eli Sanders</t>
  </si>
  <si>
    <t>Byron Cardwell Jr.</t>
  </si>
  <si>
    <t>Jah'Kei Chavis</t>
  </si>
  <si>
    <t>Peyton Lewis</t>
  </si>
  <si>
    <t>Plez Lawrence</t>
  </si>
  <si>
    <t>Cam Barfield</t>
  </si>
  <si>
    <t>Andre Crews</t>
  </si>
  <si>
    <t>Jaylon Glover</t>
  </si>
  <si>
    <t>Xavier Brown</t>
  </si>
  <si>
    <t>Jalen Berger</t>
  </si>
  <si>
    <t>Adam Mohammed</t>
  </si>
  <si>
    <t>TGT</t>
  </si>
  <si>
    <t>REC</t>
  </si>
  <si>
    <t>REC YDS</t>
  </si>
  <si>
    <t>YPR</t>
  </si>
  <si>
    <t>REC TD</t>
  </si>
  <si>
    <t>Grade Differential</t>
  </si>
  <si>
    <t>Conference Production Modifier</t>
  </si>
  <si>
    <t>Game Score Difference</t>
  </si>
  <si>
    <t>Joseph Griffin</t>
  </si>
  <si>
    <t>WR</t>
  </si>
  <si>
    <t>Ted Hurst</t>
  </si>
  <si>
    <t>Josh Derry</t>
  </si>
  <si>
    <t>Carver Cheeks</t>
  </si>
  <si>
    <t>Jordan Dees</t>
  </si>
  <si>
    <t>Chase Hendricks</t>
  </si>
  <si>
    <t>Danny Scudero</t>
  </si>
  <si>
    <t>Marquis Buchanan</t>
  </si>
  <si>
    <t>Sam Milligan</t>
  </si>
  <si>
    <t>Javon Robinson</t>
  </si>
  <si>
    <t>Rico Bond</t>
  </si>
  <si>
    <t>Isaiah Fuhrmann</t>
  </si>
  <si>
    <t>Ryan Upp</t>
  </si>
  <si>
    <t>Beau Sparks</t>
  </si>
  <si>
    <t>Tre' Brown III</t>
  </si>
  <si>
    <t>Reed Swanson</t>
  </si>
  <si>
    <t>Owen Sweeney</t>
  </si>
  <si>
    <t>Noah Grevious</t>
  </si>
  <si>
    <t>Jaceon Doss</t>
  </si>
  <si>
    <t>Jared Richardson</t>
  </si>
  <si>
    <t>Jackson Harris</t>
  </si>
  <si>
    <t>Pofele Ashlock</t>
  </si>
  <si>
    <t>Michael Mussari</t>
  </si>
  <si>
    <t>Devin Matthews</t>
  </si>
  <si>
    <t>Jacquon Gibson</t>
  </si>
  <si>
    <t>Kalvin Gilbert</t>
  </si>
  <si>
    <t>B.J. Fleming</t>
  </si>
  <si>
    <t>Landon Ellis</t>
  </si>
  <si>
    <t>Na'eem Abdul-Rahim Gladding</t>
  </si>
  <si>
    <t>Jayce Brown</t>
  </si>
  <si>
    <t>Jaylon Domingeaux</t>
  </si>
  <si>
    <t>Maleek Huggins</t>
  </si>
  <si>
    <t>Vinson Davis III</t>
  </si>
  <si>
    <t>Wyatt Young</t>
  </si>
  <si>
    <t>Ivan Hoyt</t>
  </si>
  <si>
    <t>Javon Ross</t>
  </si>
  <si>
    <t>Victor Snow</t>
  </si>
  <si>
    <t>Chris Lofton</t>
  </si>
  <si>
    <t>Greg Gaines III</t>
  </si>
  <si>
    <t>Darius Cannon</t>
  </si>
  <si>
    <t>Franck Pierre</t>
  </si>
  <si>
    <t>Xayvion Noland</t>
  </si>
  <si>
    <t>Chris Dawn Jr.</t>
  </si>
  <si>
    <t>TJ Cadden</t>
  </si>
  <si>
    <t>Cam Pedro</t>
  </si>
  <si>
    <t>Ryan Jezioro</t>
  </si>
  <si>
    <t>Iverson Hooks</t>
  </si>
  <si>
    <t>Josh Heverly</t>
  </si>
  <si>
    <t>Jalen Jones</t>
  </si>
  <si>
    <t>Kam Perry</t>
  </si>
  <si>
    <t>Gavin Lochow</t>
  </si>
  <si>
    <t>Jameson Garcia</t>
  </si>
  <si>
    <t>Zyheem Collick</t>
  </si>
  <si>
    <t>Larenzo Fenner</t>
  </si>
  <si>
    <t>Zachary Kim</t>
  </si>
  <si>
    <t>Drew Krobath</t>
  </si>
  <si>
    <t>Jalen Smith</t>
  </si>
  <si>
    <t>Jordan Napier</t>
  </si>
  <si>
    <t>Cody Jackson</t>
  </si>
  <si>
    <t>Christian Jourdain</t>
  </si>
  <si>
    <t>Bisi Owens</t>
  </si>
  <si>
    <t>Nico Brown</t>
  </si>
  <si>
    <t>Tristian Gardner</t>
  </si>
  <si>
    <t>Yannick Smith</t>
  </si>
  <si>
    <t>Cole Monach</t>
  </si>
  <si>
    <t>Chauncey Spikes</t>
  </si>
  <si>
    <t>Ryan Ricketti</t>
  </si>
  <si>
    <t>Braden Pegan</t>
  </si>
  <si>
    <t>Tra Neal</t>
  </si>
  <si>
    <t>Chance Peterson</t>
  </si>
  <si>
    <t>Jaden Barnes</t>
  </si>
  <si>
    <t>Gavin Nelson</t>
  </si>
  <si>
    <t>Chedon James</t>
  </si>
  <si>
    <t>Ja'Naylon Dupree</t>
  </si>
  <si>
    <t>Chaz Middleton</t>
  </si>
  <si>
    <t>Troy Worrell</t>
  </si>
  <si>
    <t>Donovan Faupel</t>
  </si>
  <si>
    <t>Grayson O'Bara</t>
  </si>
  <si>
    <t>Aldrich Doe</t>
  </si>
  <si>
    <t>Jack Freeburg</t>
  </si>
  <si>
    <t>Titus Evans</t>
  </si>
  <si>
    <t>Brady Blackburn</t>
  </si>
  <si>
    <t>Luke Mailander</t>
  </si>
  <si>
    <t>Donnie Cheers</t>
  </si>
  <si>
    <t>Kyan Mason</t>
  </si>
  <si>
    <t>Randall King</t>
  </si>
  <si>
    <t>Taz Reddicks</t>
  </si>
  <si>
    <t>Kareem Burke</t>
  </si>
  <si>
    <t>Nahzae Cox</t>
  </si>
  <si>
    <t>Preston Bird</t>
  </si>
  <si>
    <t>James Tyre</t>
  </si>
  <si>
    <t>Chris Marshall</t>
  </si>
  <si>
    <t>Devin McCuin</t>
  </si>
  <si>
    <t>K.D. Hutchinson</t>
  </si>
  <si>
    <t>Chris Durr Jr.</t>
  </si>
  <si>
    <t>Isaiah Dawson</t>
  </si>
  <si>
    <t>Evan James</t>
  </si>
  <si>
    <t>JoJo Bermudez</t>
  </si>
  <si>
    <t>Dominic Kibby</t>
  </si>
  <si>
    <t>Corri Milliner</t>
  </si>
  <si>
    <t>Cade Wolford</t>
  </si>
  <si>
    <t>CJ Nelson</t>
  </si>
  <si>
    <t>Stacy Dobbins</t>
  </si>
  <si>
    <t>Omarion Miller</t>
  </si>
  <si>
    <t>Jackson Voth</t>
  </si>
  <si>
    <t>Malik Knight</t>
  </si>
  <si>
    <t>Jayce Freeman</t>
  </si>
  <si>
    <t>Dave Pardo</t>
  </si>
  <si>
    <t>Kyri Shoels</t>
  </si>
  <si>
    <t>Keshaun Singleton</t>
  </si>
  <si>
    <t>Ethan Loss</t>
  </si>
  <si>
    <t>Dylan Djete</t>
  </si>
  <si>
    <t>Ernest Campbell</t>
  </si>
  <si>
    <t>Brock Spalding</t>
  </si>
  <si>
    <t>Adjatay Dabbs</t>
  </si>
  <si>
    <t>Mason Humphrey</t>
  </si>
  <si>
    <t>Ja'Cory Thomas</t>
  </si>
  <si>
    <t>Cam'ron Lacy</t>
  </si>
  <si>
    <t>Brooks Davis</t>
  </si>
  <si>
    <t>Jackson Green</t>
  </si>
  <si>
    <t>Asaad Waseem</t>
  </si>
  <si>
    <t>Alex Perry</t>
  </si>
  <si>
    <t>Ja'Keith Hamilton</t>
  </si>
  <si>
    <t>Darren Morris</t>
  </si>
  <si>
    <t>Aboraa Kwarteng</t>
  </si>
  <si>
    <t>Taco Dowler</t>
  </si>
  <si>
    <t>Marcus Sanders Jr.</t>
  </si>
  <si>
    <t>DeAree Rogers</t>
  </si>
  <si>
    <t>Jayvonne Dillard</t>
  </si>
  <si>
    <t>Tyson George</t>
  </si>
  <si>
    <t>Ajai Harrell</t>
  </si>
  <si>
    <t>Dylan Evans</t>
  </si>
  <si>
    <t>Josh Williams</t>
  </si>
  <si>
    <t>Jyzaiah Rockwell</t>
  </si>
  <si>
    <t>Joshua Tracey</t>
  </si>
  <si>
    <t>NEWHVN</t>
  </si>
  <si>
    <t>Leland Smith</t>
  </si>
  <si>
    <t>Jmariyae Robinson</t>
  </si>
  <si>
    <t>Davion Dozier</t>
  </si>
  <si>
    <t>Shazz Preston</t>
  </si>
  <si>
    <t>Markell Quick</t>
  </si>
  <si>
    <t>Brody Reina</t>
  </si>
  <si>
    <t>Omari Hayes</t>
  </si>
  <si>
    <t>AJ Wilson</t>
  </si>
  <si>
    <t>Brayden Munroe</t>
  </si>
  <si>
    <t>RJ Garcia II</t>
  </si>
  <si>
    <t>Israel Polk</t>
  </si>
  <si>
    <t>David Wells Jr.</t>
  </si>
  <si>
    <t>Lance Martinez</t>
  </si>
  <si>
    <t>Hank Foley</t>
  </si>
  <si>
    <t>Dylan Redmon</t>
  </si>
  <si>
    <t>Jordan Smith</t>
  </si>
  <si>
    <t>Jayshon Platt</t>
  </si>
  <si>
    <t>JaShawn Todd</t>
  </si>
  <si>
    <t>Keith Jones Jr.</t>
  </si>
  <si>
    <t>Tony Freeman</t>
  </si>
  <si>
    <t>Maxwell Moss</t>
  </si>
  <si>
    <t>Caden Burti</t>
  </si>
  <si>
    <t>Adonis McDaniel</t>
  </si>
  <si>
    <t>Kevonne Wilder</t>
  </si>
  <si>
    <t>Kendall Harris</t>
  </si>
  <si>
    <t>Maury Sullivan</t>
  </si>
  <si>
    <t>Montez Green</t>
  </si>
  <si>
    <t>Donte Lee Jr.</t>
  </si>
  <si>
    <t>Jacob Bostick</t>
  </si>
  <si>
    <t>Jeremy Scott</t>
  </si>
  <si>
    <t>Jordan Garrison</t>
  </si>
  <si>
    <t>Hunter Summers</t>
  </si>
  <si>
    <t>Tony Diaz</t>
  </si>
  <si>
    <t>Terry Lockett Jr.</t>
  </si>
  <si>
    <t>Micah Mays Jr.</t>
  </si>
  <si>
    <t>Jonathan Harris</t>
  </si>
  <si>
    <t>Rylan Davison</t>
  </si>
  <si>
    <t>Archie Cox</t>
  </si>
  <si>
    <t>Jaxton Santiago</t>
  </si>
  <si>
    <t>Tavahri Groves</t>
  </si>
  <si>
    <t>Clayton Wayland</t>
  </si>
  <si>
    <t>Dayan Bilbo</t>
  </si>
  <si>
    <t>Kyndon Fuselier</t>
  </si>
  <si>
    <t>Andreas Hill</t>
  </si>
  <si>
    <t>Isaiah Scott</t>
  </si>
  <si>
    <t>Damien Morgan</t>
  </si>
  <si>
    <t>Armani Winfield</t>
  </si>
  <si>
    <t>Ayden Price</t>
  </si>
  <si>
    <t>Chris Hicks Jr.</t>
  </si>
  <si>
    <t>Rashawn Cunningham</t>
  </si>
  <si>
    <t>Jeremiah Harrison</t>
  </si>
  <si>
    <t>Wondame Davis Jr.</t>
  </si>
  <si>
    <t>Landyn Backey</t>
  </si>
  <si>
    <t>Brayden Smith</t>
  </si>
  <si>
    <t>Emanuel Ross</t>
  </si>
  <si>
    <t>Dean Boyd</t>
  </si>
  <si>
    <t>Malik McNeely</t>
  </si>
  <si>
    <t>Nate Rembert</t>
  </si>
  <si>
    <t>Lorenzo Jenkins</t>
  </si>
  <si>
    <t>Nik McMillan</t>
  </si>
  <si>
    <t>Winston Moore</t>
  </si>
  <si>
    <t>Mehki Wall</t>
  </si>
  <si>
    <t>Justin Perry</t>
  </si>
  <si>
    <t>PJ Johnson III</t>
  </si>
  <si>
    <t>Jeremiah Koger</t>
  </si>
  <si>
    <t>Baylin Brooks</t>
  </si>
  <si>
    <t>Micah Tease</t>
  </si>
  <si>
    <t>Zimere Winston</t>
  </si>
  <si>
    <t>Anthony Ice</t>
  </si>
  <si>
    <t>Brock Rechsteiner</t>
  </si>
  <si>
    <t>Trayjen Llanas-Wilcox</t>
  </si>
  <si>
    <t>Anthony Brown-Stephens</t>
  </si>
  <si>
    <t>Nasim Cosby</t>
  </si>
  <si>
    <t>Aidan Mizell</t>
  </si>
  <si>
    <t>Daveon Walker</t>
  </si>
  <si>
    <t>Luke Besh</t>
  </si>
  <si>
    <t>Cam Bulluck</t>
  </si>
  <si>
    <t>Ethan Harris</t>
  </si>
  <si>
    <t>Tommy McIntosh</t>
  </si>
  <si>
    <t>Jacoby Matthews</t>
  </si>
  <si>
    <t>Kylen Evans</t>
  </si>
  <si>
    <t>Jake Godfrey</t>
  </si>
  <si>
    <t>DJ Maultsby</t>
  </si>
  <si>
    <t>Landon Sides</t>
  </si>
  <si>
    <t>Zach Jones</t>
  </si>
  <si>
    <t>Kian Salehi</t>
  </si>
  <si>
    <t>Sean Wilson</t>
  </si>
  <si>
    <t>Amonte Jones</t>
  </si>
  <si>
    <t>Jordan Anderson</t>
  </si>
  <si>
    <t>Dominique Henry</t>
  </si>
  <si>
    <t>Marcel Williams</t>
  </si>
  <si>
    <t>Roriyon Richardson</t>
  </si>
  <si>
    <t>Brandon White</t>
  </si>
  <si>
    <t>Torrey Ward</t>
  </si>
  <si>
    <t>Jonathan Bibbs</t>
  </si>
  <si>
    <t>DJ Epps</t>
  </si>
  <si>
    <t>A.J. Little</t>
  </si>
  <si>
    <t>Myles Wilson</t>
  </si>
  <si>
    <t>Jameel Gardner Jr.</t>
  </si>
  <si>
    <t>Moussa Barry</t>
  </si>
  <si>
    <t>Aveion Chenault</t>
  </si>
  <si>
    <t>Kenny Odom</t>
  </si>
  <si>
    <t>D'Avery Robinson</t>
  </si>
  <si>
    <t>Ronnel Johnson</t>
  </si>
  <si>
    <t>Thomas Lee</t>
  </si>
  <si>
    <t>Javen Nicholas</t>
  </si>
  <si>
    <t>Eli Paulson</t>
  </si>
  <si>
    <t>Chris Gundy</t>
  </si>
  <si>
    <t>Taj Hughes</t>
  </si>
  <si>
    <t>Terence Loville</t>
  </si>
  <si>
    <t>Eric Holley III</t>
  </si>
  <si>
    <t>Lofton O'Groske</t>
  </si>
  <si>
    <t>Jamarien Wheeler</t>
  </si>
  <si>
    <t>Beau Bankston</t>
  </si>
  <si>
    <t>Tyran Warren</t>
  </si>
  <si>
    <t>NyGhee Lolley</t>
  </si>
  <si>
    <t>Landers Green</t>
  </si>
  <si>
    <t>Rodney Harris II</t>
  </si>
  <si>
    <t>Jabre Bevineau</t>
  </si>
  <si>
    <t>Marvin Session</t>
  </si>
  <si>
    <t>Tyler Daniels</t>
  </si>
  <si>
    <t>Kyree Benton</t>
  </si>
  <si>
    <t>Derrick Bohler</t>
  </si>
  <si>
    <t>Wyatt Rogers</t>
  </si>
  <si>
    <t>Mekhi Norris</t>
  </si>
  <si>
    <t>Tyson Edwards</t>
  </si>
  <si>
    <t>Shelton Sampson Jr.</t>
  </si>
  <si>
    <t>Donovan Brown</t>
  </si>
  <si>
    <t>Tre' Holloway</t>
  </si>
  <si>
    <t>Kenari Wilcher</t>
  </si>
  <si>
    <t>Joshua Manning</t>
  </si>
  <si>
    <t>Conference</t>
  </si>
  <si>
    <t>Brody Foley</t>
  </si>
  <si>
    <t>TE</t>
  </si>
  <si>
    <t>Tulsa</t>
  </si>
  <si>
    <t>American Athletic</t>
  </si>
  <si>
    <t>Jayvontay Conner</t>
  </si>
  <si>
    <t>East Carolina</t>
  </si>
  <si>
    <t>Kristian Ingman</t>
  </si>
  <si>
    <t>Portland State</t>
  </si>
  <si>
    <t>Peter Clarke</t>
  </si>
  <si>
    <t>Temple</t>
  </si>
  <si>
    <t>Ismael Smith Flores</t>
  </si>
  <si>
    <t>UT Rio Grande Valley</t>
  </si>
  <si>
    <t>Lacota Dippre</t>
  </si>
  <si>
    <t>James Madison</t>
  </si>
  <si>
    <t>Jett Carpenter</t>
  </si>
  <si>
    <t>Nevada</t>
  </si>
  <si>
    <t>Mountain West</t>
  </si>
  <si>
    <t>Charles Garrison</t>
  </si>
  <si>
    <t>Northern Colorado</t>
  </si>
  <si>
    <t>Darrin Fugitt</t>
  </si>
  <si>
    <t>Lindenwood</t>
  </si>
  <si>
    <t>Big South-OVC</t>
  </si>
  <si>
    <t>Levi Linowes</t>
  </si>
  <si>
    <t>Brown</t>
  </si>
  <si>
    <t>Noah Meyers</t>
  </si>
  <si>
    <t>Western Kentucky</t>
  </si>
  <si>
    <t>Conference USA</t>
  </si>
  <si>
    <t>Everett Hunter</t>
  </si>
  <si>
    <t>Nicholls</t>
  </si>
  <si>
    <t>Toby Payne</t>
  </si>
  <si>
    <t>Marshall</t>
  </si>
  <si>
    <t>Chris Corbo</t>
  </si>
  <si>
    <t>Dartmouth</t>
  </si>
  <si>
    <t>Seamus Gilmartin</t>
  </si>
  <si>
    <t>Harvard</t>
  </si>
  <si>
    <t>Evan Chieca</t>
  </si>
  <si>
    <t>New Haven</t>
  </si>
  <si>
    <t>Ian Simpson</t>
  </si>
  <si>
    <t>UC Davis</t>
  </si>
  <si>
    <t>Carter Moses</t>
  </si>
  <si>
    <t>UAlbany</t>
  </si>
  <si>
    <t>Sean McElwain</t>
  </si>
  <si>
    <t>William &amp; Mary</t>
  </si>
  <si>
    <t>Dylan Magazu</t>
  </si>
  <si>
    <t>Elon</t>
  </si>
  <si>
    <t>Ryder Kurtz</t>
  </si>
  <si>
    <t>Cornell</t>
  </si>
  <si>
    <t>Gavin Harris</t>
  </si>
  <si>
    <t>New Mexico State</t>
  </si>
  <si>
    <t>Eli Finley</t>
  </si>
  <si>
    <t>Louisiana Tech</t>
  </si>
  <si>
    <t>Nathan Schillinger</t>
  </si>
  <si>
    <t>Holy Cross</t>
  </si>
  <si>
    <t>Hyatt Timosciek</t>
  </si>
  <si>
    <t>UT Martin</t>
  </si>
  <si>
    <t>Joshua Long</t>
  </si>
  <si>
    <t>Eastern Michigan</t>
  </si>
  <si>
    <t>Mid-American</t>
  </si>
  <si>
    <t>Richie Anderson III</t>
  </si>
  <si>
    <t>Fresno State</t>
  </si>
  <si>
    <t>Jacob Harris</t>
  </si>
  <si>
    <t>Bowling Green</t>
  </si>
  <si>
    <t>Houston Thomas</t>
  </si>
  <si>
    <t>Desirrio Riles</t>
  </si>
  <si>
    <t>Jackson Canaan</t>
  </si>
  <si>
    <t>San Jose State</t>
  </si>
  <si>
    <t>Matt Wagner</t>
  </si>
  <si>
    <t>Boise State</t>
  </si>
  <si>
    <t>Eric Olsen</t>
  </si>
  <si>
    <t>Utah Tech</t>
  </si>
  <si>
    <t>Gabe Burkle</t>
  </si>
  <si>
    <t>IOWA STATE</t>
  </si>
  <si>
    <t>Iowa State</t>
  </si>
  <si>
    <t>Benjamin Brahmer</t>
  </si>
  <si>
    <t>Hunter Tipton</t>
  </si>
  <si>
    <t>Middle Tennessee</t>
  </si>
  <si>
    <t>Hayden Hansen</t>
  </si>
  <si>
    <t>Florida</t>
  </si>
  <si>
    <t>Randy Pittman Jr.</t>
  </si>
  <si>
    <t>FLORIDA ST</t>
  </si>
  <si>
    <t>Randy Pittman Jr</t>
  </si>
  <si>
    <t>Florida State</t>
  </si>
  <si>
    <t>Wyatt Sullivan</t>
  </si>
  <si>
    <t>South Florida</t>
  </si>
  <si>
    <t>Mason Williams</t>
  </si>
  <si>
    <t>Ohio</t>
  </si>
  <si>
    <t>Offensive Tackles</t>
  </si>
  <si>
    <t>School</t>
  </si>
  <si>
    <t>Number</t>
  </si>
  <si>
    <t>Position</t>
  </si>
  <si>
    <t>Pass Block Efficiency</t>
  </si>
  <si>
    <t>Run Block Success</t>
  </si>
  <si>
    <t>Zone Run Block Success</t>
  </si>
  <si>
    <t>Gap Run Block Success</t>
  </si>
  <si>
    <t>Utah Scheme Fit</t>
  </si>
  <si>
    <t>PBE Z-Score</t>
  </si>
  <si>
    <t>RBS Z-Score (Utah)</t>
  </si>
  <si>
    <t>TOES</t>
  </si>
  <si>
    <t>Normalized TOES</t>
  </si>
  <si>
    <t>Adjusted TOES</t>
  </si>
  <si>
    <t>Normalized Adjusted TOES</t>
  </si>
  <si>
    <t>Greg Knox</t>
  </si>
  <si>
    <t>McNeese State</t>
  </si>
  <si>
    <t>OT</t>
  </si>
  <si>
    <t>Cameron Stancil</t>
  </si>
  <si>
    <t>Murray State</t>
  </si>
  <si>
    <t>MVC</t>
  </si>
  <si>
    <t>Martin Koivisto</t>
  </si>
  <si>
    <t>Central Michigan</t>
  </si>
  <si>
    <t>Nic Disanto</t>
  </si>
  <si>
    <t>Eastern Illinois</t>
  </si>
  <si>
    <t>Adam Hawkes</t>
  </si>
  <si>
    <t>Oregon State</t>
  </si>
  <si>
    <t>PAC-12</t>
  </si>
  <si>
    <t>Greg Klingensmith</t>
  </si>
  <si>
    <t>Jimarion McCrimon</t>
  </si>
  <si>
    <t>ECU</t>
  </si>
  <si>
    <t>Giakoby Hills</t>
  </si>
  <si>
    <t>Brian Beidatsch Jr</t>
  </si>
  <si>
    <t>Duquesne</t>
  </si>
  <si>
    <t>NEC</t>
  </si>
  <si>
    <t>Karsten Upchurch</t>
  </si>
  <si>
    <t>Ben Murawski</t>
  </si>
  <si>
    <t>UConn</t>
  </si>
  <si>
    <t>FBS Independents</t>
  </si>
  <si>
    <t>Brandon Sneh</t>
  </si>
  <si>
    <t>Derek Osman</t>
  </si>
  <si>
    <t>Maasai King</t>
  </si>
  <si>
    <t>Akron</t>
  </si>
  <si>
    <t>Reggie Jackson</t>
  </si>
  <si>
    <t>Jacksonville State</t>
  </si>
  <si>
    <t>Evan Malcore</t>
  </si>
  <si>
    <t>NIU</t>
  </si>
  <si>
    <t>Mark Robinson</t>
  </si>
  <si>
    <t>Hayes Creel</t>
  </si>
  <si>
    <t>Southern Miss</t>
  </si>
  <si>
    <t>Daughtry Richardson</t>
  </si>
  <si>
    <t>Eric Smith</t>
  </si>
  <si>
    <t>Miami (OH)</t>
  </si>
  <si>
    <t>Lance Johnson</t>
  </si>
  <si>
    <t>Cedric Jefferson</t>
  </si>
  <si>
    <t>Montana State</t>
  </si>
  <si>
    <t>Kage Casey</t>
  </si>
  <si>
    <t>Nick Del Grande</t>
  </si>
  <si>
    <t>Coastal Carolina</t>
  </si>
  <si>
    <t>Braydon Nelson</t>
  </si>
  <si>
    <t>North Texas</t>
  </si>
  <si>
    <t>Christian Williams</t>
  </si>
  <si>
    <t>Liberty</t>
  </si>
  <si>
    <t>Everett Small</t>
  </si>
  <si>
    <t>Ashton Tripp</t>
  </si>
  <si>
    <t>Washington State</t>
  </si>
  <si>
    <t>Johnnie Brown III</t>
  </si>
  <si>
    <t>Georgia Southern</t>
  </si>
  <si>
    <t>Riley McGehee</t>
  </si>
  <si>
    <t>Arkansas State</t>
  </si>
  <si>
    <t>Tyler Gibson</t>
  </si>
  <si>
    <t>Charlotte</t>
  </si>
  <si>
    <t>Bryant Williams</t>
  </si>
  <si>
    <t>Louisiana</t>
  </si>
  <si>
    <t>Chad Schuster</t>
  </si>
  <si>
    <t>Western Michigan</t>
  </si>
  <si>
    <t>Aaron Karas</t>
  </si>
  <si>
    <t>Colorado State</t>
  </si>
  <si>
    <t>Drew Terrill</t>
  </si>
  <si>
    <t>Joseph Simmons</t>
  </si>
  <si>
    <t>Anwar O'Neal</t>
  </si>
  <si>
    <t>Delaware</t>
  </si>
  <si>
    <t>Tolu Olajide</t>
  </si>
  <si>
    <t>New Hampshire</t>
  </si>
  <si>
    <t>Elijah Prather</t>
  </si>
  <si>
    <t>Troy</t>
  </si>
  <si>
    <t>AJ Vinson</t>
  </si>
  <si>
    <t>Louisiana-Monroe</t>
  </si>
  <si>
    <t>Ethan Hubbard</t>
  </si>
  <si>
    <t>South Alabama</t>
  </si>
  <si>
    <t>Netinho Olivieri</t>
  </si>
  <si>
    <t>Penn</t>
  </si>
  <si>
    <t>Hayden Christman</t>
  </si>
  <si>
    <t>Reese Baker</t>
  </si>
  <si>
    <t>Tulane</t>
  </si>
  <si>
    <t>Carsten Casady</t>
  </si>
  <si>
    <t>Henry Tabansi</t>
  </si>
  <si>
    <t>Buffalo</t>
  </si>
  <si>
    <t>Rex Johnsen</t>
  </si>
  <si>
    <t>Wyoming</t>
  </si>
  <si>
    <t>Ethan Green</t>
  </si>
  <si>
    <t>Cincinnati</t>
  </si>
  <si>
    <t>Jack Foster</t>
  </si>
  <si>
    <t>Nate Hale</t>
  </si>
  <si>
    <t>Miles McVay</t>
  </si>
  <si>
    <t>North Carolina</t>
  </si>
  <si>
    <t>Grant Seagren</t>
  </si>
  <si>
    <t>Oklahoma State</t>
  </si>
  <si>
    <t>Brayden Walton</t>
  </si>
  <si>
    <t>Deandre Marshall</t>
  </si>
  <si>
    <t>Interior Offensive Linemen</t>
  </si>
  <si>
    <t>Adam Lepkowski</t>
  </si>
  <si>
    <t>IOL</t>
  </si>
  <si>
    <t>Patrick Valent</t>
  </si>
  <si>
    <t>Rice</t>
  </si>
  <si>
    <t>Aitor Urionabarrenechea</t>
  </si>
  <si>
    <t>Kadin Lynch</t>
  </si>
  <si>
    <t>Tristian Smith</t>
  </si>
  <si>
    <t>Joseph Harbert</t>
  </si>
  <si>
    <t>Nick Dalessandro</t>
  </si>
  <si>
    <t>Colgate</t>
  </si>
  <si>
    <t>Nate Bledsoe</t>
  </si>
  <si>
    <t>Carter Sweazie</t>
  </si>
  <si>
    <t>Nathan Elu</t>
  </si>
  <si>
    <t>Steven Demboski</t>
  </si>
  <si>
    <t>Malachi Preciado</t>
  </si>
  <si>
    <t>Jayden Bass</t>
  </si>
  <si>
    <t>Indepedent</t>
  </si>
  <si>
    <t>Tellek Lockette</t>
  </si>
  <si>
    <t>Texas State</t>
  </si>
  <si>
    <t>Trent Wilson</t>
  </si>
  <si>
    <t>Kenton Jerido</t>
  </si>
  <si>
    <t>Emmanuel Poku</t>
  </si>
  <si>
    <t>Caleb Nitta</t>
  </si>
  <si>
    <t>Jack Leyrer</t>
  </si>
  <si>
    <t>Stanford</t>
  </si>
  <si>
    <t>Ethan Spencer</t>
  </si>
  <si>
    <t>Hawaii</t>
  </si>
  <si>
    <t>Brock Riker</t>
  </si>
  <si>
    <t>Oscar Colon</t>
  </si>
  <si>
    <t>Presbyterian</t>
  </si>
  <si>
    <t>James Williams</t>
  </si>
  <si>
    <t>Nicholas Gallegos</t>
  </si>
  <si>
    <t>Isaiah Cook</t>
  </si>
  <si>
    <t>Delaware State</t>
  </si>
  <si>
    <t>Josiah Chenault</t>
  </si>
  <si>
    <t>Kennesaw State</t>
  </si>
  <si>
    <t>Anthony Caccese</t>
  </si>
  <si>
    <t>Keylen Davis</t>
  </si>
  <si>
    <t>Maarten Woudsma</t>
  </si>
  <si>
    <t>Old Dominion</t>
  </si>
  <si>
    <t>Connor Stroh</t>
  </si>
  <si>
    <t>Texas</t>
  </si>
  <si>
    <t>Kaden Moreau</t>
  </si>
  <si>
    <t>Cayden Sweatt</t>
  </si>
  <si>
    <t>App State</t>
  </si>
  <si>
    <t>Shalik Hubbard</t>
  </si>
  <si>
    <t>Monmouth</t>
  </si>
  <si>
    <t>Dylan Sikorski</t>
  </si>
  <si>
    <t>Aaron Fenimore</t>
  </si>
  <si>
    <t>Xavier Allen</t>
  </si>
  <si>
    <t>Bucknell</t>
  </si>
  <si>
    <t>Malachi Breland</t>
  </si>
  <si>
    <t>Memphis</t>
  </si>
  <si>
    <t>Wes King</t>
  </si>
  <si>
    <t>Johnny Dickson III</t>
  </si>
  <si>
    <t>Joep Engbers</t>
  </si>
  <si>
    <t>Ryan Berger</t>
  </si>
  <si>
    <t>PRESS</t>
  </si>
  <si>
    <t>CTGT</t>
  </si>
  <si>
    <t>REC ALL</t>
  </si>
  <si>
    <t>DP INT</t>
  </si>
  <si>
    <t>PBU</t>
  </si>
  <si>
    <t>FINC</t>
  </si>
  <si>
    <t>COV</t>
  </si>
  <si>
    <t>Normalized Adjusted Score</t>
  </si>
  <si>
    <t>Nehemiah Chandler</t>
  </si>
  <si>
    <t>Davin Martin</t>
  </si>
  <si>
    <t>Marquis Cooper</t>
  </si>
  <si>
    <t>Raion Strader</t>
  </si>
  <si>
    <t>Auburn</t>
  </si>
  <si>
    <t>Chris Rhodes</t>
  </si>
  <si>
    <t>Osiris Gilbert</t>
  </si>
  <si>
    <t>UCONN</t>
  </si>
  <si>
    <t>Christian Bodnar</t>
  </si>
  <si>
    <t>Kenny Worthy</t>
  </si>
  <si>
    <t>Elliot Washington II</t>
  </si>
  <si>
    <t>Zach Cody</t>
  </si>
  <si>
    <t>Javan Robinson</t>
  </si>
  <si>
    <t>Donovan McIntosh</t>
  </si>
  <si>
    <t>Cam Chadwick</t>
  </si>
  <si>
    <t>Victor Evans III</t>
  </si>
  <si>
    <t>Paul Omodia</t>
  </si>
  <si>
    <t>Lamar</t>
  </si>
  <si>
    <t>CJ Fraser</t>
  </si>
  <si>
    <t>Keshawn Davila</t>
  </si>
  <si>
    <t>Jaire Rawlison</t>
  </si>
  <si>
    <t>Leroy Bryant</t>
  </si>
  <si>
    <t>Ricky Lee III</t>
  </si>
  <si>
    <t>Alec Wills</t>
  </si>
  <si>
    <t>Joe Hall III</t>
  </si>
  <si>
    <t>Aidan McCowan</t>
  </si>
  <si>
    <t>Andre Jordan Jr.</t>
  </si>
  <si>
    <t>Dylan Phelps</t>
  </si>
  <si>
    <t>Mekhi Toms</t>
  </si>
  <si>
    <t>Mychal Yharbrough</t>
  </si>
  <si>
    <t>Luke Evans</t>
  </si>
  <si>
    <t>Teon Parks</t>
  </si>
  <si>
    <t>Jaheim Singletary</t>
  </si>
  <si>
    <t>Isaiah Farris</t>
  </si>
  <si>
    <t>Ashton Cunningham</t>
  </si>
  <si>
    <t>Syair Torrence</t>
  </si>
  <si>
    <t>Max Tucker</t>
  </si>
  <si>
    <t>TJ Green</t>
  </si>
  <si>
    <t>Carter Davis</t>
  </si>
  <si>
    <t>Kobi Blackwell</t>
  </si>
  <si>
    <t>Oliver Bridges</t>
  </si>
  <si>
    <t>Keontez Bradley</t>
  </si>
  <si>
    <t>Charles McCartherens</t>
  </si>
  <si>
    <t>CJ Blocker</t>
  </si>
  <si>
    <t>DJ McKinney</t>
  </si>
  <si>
    <t>Makari Vickers</t>
  </si>
  <si>
    <t>Moussa Kane</t>
  </si>
  <si>
    <t>Landan Callahan</t>
  </si>
  <si>
    <t>Kimari Robinson</t>
  </si>
  <si>
    <t>Caleb Coley</t>
  </si>
  <si>
    <t>Caleb Dobbs</t>
  </si>
  <si>
    <t>Jaivian Norman</t>
  </si>
  <si>
    <t>Donmiel Rogers</t>
  </si>
  <si>
    <t>James Monds III</t>
  </si>
  <si>
    <t>Tanner Heckel</t>
  </si>
  <si>
    <t>Jaheim Clarke</t>
  </si>
  <si>
    <t>Kaleb Patterson</t>
  </si>
  <si>
    <t>Justin Eaglin</t>
  </si>
  <si>
    <t>DJ Barksdale</t>
  </si>
  <si>
    <t>JeRico Washington Jr.</t>
  </si>
  <si>
    <t>PJ Woodland</t>
  </si>
  <si>
    <t>DJ Pickett</t>
  </si>
  <si>
    <t>Jamare Glasker</t>
  </si>
  <si>
    <t>Dontay Joyner</t>
  </si>
  <si>
    <t>La'khi Roland</t>
  </si>
  <si>
    <t>Braydon Lee</t>
  </si>
  <si>
    <t>Jayden Shipps</t>
  </si>
  <si>
    <t>Kevyn Humes</t>
  </si>
  <si>
    <t>Jackson Lowe</t>
  </si>
  <si>
    <t>Devan Carlisle</t>
  </si>
  <si>
    <t>John Nestor</t>
  </si>
  <si>
    <t>Za'Quan Bryan</t>
  </si>
  <si>
    <t>Kaleb Cost</t>
  </si>
  <si>
    <t>Jaiden Patterson</t>
  </si>
  <si>
    <t>Tre Miller</t>
  </si>
  <si>
    <t>Andrew Marshall</t>
  </si>
  <si>
    <t>Donovan Jones</t>
  </si>
  <si>
    <t>Christian Gray</t>
  </si>
  <si>
    <t>Leonard Moore</t>
  </si>
  <si>
    <t>Dallas Golden</t>
  </si>
  <si>
    <t>Mark Zackery IV</t>
  </si>
  <si>
    <t>Karson Hobbs</t>
  </si>
  <si>
    <t>Chris Peal</t>
  </si>
  <si>
    <t>Davien Kerr</t>
  </si>
  <si>
    <t>Demetres Samuel Jr.</t>
  </si>
  <si>
    <t>Greg Delaine</t>
  </si>
  <si>
    <t>Ibn McDaniels</t>
  </si>
  <si>
    <t>Khamari Terrell</t>
  </si>
  <si>
    <t>Amarion Atwood</t>
  </si>
  <si>
    <t>Craig Royal Jr.</t>
  </si>
  <si>
    <t>Malik Willis</t>
  </si>
  <si>
    <t>Jayden Bellamy</t>
  </si>
  <si>
    <t>Antione Jackson</t>
  </si>
  <si>
    <t>DJ Bell</t>
  </si>
  <si>
    <t>Braeden Marshall</t>
  </si>
  <si>
    <t>Rodrick Pleasant</t>
  </si>
  <si>
    <t>Robert Stafford III</t>
  </si>
  <si>
    <t>Rahshawn Clark</t>
  </si>
  <si>
    <t>Dylan Robinson</t>
  </si>
  <si>
    <t>Desman Hearns</t>
  </si>
  <si>
    <t>Tyrese Boss</t>
  </si>
  <si>
    <t>Markie Grant</t>
  </si>
  <si>
    <t>Ian Bell</t>
  </si>
  <si>
    <t>Jay Crawford</t>
  </si>
  <si>
    <t>Dreshon Downey</t>
  </si>
  <si>
    <t>Ashton Whitner</t>
  </si>
  <si>
    <t>S</t>
  </si>
  <si>
    <t>Kaleb Hutchinson</t>
  </si>
  <si>
    <t>Scooter Jackson</t>
  </si>
  <si>
    <t>Jessiah McGrew</t>
  </si>
  <si>
    <t>Koa Akui</t>
  </si>
  <si>
    <t>Jeremiah Bernard</t>
  </si>
  <si>
    <t>Dionte Thornton</t>
  </si>
  <si>
    <t>Christian Harrison</t>
  </si>
  <si>
    <t>CINCINNATI</t>
  </si>
  <si>
    <t>Edwin Joseph</t>
  </si>
  <si>
    <t>J.J. O'Neal</t>
  </si>
  <si>
    <t>Landyn Cleveland</t>
  </si>
  <si>
    <t>Joshua Tarver</t>
  </si>
  <si>
    <t>Miguel Mitchell</t>
  </si>
  <si>
    <t>Larry Worth III</t>
  </si>
  <si>
    <t>Omar Thornton</t>
  </si>
  <si>
    <t>Marcus Upton</t>
  </si>
  <si>
    <t>Omarion Davis</t>
  </si>
  <si>
    <t>Miles Greer</t>
  </si>
  <si>
    <t>Jace Bellah</t>
  </si>
  <si>
    <t>AJ Noland</t>
  </si>
  <si>
    <t>Tawfiq Byard</t>
  </si>
  <si>
    <t>Carter Stoutmire</t>
  </si>
  <si>
    <t>John Slaughter</t>
  </si>
  <si>
    <t>Andrew Pellicciotta</t>
  </si>
  <si>
    <t>DaShawn Stone</t>
  </si>
  <si>
    <t>Ma'khi Jones</t>
  </si>
  <si>
    <t>Juan Salas</t>
  </si>
  <si>
    <t>Matthew Bailey</t>
  </si>
  <si>
    <t>Mac Resetich</t>
  </si>
  <si>
    <t>Saboor Karriem</t>
  </si>
  <si>
    <t>Tyler Brown</t>
  </si>
  <si>
    <t>Devin Henderson</t>
  </si>
  <si>
    <t>Tamarcus Cooley</t>
  </si>
  <si>
    <t>Dashawn Spears</t>
  </si>
  <si>
    <t>Lavain Scruggs</t>
  </si>
  <si>
    <t>Messiah Delhomme</t>
  </si>
  <si>
    <t>Gavin Edwards</t>
  </si>
  <si>
    <t>Christofer Noble</t>
  </si>
  <si>
    <t>Kalen Woods</t>
  </si>
  <si>
    <t>Kerry Brown</t>
  </si>
  <si>
    <t>Koi Perich</t>
  </si>
  <si>
    <t>Aidan Gousby</t>
  </si>
  <si>
    <t>Tony Mitchell</t>
  </si>
  <si>
    <t>MISS STATE</t>
  </si>
  <si>
    <t>Coleman Bryson</t>
  </si>
  <si>
    <t>Greg Smith</t>
  </si>
  <si>
    <t>Rex Guthrie</t>
  </si>
  <si>
    <t>Tae Johnson</t>
  </si>
  <si>
    <t>Adon Shuler</t>
  </si>
  <si>
    <t>Luke Talich</t>
  </si>
  <si>
    <t>Braheem Long Jr.</t>
  </si>
  <si>
    <t>Cornell Perry</t>
  </si>
  <si>
    <t>Will Mitchell II</t>
  </si>
  <si>
    <t>Ryan Nolan</t>
  </si>
  <si>
    <t>Javis Mynatt</t>
  </si>
  <si>
    <t>Demari Henderson</t>
  </si>
  <si>
    <t>Cole Martin</t>
  </si>
  <si>
    <t>Alex McLaughlin</t>
  </si>
  <si>
    <t>Rylon Dillard-Allen</t>
  </si>
  <si>
    <t>Justin Taylor</t>
  </si>
  <si>
    <t>Jones Thomas</t>
  </si>
  <si>
    <t>Brooklyn Cheek</t>
  </si>
  <si>
    <t>Wesley Miller</t>
  </si>
  <si>
    <t>Mister Clark</t>
  </si>
  <si>
    <t>Dexter Ricks Jr.</t>
  </si>
  <si>
    <t>Michael Richard</t>
  </si>
  <si>
    <t>Azarel Juste</t>
  </si>
  <si>
    <t>Jahmad Harmon</t>
  </si>
  <si>
    <t>Subdivision</t>
  </si>
  <si>
    <t>Modifier</t>
  </si>
  <si>
    <t>G5</t>
  </si>
  <si>
    <t>FCS</t>
  </si>
  <si>
    <t>P4</t>
  </si>
  <si>
    <t>D2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</si>
</sst>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Calibri"/>
    </font>
    <font>
      <sz val="10.0"/>
      <color theme="1"/>
      <name val="Arial"/>
    </font>
    <font>
      <sz val="8.0"/>
      <color rgb="FF000000"/>
      <name val="&quot;DejaVu Sans&quot;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AE9E7"/>
        <bgColor rgb="FFFAE9E7"/>
      </patternFill>
    </fill>
    <fill>
      <patternFill patternType="solid">
        <fgColor rgb="FFF7D8D6"/>
        <bgColor rgb="FFF7D8D6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thin">
        <color rgb="FFD6DADC"/>
      </right>
      <bottom style="thin">
        <color rgb="FFD6DADC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/>
    </xf>
    <xf borderId="8" fillId="0" fontId="2" numFmtId="0" xfId="0" applyBorder="1" applyFont="1"/>
    <xf borderId="9" fillId="0" fontId="1" numFmtId="0" xfId="0" applyBorder="1" applyFont="1"/>
    <xf borderId="9" fillId="0" fontId="3" numFmtId="0" xfId="0" applyAlignment="1" applyBorder="1" applyFont="1">
      <alignment readingOrder="0"/>
    </xf>
    <xf borderId="7" fillId="0" fontId="1" numFmtId="0" xfId="0" applyBorder="1" applyFont="1"/>
    <xf borderId="1" fillId="0" fontId="3" numFmtId="0" xfId="0" applyAlignment="1" applyBorder="1" applyFont="1">
      <alignment horizontal="center" readingOrder="0"/>
    </xf>
    <xf borderId="0" fillId="0" fontId="4" numFmtId="0" xfId="0" applyFont="1"/>
    <xf borderId="10" fillId="2" fontId="1" numFmtId="0" xfId="0" applyBorder="1" applyFill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0" xfId="0" applyAlignment="1" applyFont="1" applyNumberFormat="1">
      <alignment horizontal="right" readingOrder="0" shrinkToFit="0" vertical="bottom" wrapText="0"/>
    </xf>
    <xf borderId="0" fillId="0" fontId="1" numFmtId="2" xfId="0" applyFont="1" applyNumberFormat="1"/>
    <xf borderId="10" fillId="3" fontId="6" numFmtId="0" xfId="0" applyAlignment="1" applyBorder="1" applyFill="1" applyFont="1">
      <alignment shrinkToFit="0" vertical="bottom" wrapText="0"/>
    </xf>
    <xf borderId="0" fillId="0" fontId="6" numFmtId="2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3" fontId="6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2" fontId="1" numFmtId="0" xfId="0" applyFont="1"/>
    <xf borderId="0" fillId="0" fontId="7" numFmtId="2" xfId="0" applyAlignment="1" applyFont="1" applyNumberFormat="1">
      <alignment horizontal="right" readingOrder="0" shrinkToFit="0" vertical="bottom" wrapText="0"/>
    </xf>
    <xf borderId="0" fillId="3" fontId="6" numFmtId="2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0" xfId="0" applyAlignment="1" applyFont="1" applyNumberFormat="1">
      <alignment horizontal="right" readingOrder="0" shrinkToFit="0" vertical="bottom" wrapText="0"/>
    </xf>
    <xf borderId="0" fillId="0" fontId="3" numFmtId="2" xfId="0" applyFont="1" applyNumberFormat="1"/>
    <xf borderId="0" fillId="0" fontId="7" numFmtId="164" xfId="0" applyAlignment="1" applyFont="1" applyNumberFormat="1">
      <alignment horizontal="right" readingOrder="0" shrinkToFit="0" vertical="bottom" wrapText="0"/>
    </xf>
    <xf borderId="0" fillId="0" fontId="1" numFmtId="2" xfId="0" applyAlignment="1" applyFont="1" applyNumberFormat="1">
      <alignment readingOrder="0"/>
    </xf>
    <xf borderId="0" fillId="3" fontId="6" numFmtId="0" xfId="0" applyAlignment="1" applyFont="1">
      <alignment readingOrder="0" shrinkToFit="0" vertical="bottom" wrapText="0"/>
    </xf>
    <xf borderId="0" fillId="0" fontId="3" numFmtId="2" xfId="0" applyAlignment="1" applyFont="1" applyNumberForma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/>
    </xf>
    <xf borderId="11" fillId="0" fontId="4" numFmtId="0" xfId="0" applyBorder="1" applyFont="1"/>
    <xf borderId="11" fillId="0" fontId="1" numFmtId="2" xfId="0" applyBorder="1" applyFont="1" applyNumberFormat="1"/>
    <xf borderId="0" fillId="0" fontId="1" numFmtId="0" xfId="0" applyFont="1"/>
    <xf borderId="0" fillId="0" fontId="9" numFmtId="0" xfId="0" applyAlignment="1" applyFont="1">
      <alignment horizontal="right" shrinkToFit="0" wrapText="1"/>
    </xf>
    <xf borderId="0" fillId="4" fontId="9" numFmtId="0" xfId="0" applyAlignment="1" applyFill="1" applyFont="1">
      <alignment horizontal="right" shrinkToFit="0" wrapText="1"/>
    </xf>
    <xf borderId="0" fillId="0" fontId="9" numFmtId="0" xfId="0" applyAlignment="1" applyFont="1">
      <alignment horizontal="right" readingOrder="0" shrinkToFit="0" wrapText="1"/>
    </xf>
    <xf borderId="0" fillId="5" fontId="9" numFmtId="0" xfId="0" applyAlignment="1" applyFill="1" applyFont="1">
      <alignment horizontal="right" readingOrder="0" shrinkToFit="0" wrapText="1"/>
    </xf>
    <xf borderId="0" fillId="5" fontId="9" numFmtId="0" xfId="0" applyAlignment="1" applyFont="1">
      <alignment horizontal="right" shrinkToFit="0" wrapText="1"/>
    </xf>
    <xf borderId="10" fillId="0" fontId="5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10" fillId="0" fontId="4" numFmtId="0" xfId="0" applyBorder="1" applyFont="1"/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5" numFmtId="2" xfId="0" applyAlignment="1" applyFont="1" applyNumberFormat="1">
      <alignment readingOrder="0"/>
    </xf>
    <xf borderId="0" fillId="0" fontId="3" numFmtId="0" xfId="0" applyAlignment="1" applyFont="1">
      <alignment horizontal="right" readingOrder="0" vertical="bottom"/>
    </xf>
    <xf borderId="0" fillId="0" fontId="10" numFmtId="0" xfId="0" applyAlignment="1" applyFont="1">
      <alignment readingOrder="0" shrinkToFit="0" wrapText="0"/>
    </xf>
    <xf borderId="12" fillId="0" fontId="4" numFmtId="0" xfId="0" applyBorder="1" applyFont="1"/>
    <xf borderId="0" fillId="0" fontId="1" numFmtId="10" xfId="0" applyFont="1" applyNumberFormat="1"/>
    <xf borderId="0" fillId="0" fontId="1" numFmtId="9" xfId="0" applyFont="1" applyNumberFormat="1"/>
    <xf borderId="0" fillId="0" fontId="6" numFmtId="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QB%20Productio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QB Production"/>
      <sheetName val="Average Value"/>
      <sheetName val="Conference Modifier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8.63"/>
  </cols>
  <sheetData>
    <row r="1" ht="14.25" customHeight="1">
      <c r="A1" s="1" t="s">
        <v>0</v>
      </c>
    </row>
    <row r="2" ht="14.25" customHeight="1"/>
    <row r="3" ht="14.25" customHeight="1"/>
    <row r="4" ht="14.25" customHeight="1">
      <c r="A4" s="2" t="s">
        <v>1</v>
      </c>
      <c r="B4" s="3"/>
      <c r="C4" s="4"/>
      <c r="D4" s="1"/>
      <c r="I4" s="2" t="s">
        <v>2</v>
      </c>
      <c r="J4" s="3"/>
      <c r="K4" s="4"/>
      <c r="L4" s="2" t="s">
        <v>3</v>
      </c>
      <c r="M4" s="3"/>
      <c r="N4" s="4"/>
      <c r="O4" s="2" t="s">
        <v>4</v>
      </c>
      <c r="P4" s="3"/>
      <c r="Q4" s="4"/>
      <c r="R4" s="2" t="s">
        <v>5</v>
      </c>
      <c r="S4" s="3"/>
      <c r="T4" s="4"/>
      <c r="U4" s="2" t="s">
        <v>6</v>
      </c>
      <c r="V4" s="3"/>
      <c r="W4" s="3"/>
      <c r="AB4" s="2" t="s">
        <v>7</v>
      </c>
      <c r="AC4" s="3"/>
      <c r="AD4" s="4"/>
    </row>
    <row r="5" ht="14.25" customHeight="1">
      <c r="A5" s="5"/>
      <c r="B5" s="6"/>
      <c r="C5" s="7"/>
      <c r="D5" s="1"/>
      <c r="I5" s="5"/>
      <c r="J5" s="6"/>
      <c r="K5" s="7"/>
      <c r="L5" s="5"/>
      <c r="M5" s="6"/>
      <c r="N5" s="7"/>
      <c r="O5" s="5"/>
      <c r="P5" s="6"/>
      <c r="Q5" s="7"/>
      <c r="R5" s="5"/>
      <c r="S5" s="6"/>
      <c r="T5" s="7"/>
      <c r="U5" s="5"/>
      <c r="V5" s="6"/>
      <c r="W5" s="6"/>
      <c r="X5" s="2" t="s">
        <v>8</v>
      </c>
      <c r="Y5" s="3"/>
      <c r="Z5" s="4"/>
      <c r="AB5" s="5"/>
      <c r="AC5" s="6"/>
      <c r="AD5" s="7"/>
    </row>
    <row r="6" ht="14.25" customHeight="1">
      <c r="A6" s="8" t="s">
        <v>9</v>
      </c>
      <c r="B6" s="9"/>
      <c r="C6" s="10">
        <v>4.01</v>
      </c>
      <c r="I6" s="8" t="s">
        <v>10</v>
      </c>
      <c r="J6" s="9"/>
      <c r="K6" s="11">
        <v>5.21</v>
      </c>
      <c r="L6" s="8" t="s">
        <v>11</v>
      </c>
      <c r="M6" s="9"/>
      <c r="N6" s="11">
        <v>4.51</v>
      </c>
      <c r="O6" s="8" t="s">
        <v>12</v>
      </c>
      <c r="P6" s="9"/>
      <c r="Q6" s="11">
        <v>4.24</v>
      </c>
      <c r="R6" s="8" t="s">
        <v>13</v>
      </c>
      <c r="S6" s="9"/>
      <c r="T6" s="11">
        <v>4.97</v>
      </c>
      <c r="U6" s="8" t="s">
        <v>14</v>
      </c>
      <c r="V6" s="9"/>
      <c r="W6" s="11">
        <v>5.46</v>
      </c>
      <c r="X6" s="5"/>
      <c r="Y6" s="6"/>
      <c r="Z6" s="7"/>
      <c r="AB6" s="8" t="s">
        <v>15</v>
      </c>
      <c r="AC6" s="9"/>
      <c r="AD6" s="10">
        <v>3.76</v>
      </c>
    </row>
    <row r="7" ht="14.25" customHeight="1">
      <c r="A7" s="8" t="s">
        <v>16</v>
      </c>
      <c r="B7" s="9"/>
      <c r="C7" s="11">
        <v>4.03</v>
      </c>
      <c r="E7" s="2" t="s">
        <v>17</v>
      </c>
      <c r="F7" s="3"/>
      <c r="G7" s="4"/>
      <c r="H7" s="1"/>
      <c r="I7" s="8" t="s">
        <v>18</v>
      </c>
      <c r="J7" s="9"/>
      <c r="K7" s="10"/>
      <c r="L7" s="8" t="s">
        <v>19</v>
      </c>
      <c r="M7" s="9"/>
      <c r="N7" s="10"/>
      <c r="O7" s="8" t="s">
        <v>20</v>
      </c>
      <c r="P7" s="9"/>
      <c r="Q7" s="10"/>
      <c r="R7" s="8" t="s">
        <v>21</v>
      </c>
      <c r="S7" s="9"/>
      <c r="T7" s="10"/>
      <c r="U7" s="8" t="s">
        <v>22</v>
      </c>
      <c r="V7" s="9"/>
      <c r="W7" s="12"/>
      <c r="X7" s="8" t="s">
        <v>23</v>
      </c>
      <c r="Y7" s="9"/>
      <c r="Z7" s="10">
        <v>4.54</v>
      </c>
      <c r="AB7" s="8" t="s">
        <v>24</v>
      </c>
      <c r="AC7" s="9"/>
      <c r="AD7" s="11">
        <v>4.4</v>
      </c>
    </row>
    <row r="8" ht="14.25" customHeight="1">
      <c r="E8" s="5"/>
      <c r="F8" s="6"/>
      <c r="G8" s="7"/>
      <c r="H8" s="1"/>
      <c r="X8" s="8" t="s">
        <v>25</v>
      </c>
      <c r="Y8" s="9"/>
      <c r="Z8" s="10"/>
    </row>
    <row r="9" ht="14.25" customHeight="1">
      <c r="E9" s="8" t="s">
        <v>26</v>
      </c>
      <c r="F9" s="9"/>
      <c r="G9" s="10">
        <v>3.79</v>
      </c>
    </row>
    <row r="10" ht="14.25" customHeight="1">
      <c r="E10" s="8" t="s">
        <v>27</v>
      </c>
      <c r="F10" s="9"/>
      <c r="G10" s="10"/>
      <c r="O10" s="2" t="s">
        <v>28</v>
      </c>
      <c r="P10" s="3"/>
      <c r="Q10" s="4"/>
      <c r="S10" s="2" t="s">
        <v>29</v>
      </c>
      <c r="T10" s="3"/>
      <c r="U10" s="4"/>
    </row>
    <row r="11" ht="14.25" customHeight="1">
      <c r="O11" s="5"/>
      <c r="P11" s="6"/>
      <c r="Q11" s="7"/>
      <c r="S11" s="5"/>
      <c r="T11" s="6"/>
      <c r="U11" s="7"/>
    </row>
    <row r="12" ht="14.25" customHeight="1">
      <c r="O12" s="8" t="s">
        <v>30</v>
      </c>
      <c r="P12" s="9"/>
      <c r="Q12" s="10">
        <v>4.57</v>
      </c>
      <c r="S12" s="8" t="s">
        <v>31</v>
      </c>
      <c r="T12" s="9"/>
      <c r="U12" s="11">
        <v>4.96</v>
      </c>
    </row>
    <row r="13" ht="14.25" customHeight="1">
      <c r="O13" s="8" t="s">
        <v>32</v>
      </c>
      <c r="P13" s="9"/>
      <c r="Q13" s="10">
        <v>4.54</v>
      </c>
      <c r="S13" s="8" t="s">
        <v>33</v>
      </c>
      <c r="T13" s="9"/>
      <c r="U13" s="11">
        <v>4.05</v>
      </c>
    </row>
    <row r="14" ht="14.25" customHeight="1">
      <c r="O14" s="8" t="s">
        <v>34</v>
      </c>
      <c r="P14" s="9"/>
      <c r="Q14" s="10"/>
      <c r="S14" s="8" t="s">
        <v>35</v>
      </c>
      <c r="T14" s="9"/>
      <c r="U14" s="11"/>
    </row>
    <row r="15" ht="14.25" customHeight="1">
      <c r="S15" s="8" t="s">
        <v>36</v>
      </c>
      <c r="T15" s="9"/>
      <c r="U15" s="11">
        <v>4.43</v>
      </c>
    </row>
    <row r="16" ht="14.25" customHeight="1"/>
    <row r="17" ht="14.25" customHeight="1"/>
    <row r="18" ht="14.25" customHeight="1">
      <c r="A18" s="1" t="s">
        <v>37</v>
      </c>
    </row>
    <row r="19" ht="14.25" customHeight="1"/>
    <row r="20" ht="14.25" customHeight="1"/>
    <row r="21" ht="14.25" customHeight="1">
      <c r="A21" s="2" t="s">
        <v>38</v>
      </c>
      <c r="B21" s="3"/>
      <c r="C21" s="4"/>
      <c r="D21" s="1"/>
      <c r="I21" s="2" t="s">
        <v>39</v>
      </c>
      <c r="J21" s="3"/>
      <c r="K21" s="4"/>
      <c r="M21" s="2" t="s">
        <v>40</v>
      </c>
      <c r="N21" s="3"/>
      <c r="O21" s="4"/>
      <c r="Q21" s="2" t="s">
        <v>41</v>
      </c>
      <c r="R21" s="3"/>
      <c r="S21" s="4"/>
      <c r="U21" s="2" t="s">
        <v>42</v>
      </c>
      <c r="V21" s="3"/>
      <c r="W21" s="4"/>
      <c r="AB21" s="2" t="s">
        <v>38</v>
      </c>
      <c r="AC21" s="3"/>
      <c r="AD21" s="4"/>
    </row>
    <row r="22" ht="14.25" customHeight="1">
      <c r="A22" s="5"/>
      <c r="B22" s="6"/>
      <c r="C22" s="7"/>
      <c r="D22" s="1"/>
      <c r="I22" s="5"/>
      <c r="J22" s="6"/>
      <c r="K22" s="7"/>
      <c r="M22" s="5"/>
      <c r="N22" s="6"/>
      <c r="O22" s="7"/>
      <c r="Q22" s="5"/>
      <c r="R22" s="6"/>
      <c r="S22" s="7"/>
      <c r="U22" s="5"/>
      <c r="V22" s="6"/>
      <c r="W22" s="7"/>
      <c r="AB22" s="5"/>
      <c r="AC22" s="6"/>
      <c r="AD22" s="7"/>
    </row>
    <row r="23" ht="14.25" customHeight="1">
      <c r="A23" s="8" t="s">
        <v>43</v>
      </c>
      <c r="B23" s="9"/>
      <c r="C23" s="10">
        <v>4.7</v>
      </c>
      <c r="I23" s="8" t="s">
        <v>44</v>
      </c>
      <c r="J23" s="9"/>
      <c r="K23" s="10"/>
      <c r="M23" s="8" t="s">
        <v>45</v>
      </c>
      <c r="N23" s="9"/>
      <c r="O23" s="10"/>
      <c r="Q23" s="8" t="s">
        <v>46</v>
      </c>
      <c r="R23" s="9"/>
      <c r="S23" s="10"/>
      <c r="U23" s="8" t="s">
        <v>47</v>
      </c>
      <c r="V23" s="9"/>
      <c r="W23" s="10"/>
      <c r="AB23" s="8" t="s">
        <v>48</v>
      </c>
      <c r="AC23" s="9"/>
      <c r="AD23" s="10"/>
    </row>
    <row r="24" ht="14.25" customHeight="1">
      <c r="A24" s="8" t="s">
        <v>49</v>
      </c>
      <c r="B24" s="9"/>
      <c r="C24" s="10"/>
      <c r="E24" s="2" t="s">
        <v>50</v>
      </c>
      <c r="F24" s="3"/>
      <c r="G24" s="4"/>
      <c r="H24" s="1"/>
      <c r="I24" s="8" t="s">
        <v>51</v>
      </c>
      <c r="J24" s="9"/>
      <c r="K24" s="10"/>
      <c r="M24" s="8" t="s">
        <v>52</v>
      </c>
      <c r="N24" s="9"/>
      <c r="O24" s="10"/>
      <c r="Q24" s="8" t="s">
        <v>53</v>
      </c>
      <c r="R24" s="9"/>
      <c r="S24" s="10"/>
      <c r="U24" s="8" t="s">
        <v>54</v>
      </c>
      <c r="V24" s="9"/>
      <c r="W24" s="10"/>
      <c r="AB24" s="8" t="s">
        <v>55</v>
      </c>
      <c r="AC24" s="9"/>
      <c r="AD24" s="10"/>
    </row>
    <row r="25" ht="14.25" customHeight="1">
      <c r="E25" s="5"/>
      <c r="F25" s="6"/>
      <c r="G25" s="7"/>
      <c r="H25" s="1"/>
    </row>
    <row r="26" ht="14.25" customHeight="1">
      <c r="E26" s="8" t="s">
        <v>27</v>
      </c>
      <c r="F26" s="9"/>
      <c r="G26" s="10"/>
    </row>
    <row r="27" ht="14.25" customHeight="1">
      <c r="E27" s="8" t="s">
        <v>56</v>
      </c>
      <c r="F27" s="9"/>
      <c r="G27" s="10"/>
      <c r="L27" s="2" t="s">
        <v>57</v>
      </c>
      <c r="M27" s="3"/>
      <c r="N27" s="4"/>
      <c r="Q27" s="2" t="s">
        <v>58</v>
      </c>
      <c r="R27" s="3"/>
      <c r="S27" s="4"/>
    </row>
    <row r="28" ht="14.25" customHeight="1">
      <c r="L28" s="5"/>
      <c r="M28" s="6"/>
      <c r="N28" s="7"/>
      <c r="Q28" s="5"/>
      <c r="R28" s="6"/>
      <c r="S28" s="7"/>
    </row>
    <row r="29" ht="14.25" customHeight="1">
      <c r="L29" s="8" t="s">
        <v>59</v>
      </c>
      <c r="M29" s="9"/>
      <c r="N29" s="10"/>
      <c r="Q29" s="8" t="s">
        <v>60</v>
      </c>
      <c r="R29" s="9"/>
      <c r="S29" s="10"/>
    </row>
    <row r="30" ht="14.25" customHeight="1">
      <c r="L30" s="8" t="s">
        <v>61</v>
      </c>
      <c r="M30" s="9"/>
      <c r="N30" s="10"/>
      <c r="Q30" s="8" t="s">
        <v>62</v>
      </c>
      <c r="R30" s="9"/>
      <c r="S30" s="10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>
      <c r="J36" s="2" t="s">
        <v>63</v>
      </c>
      <c r="K36" s="3"/>
      <c r="L36" s="4"/>
      <c r="R36" s="13" t="s">
        <v>64</v>
      </c>
      <c r="S36" s="3"/>
      <c r="T36" s="4"/>
    </row>
    <row r="37" ht="14.25" customHeight="1">
      <c r="J37" s="5"/>
      <c r="K37" s="6"/>
      <c r="L37" s="7"/>
      <c r="R37" s="5"/>
      <c r="S37" s="6"/>
      <c r="T37" s="7"/>
    </row>
    <row r="38" ht="14.25" customHeight="1">
      <c r="J38" s="8" t="s">
        <v>65</v>
      </c>
      <c r="K38" s="9"/>
      <c r="L38" s="10"/>
      <c r="R38" s="8" t="s">
        <v>66</v>
      </c>
      <c r="S38" s="9"/>
      <c r="T38" s="10"/>
    </row>
    <row r="39" ht="14.25" customHeight="1">
      <c r="J39" s="8" t="s">
        <v>67</v>
      </c>
      <c r="K39" s="9"/>
      <c r="L39" s="10"/>
      <c r="R39" s="8" t="s">
        <v>68</v>
      </c>
      <c r="S39" s="9"/>
      <c r="T39" s="10"/>
    </row>
    <row r="40" ht="14.25" customHeight="1">
      <c r="J40" s="8" t="s">
        <v>69</v>
      </c>
      <c r="K40" s="9"/>
      <c r="L40" s="10"/>
      <c r="R40" s="8" t="s">
        <v>70</v>
      </c>
      <c r="S40" s="9"/>
      <c r="T40" s="1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3">
    <mergeCell ref="Q21:S22"/>
    <mergeCell ref="U21:W22"/>
    <mergeCell ref="S12:T12"/>
    <mergeCell ref="S13:T13"/>
    <mergeCell ref="O14:P14"/>
    <mergeCell ref="S14:T14"/>
    <mergeCell ref="S15:T15"/>
    <mergeCell ref="A18:AD19"/>
    <mergeCell ref="A21:C22"/>
    <mergeCell ref="AB21:AD22"/>
    <mergeCell ref="I21:K22"/>
    <mergeCell ref="M21:O22"/>
    <mergeCell ref="I23:J23"/>
    <mergeCell ref="M23:N23"/>
    <mergeCell ref="Q23:R23"/>
    <mergeCell ref="U23:V23"/>
    <mergeCell ref="AB23:AC23"/>
    <mergeCell ref="AB24:AC24"/>
    <mergeCell ref="A23:B23"/>
    <mergeCell ref="A24:B24"/>
    <mergeCell ref="E24:G25"/>
    <mergeCell ref="I24:J24"/>
    <mergeCell ref="M24:N24"/>
    <mergeCell ref="Q24:R24"/>
    <mergeCell ref="U24:V24"/>
    <mergeCell ref="R39:S39"/>
    <mergeCell ref="R40:S40"/>
    <mergeCell ref="L30:M30"/>
    <mergeCell ref="J36:L37"/>
    <mergeCell ref="R36:T37"/>
    <mergeCell ref="J38:K38"/>
    <mergeCell ref="R38:S38"/>
    <mergeCell ref="J39:K39"/>
    <mergeCell ref="J40:K40"/>
    <mergeCell ref="U4:W5"/>
    <mergeCell ref="X5:Z6"/>
    <mergeCell ref="U6:V6"/>
    <mergeCell ref="U7:V7"/>
    <mergeCell ref="X7:Y7"/>
    <mergeCell ref="X8:Y8"/>
    <mergeCell ref="I4:K5"/>
    <mergeCell ref="I6:J6"/>
    <mergeCell ref="AB4:AD5"/>
    <mergeCell ref="AB6:AC6"/>
    <mergeCell ref="AB7:AC7"/>
    <mergeCell ref="A1:AD2"/>
    <mergeCell ref="A4:C5"/>
    <mergeCell ref="L4:N5"/>
    <mergeCell ref="O4:Q5"/>
    <mergeCell ref="R4:T5"/>
    <mergeCell ref="A6:B6"/>
    <mergeCell ref="R6:S6"/>
    <mergeCell ref="L6:M6"/>
    <mergeCell ref="O6:P6"/>
    <mergeCell ref="A7:B7"/>
    <mergeCell ref="I7:J7"/>
    <mergeCell ref="L7:M7"/>
    <mergeCell ref="O7:P7"/>
    <mergeCell ref="R7:S7"/>
    <mergeCell ref="E7:G8"/>
    <mergeCell ref="E9:F9"/>
    <mergeCell ref="E10:F10"/>
    <mergeCell ref="O10:Q11"/>
    <mergeCell ref="S10:U11"/>
    <mergeCell ref="O12:P12"/>
    <mergeCell ref="O13:P13"/>
    <mergeCell ref="E26:F26"/>
    <mergeCell ref="E27:F27"/>
    <mergeCell ref="L27:N28"/>
    <mergeCell ref="Q27:S28"/>
    <mergeCell ref="L29:M29"/>
    <mergeCell ref="Q29:R29"/>
    <mergeCell ref="Q30:R30"/>
  </mergeCells>
  <conditionalFormatting sqref="C6:C7 G9:G10 G26:G27 K6:K7 K23:K24 L38:L40 N6:N7 N29:N30 O23:O24 Q6:Q7 S23:S24 S29:S30 T6:T7 T38:T40 W6:W7 W23:W24 Z7:Z8 AD6:AD7 AD23:AD24">
    <cfRule type="cellIs" dxfId="0" priority="1" operator="lessThan">
      <formula>3.75</formula>
    </cfRule>
  </conditionalFormatting>
  <conditionalFormatting sqref="C6:C7 G9:G10 G26:G27 K6:K7 K23:K24 L38:L40 N6:N7 N29:N30 O23:O24 Q6:Q7 S23:S24 S29:S30 T6:T7 T38:T40 W6:W7 W23:W24 Z7:Z8 AD6:AD7 AD23:AD24">
    <cfRule type="cellIs" dxfId="1" priority="2" operator="greaterThan">
      <formula>4.5</formula>
    </cfRule>
  </conditionalFormatting>
  <conditionalFormatting sqref="C23">
    <cfRule type="cellIs" dxfId="1" priority="3" operator="greaterThan">
      <formula>4.5</formula>
    </cfRule>
  </conditionalFormatting>
  <conditionalFormatting sqref="C23:C24">
    <cfRule type="cellIs" dxfId="0" priority="4" operator="lessThan">
      <formula>3.75</formula>
    </cfRule>
  </conditionalFormatting>
  <conditionalFormatting sqref="C23:C24">
    <cfRule type="cellIs" dxfId="2" priority="5" operator="greaterThan">
      <formula>3.75</formula>
    </cfRule>
  </conditionalFormatting>
  <conditionalFormatting sqref="C23:C24">
    <cfRule type="cellIs" dxfId="1" priority="6" operator="greaterThan">
      <formula>4.5</formula>
    </cfRule>
  </conditionalFormatting>
  <conditionalFormatting sqref="Q12:Q14 U12:U15">
    <cfRule type="cellIs" dxfId="1" priority="7" operator="greaterThan">
      <formula>4.5</formula>
    </cfRule>
  </conditionalFormatting>
  <conditionalFormatting sqref="Q12:Q14 U12:U15">
    <cfRule type="cellIs" dxfId="0" priority="8" operator="lessThan">
      <formula>3.75</formula>
    </cfRule>
  </conditionalFormatting>
  <conditionalFormatting sqref="Q12:Q14 U12:U15">
    <cfRule type="cellIs" dxfId="2" priority="9" operator="greaterThan">
      <formula>3.75</formula>
    </cfRule>
  </conditionalFormatting>
  <conditionalFormatting sqref="C6:C7 G9:G10 G26:G27 K6:K7 K23:K24 L38:L40 N6:N7 N29:N30 O23:O24 Q6:Q7 S23:S24 S29:S30 T6:T7 T38:T40 W6:W7 W23:W24 Z7:Z8 AD6:AD7 AD23:AD24">
    <cfRule type="cellIs" dxfId="2" priority="10" operator="greaterThan">
      <formula>3.75</formula>
    </cfRule>
  </conditionalFormatting>
  <conditionalFormatting sqref="Z7:Z8">
    <cfRule type="cellIs" dxfId="1" priority="11" operator="greaterThan">
      <formula>4.5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18.0"/>
    <col customWidth="1" min="3" max="4" width="8.63"/>
    <col customWidth="1" min="5" max="5" width="34.38"/>
    <col customWidth="1" min="6" max="6" width="6.38"/>
    <col customWidth="1" min="7" max="7" width="7.13"/>
    <col customWidth="1" min="8" max="8" width="9.38"/>
    <col customWidth="1" min="9" max="9" width="10.88"/>
    <col customWidth="1" min="10" max="11" width="12.0"/>
    <col customWidth="1" min="12" max="12" width="11.0"/>
    <col customWidth="1" min="13" max="13" width="6.88"/>
    <col customWidth="1" min="14" max="14" width="6.13"/>
    <col customWidth="1" min="15" max="15" width="7.88"/>
    <col customWidth="1" min="16" max="16" width="14.5"/>
    <col customWidth="1" min="17" max="18" width="25.63"/>
    <col customWidth="1" min="19" max="27" width="8.63"/>
    <col customWidth="1" min="28" max="28" width="21.13"/>
    <col customWidth="1" min="29" max="29" width="19.88"/>
    <col customWidth="1" min="30" max="30" width="19.63"/>
    <col customWidth="1" min="31" max="31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78</v>
      </c>
      <c r="I1" s="14" t="s">
        <v>79</v>
      </c>
      <c r="J1" s="14" t="s">
        <v>80</v>
      </c>
      <c r="K1" s="14" t="s">
        <v>81</v>
      </c>
      <c r="L1" s="14" t="s">
        <v>82</v>
      </c>
      <c r="M1" s="14" t="s">
        <v>83</v>
      </c>
      <c r="N1" s="14" t="s">
        <v>84</v>
      </c>
      <c r="O1" s="14" t="s">
        <v>85</v>
      </c>
      <c r="P1" s="14" t="s">
        <v>86</v>
      </c>
      <c r="Q1" s="14" t="s">
        <v>87</v>
      </c>
      <c r="R1" s="15"/>
      <c r="S1" s="14" t="s">
        <v>86</v>
      </c>
      <c r="T1" s="14" t="s">
        <v>88</v>
      </c>
      <c r="U1" s="14" t="s">
        <v>89</v>
      </c>
      <c r="V1" s="14" t="s">
        <v>90</v>
      </c>
      <c r="W1" s="14" t="s">
        <v>91</v>
      </c>
      <c r="X1" s="14" t="s">
        <v>92</v>
      </c>
      <c r="Y1" s="14" t="s">
        <v>93</v>
      </c>
      <c r="Z1" s="14" t="s">
        <v>90</v>
      </c>
      <c r="AB1" s="16" t="s">
        <v>94</v>
      </c>
      <c r="AC1" s="16" t="s">
        <v>95</v>
      </c>
      <c r="AD1" s="16" t="s">
        <v>96</v>
      </c>
    </row>
    <row r="2" ht="14.25" customHeight="1">
      <c r="A2" s="17" t="s">
        <v>97</v>
      </c>
      <c r="B2" s="14" t="s">
        <v>72</v>
      </c>
      <c r="C2" s="18">
        <v>2.0</v>
      </c>
      <c r="D2" s="17" t="s">
        <v>98</v>
      </c>
      <c r="E2" s="17" t="s">
        <v>99</v>
      </c>
      <c r="F2" s="18">
        <v>400.0</v>
      </c>
      <c r="G2" s="18">
        <v>357.0</v>
      </c>
      <c r="H2" s="18">
        <v>213.0</v>
      </c>
      <c r="I2" s="19">
        <v>0.597</v>
      </c>
      <c r="J2" s="18">
        <v>2906.0</v>
      </c>
      <c r="K2" s="18">
        <v>8.1</v>
      </c>
      <c r="L2" s="18">
        <v>26.0</v>
      </c>
      <c r="M2" s="18">
        <v>5.0</v>
      </c>
      <c r="N2" s="18">
        <v>7.0</v>
      </c>
      <c r="O2" s="18">
        <v>7.0</v>
      </c>
      <c r="P2" s="20">
        <f t="shared" ref="P2:P421" si="1">IFERROR((I2*0.35+K2*7+L2*6+J2/25-M2*10-(N2/F2)*50-(O2/G2)*40)/50,0)</f>
        <v>5.549792725</v>
      </c>
      <c r="Q2" s="20">
        <f t="shared" ref="Q2:Q423" si="2">100*(P2-MIN($P$2:$P$692))/(MAX($P$2:$P$692) - MIN($P$2:$P$692))</f>
        <v>3.030751396</v>
      </c>
      <c r="R2" s="21"/>
      <c r="S2" s="20">
        <v>5.549792725490196</v>
      </c>
      <c r="T2" s="22">
        <v>1.01</v>
      </c>
      <c r="U2" s="23">
        <v>5.49</v>
      </c>
      <c r="V2" s="23">
        <v>3.5</v>
      </c>
      <c r="W2" s="18">
        <v>1.0</v>
      </c>
      <c r="X2" s="22">
        <f t="shared" ref="X2:X54" si="3">IFERROR((U2*0.7+T2*0.15+S2*0.15*W7),0)</f>
        <v>4.743722018</v>
      </c>
      <c r="Y2" s="20">
        <f t="shared" ref="Y2:Y423" si="4">100*(X2-MIN($X$2:$X$692))/(MAX($X$2:$X$692) - MIN($X$2:$X$692))</f>
        <v>95.35681187</v>
      </c>
      <c r="Z2" s="20">
        <f t="shared" ref="Z2:Z53" si="5">Y2-Q2</f>
        <v>92.32606048</v>
      </c>
      <c r="AA2" s="20"/>
      <c r="AB2" s="20">
        <f>IFERROR(__xludf.DUMMYFUNCTION("iferror(PERCENTRANK.INC(FILTER($X$2:$X$423, $U$2:$U$423&lt;3.75), $X2), 1)"),1.0)</f>
        <v>1</v>
      </c>
      <c r="AC2" s="20">
        <f>IFERROR(__xludf.DUMMYFUNCTION("iferror(PERCENTRANK.INC(FILTER($X$2:$X$423, $U$2:$U$423&lt;4.25), $X2), 1)"),1.0)</f>
        <v>1</v>
      </c>
      <c r="AD2" s="20">
        <f>IFERROR(__xludf.DUMMYFUNCTION("iferror(PERCENTRANK.INC(FILTER($X$2:$X$423, $U$2:$U$423&gt;=4.1), $X2), 0.01)"),0.92)</f>
        <v>0.92</v>
      </c>
      <c r="AE2" s="20"/>
    </row>
    <row r="3" ht="14.25" customHeight="1">
      <c r="A3" s="17" t="s">
        <v>100</v>
      </c>
      <c r="B3" s="17" t="s">
        <v>101</v>
      </c>
      <c r="C3" s="18">
        <v>1.0</v>
      </c>
      <c r="D3" s="17" t="s">
        <v>98</v>
      </c>
      <c r="E3" s="17" t="s">
        <v>102</v>
      </c>
      <c r="F3" s="18">
        <v>398.0</v>
      </c>
      <c r="G3" s="18">
        <v>359.0</v>
      </c>
      <c r="H3" s="18">
        <v>212.0</v>
      </c>
      <c r="I3" s="19">
        <v>0.591</v>
      </c>
      <c r="J3" s="18">
        <v>2887.0</v>
      </c>
      <c r="K3" s="18">
        <v>8.0</v>
      </c>
      <c r="L3" s="18">
        <v>25.0</v>
      </c>
      <c r="M3" s="18">
        <v>7.0</v>
      </c>
      <c r="N3" s="18">
        <v>13.0</v>
      </c>
      <c r="O3" s="18">
        <v>12.0</v>
      </c>
      <c r="P3" s="20">
        <f t="shared" si="1"/>
        <v>4.974332736</v>
      </c>
      <c r="Q3" s="20">
        <f t="shared" si="2"/>
        <v>2.75786829</v>
      </c>
      <c r="R3" s="24"/>
      <c r="S3" s="20">
        <v>4.974332736341876</v>
      </c>
      <c r="T3" s="22">
        <v>1.41</v>
      </c>
      <c r="U3" s="23">
        <v>5.19</v>
      </c>
      <c r="V3" s="23">
        <v>8.24</v>
      </c>
      <c r="W3" s="18">
        <v>0.9</v>
      </c>
      <c r="X3" s="22">
        <f t="shared" si="3"/>
        <v>4.553342415</v>
      </c>
      <c r="Y3" s="20">
        <f t="shared" si="4"/>
        <v>93.00275606</v>
      </c>
      <c r="Z3" s="20">
        <f t="shared" si="5"/>
        <v>90.24488777</v>
      </c>
      <c r="AA3" s="20"/>
      <c r="AB3" s="20">
        <f>IFERROR(__xludf.DUMMYFUNCTION("iferror(PERCENTRANK.INC(FILTER($X$2:$X$423, $U$2:$U$423&lt;3.75), $X3), 1)"),1.0)</f>
        <v>1</v>
      </c>
      <c r="AC3" s="20">
        <f>IFERROR(__xludf.DUMMYFUNCTION("iferror(PERCENTRANK.INC(FILTER($X$2:$X$423, $U$2:$U$423&lt;4.25), $X3), 1)"),1.0)</f>
        <v>1</v>
      </c>
      <c r="AD3" s="20">
        <f>IFERROR(__xludf.DUMMYFUNCTION("iferror(PERCENTRANK.INC(FILTER($X$2:$X$423, $U$2:$U$423&gt;=4.1), $X3), 0.01)"),0.88)</f>
        <v>0.88</v>
      </c>
      <c r="AE3" s="20"/>
    </row>
    <row r="4" ht="14.25" customHeight="1">
      <c r="A4" s="17" t="s">
        <v>103</v>
      </c>
      <c r="B4" s="17" t="s">
        <v>104</v>
      </c>
      <c r="C4" s="18">
        <v>12.0</v>
      </c>
      <c r="D4" s="17" t="s">
        <v>98</v>
      </c>
      <c r="E4" s="17" t="s">
        <v>105</v>
      </c>
      <c r="F4" s="18">
        <v>335.0</v>
      </c>
      <c r="G4" s="18">
        <v>291.0</v>
      </c>
      <c r="H4" s="18">
        <v>176.0</v>
      </c>
      <c r="I4" s="19">
        <v>0.605</v>
      </c>
      <c r="J4" s="18">
        <v>1969.0</v>
      </c>
      <c r="K4" s="18">
        <v>6.8</v>
      </c>
      <c r="L4" s="18">
        <v>12.0</v>
      </c>
      <c r="M4" s="18">
        <v>2.0</v>
      </c>
      <c r="N4" s="18">
        <v>27.0</v>
      </c>
      <c r="O4" s="18">
        <v>6.0</v>
      </c>
      <c r="P4" s="20">
        <f t="shared" si="1"/>
        <v>3.47434314</v>
      </c>
      <c r="Q4" s="20">
        <f t="shared" si="2"/>
        <v>2.04657328</v>
      </c>
      <c r="R4" s="24"/>
      <c r="S4" s="20">
        <v>3.474343139713802</v>
      </c>
      <c r="T4" s="22">
        <v>3.59</v>
      </c>
      <c r="U4" s="23">
        <v>4.8</v>
      </c>
      <c r="V4" s="23">
        <v>16.75</v>
      </c>
      <c r="W4" s="18">
        <v>0.9</v>
      </c>
      <c r="X4" s="22">
        <f t="shared" si="3"/>
        <v>4.419651471</v>
      </c>
      <c r="Y4" s="20">
        <f t="shared" si="4"/>
        <v>91.3496591</v>
      </c>
      <c r="Z4" s="20">
        <f t="shared" si="5"/>
        <v>89.30308582</v>
      </c>
      <c r="AA4" s="20"/>
      <c r="AB4" s="20">
        <f>IFERROR(__xludf.DUMMYFUNCTION("iferror(PERCENTRANK.INC(FILTER($X$2:$X$423, $U$2:$U$423&lt;3.75), $X4), 1)"),1.0)</f>
        <v>1</v>
      </c>
      <c r="AC4" s="20">
        <f>IFERROR(__xludf.DUMMYFUNCTION("iferror(PERCENTRANK.INC(FILTER($X$2:$X$423, $U$2:$U$423&lt;4.25), $X4), 1)"),1.0)</f>
        <v>1</v>
      </c>
      <c r="AD4" s="20">
        <f>IFERROR(__xludf.DUMMYFUNCTION("iferror(PERCENTRANK.INC(FILTER($X$2:$X$423, $U$2:$U$423&gt;=4.1), $X4), 0.01)"),0.84)</f>
        <v>0.84</v>
      </c>
      <c r="AE4" s="20"/>
    </row>
    <row r="5" ht="14.25" customHeight="1">
      <c r="A5" s="17" t="s">
        <v>106</v>
      </c>
      <c r="B5" s="17" t="s">
        <v>107</v>
      </c>
      <c r="C5" s="18">
        <v>15.0</v>
      </c>
      <c r="D5" s="17" t="s">
        <v>98</v>
      </c>
      <c r="E5" s="17" t="s">
        <v>108</v>
      </c>
      <c r="F5" s="18">
        <v>305.0</v>
      </c>
      <c r="G5" s="18">
        <v>261.0</v>
      </c>
      <c r="H5" s="18">
        <v>185.0</v>
      </c>
      <c r="I5" s="19">
        <v>0.709</v>
      </c>
      <c r="J5" s="18">
        <v>2039.0</v>
      </c>
      <c r="K5" s="18">
        <v>7.8</v>
      </c>
      <c r="L5" s="18">
        <v>18.0</v>
      </c>
      <c r="M5" s="18">
        <v>6.0</v>
      </c>
      <c r="N5" s="18">
        <v>28.0</v>
      </c>
      <c r="O5" s="18">
        <v>11.0</v>
      </c>
      <c r="P5" s="20">
        <f t="shared" si="1"/>
        <v>3.562643246</v>
      </c>
      <c r="Q5" s="20">
        <f t="shared" si="2"/>
        <v>2.088445187</v>
      </c>
      <c r="R5" s="24"/>
      <c r="S5" s="20">
        <v>3.56264324621569</v>
      </c>
      <c r="T5" s="22">
        <v>1.0</v>
      </c>
      <c r="U5" s="16">
        <v>5.36</v>
      </c>
      <c r="V5" s="16">
        <v>7.6</v>
      </c>
      <c r="W5" s="25">
        <v>1.0</v>
      </c>
      <c r="X5" s="22">
        <f t="shared" si="3"/>
        <v>4.382956838</v>
      </c>
      <c r="Y5" s="20">
        <f t="shared" si="4"/>
        <v>90.89592765</v>
      </c>
      <c r="Z5" s="20">
        <f t="shared" si="5"/>
        <v>88.80748246</v>
      </c>
      <c r="AA5" s="20"/>
      <c r="AB5" s="20">
        <f>IFERROR(__xludf.DUMMYFUNCTION("iferror(PERCENTRANK.INC(FILTER($X$2:$X$423, $U$2:$U$423&lt;3.75), $X5), 1)"),1.0)</f>
        <v>1</v>
      </c>
      <c r="AC5" s="20">
        <f>IFERROR(__xludf.DUMMYFUNCTION("iferror(PERCENTRANK.INC(FILTER($X$2:$X$423, $U$2:$U$423&lt;4.25), $X5), 1)"),1.0)</f>
        <v>1</v>
      </c>
      <c r="AD5" s="20">
        <f>IFERROR(__xludf.DUMMYFUNCTION("iferror(PERCENTRANK.INC(FILTER($X$2:$X$423, $U$2:$U$423&gt;=4.1), $X5), 0.01)"),0.8)</f>
        <v>0.8</v>
      </c>
      <c r="AE5" s="20"/>
    </row>
    <row r="6" ht="14.25" customHeight="1">
      <c r="A6" s="14" t="s">
        <v>109</v>
      </c>
      <c r="B6" s="14" t="s">
        <v>110</v>
      </c>
      <c r="C6" s="14">
        <v>2.0</v>
      </c>
      <c r="D6" s="14" t="s">
        <v>98</v>
      </c>
      <c r="E6" s="14" t="s">
        <v>111</v>
      </c>
      <c r="F6" s="16">
        <v>185.0</v>
      </c>
      <c r="G6" s="16">
        <v>185.0</v>
      </c>
      <c r="H6" s="16">
        <v>114.0</v>
      </c>
      <c r="I6" s="26">
        <v>0.616</v>
      </c>
      <c r="J6" s="16">
        <v>1709.0</v>
      </c>
      <c r="K6" s="16">
        <v>9.2</v>
      </c>
      <c r="L6" s="16">
        <v>18.0</v>
      </c>
      <c r="M6" s="16">
        <v>4.0</v>
      </c>
      <c r="N6" s="14">
        <v>3.0</v>
      </c>
      <c r="O6" s="14">
        <v>3.0</v>
      </c>
      <c r="P6" s="20">
        <f t="shared" si="1"/>
        <v>3.990322811</v>
      </c>
      <c r="Q6" s="20">
        <f t="shared" si="2"/>
        <v>2.291250821</v>
      </c>
      <c r="R6" s="27"/>
      <c r="S6" s="20">
        <v>3.990322810810811</v>
      </c>
      <c r="T6" s="28">
        <v>3.0</v>
      </c>
      <c r="U6" s="16">
        <v>4.36</v>
      </c>
      <c r="V6" s="16">
        <v>-4.99</v>
      </c>
      <c r="W6" s="16">
        <v>0.85</v>
      </c>
      <c r="X6" s="22">
        <f t="shared" si="3"/>
        <v>4.040693579</v>
      </c>
      <c r="Y6" s="20">
        <f t="shared" si="4"/>
        <v>86.66382084</v>
      </c>
      <c r="Z6" s="20">
        <f t="shared" si="5"/>
        <v>84.37257002</v>
      </c>
      <c r="AA6" s="20"/>
      <c r="AB6" s="20">
        <f>IFERROR(__xludf.DUMMYFUNCTION("iferror(PERCENTRANK.INC(FILTER($X$2:$X$423, $U$2:$U$423&lt;3.75), $X6), 1)"),0.997)</f>
        <v>0.997</v>
      </c>
      <c r="AC6" s="20">
        <f>IFERROR(__xludf.DUMMYFUNCTION("iferror(PERCENTRANK.INC(FILTER($X$2:$X$423, $U$2:$U$423&lt;4.25), $X6), 1)"),0.996)</f>
        <v>0.996</v>
      </c>
      <c r="AD6" s="20">
        <f>IFERROR(__xludf.DUMMYFUNCTION("iferror(PERCENTRANK.INC(FILTER($X$2:$X$423, $U$2:$U$423&gt;=4.1), $X6), 0.01)"),0.76)</f>
        <v>0.76</v>
      </c>
      <c r="AE6" s="20"/>
    </row>
    <row r="7" ht="14.25" customHeight="1">
      <c r="A7" s="17" t="s">
        <v>112</v>
      </c>
      <c r="B7" s="17" t="s">
        <v>113</v>
      </c>
      <c r="C7" s="18">
        <v>11.0</v>
      </c>
      <c r="D7" s="17" t="s">
        <v>98</v>
      </c>
      <c r="E7" s="17" t="s">
        <v>114</v>
      </c>
      <c r="F7" s="18">
        <v>158.0</v>
      </c>
      <c r="G7" s="18">
        <v>137.0</v>
      </c>
      <c r="H7" s="18">
        <v>89.0</v>
      </c>
      <c r="I7" s="19">
        <v>0.65</v>
      </c>
      <c r="J7" s="18">
        <v>932.0</v>
      </c>
      <c r="K7" s="18">
        <v>6.8</v>
      </c>
      <c r="L7" s="18">
        <v>6.0</v>
      </c>
      <c r="M7" s="18">
        <v>2.0</v>
      </c>
      <c r="N7" s="18">
        <v>8.0</v>
      </c>
      <c r="O7" s="18">
        <v>2.0</v>
      </c>
      <c r="P7" s="20">
        <f t="shared" si="1"/>
        <v>1.959838256</v>
      </c>
      <c r="Q7" s="20">
        <f t="shared" si="2"/>
        <v>1.328395121</v>
      </c>
      <c r="R7" s="24"/>
      <c r="S7" s="20">
        <v>1.9598382564908068</v>
      </c>
      <c r="T7" s="22">
        <v>4.98</v>
      </c>
      <c r="U7" s="16">
        <v>4.28</v>
      </c>
      <c r="V7" s="16">
        <v>-0.53</v>
      </c>
      <c r="W7" s="25">
        <v>0.9</v>
      </c>
      <c r="X7" s="22">
        <f t="shared" si="3"/>
        <v>4.007578165</v>
      </c>
      <c r="Y7" s="20">
        <f t="shared" si="4"/>
        <v>86.25434665</v>
      </c>
      <c r="Z7" s="20">
        <f t="shared" si="5"/>
        <v>84.92595153</v>
      </c>
      <c r="AA7" s="20"/>
      <c r="AB7" s="20">
        <f>IFERROR(__xludf.DUMMYFUNCTION("iferror(PERCENTRANK.INC(FILTER($X$2:$X$423, $U$2:$U$423&lt;3.75), $X7), 1)"),0.997)</f>
        <v>0.997</v>
      </c>
      <c r="AC7" s="20">
        <f>IFERROR(__xludf.DUMMYFUNCTION("iferror(PERCENTRANK.INC(FILTER($X$2:$X$423, $U$2:$U$423&lt;4.25), $X7), 1)"),0.996)</f>
        <v>0.996</v>
      </c>
      <c r="AD7" s="20">
        <f>IFERROR(__xludf.DUMMYFUNCTION("iferror(PERCENTRANK.INC(FILTER($X$2:$X$423, $U$2:$U$423&gt;=4.1), $X7), 0.01)"),0.72)</f>
        <v>0.72</v>
      </c>
      <c r="AE7" s="20"/>
    </row>
    <row r="8" ht="14.25" customHeight="1">
      <c r="A8" s="17" t="s">
        <v>115</v>
      </c>
      <c r="B8" s="17" t="s">
        <v>116</v>
      </c>
      <c r="C8" s="18">
        <v>1.0</v>
      </c>
      <c r="D8" s="17" t="s">
        <v>98</v>
      </c>
      <c r="E8" s="17" t="s">
        <v>117</v>
      </c>
      <c r="F8" s="18">
        <v>355.0</v>
      </c>
      <c r="G8" s="18">
        <v>311.0</v>
      </c>
      <c r="H8" s="18">
        <v>175.0</v>
      </c>
      <c r="I8" s="19">
        <v>0.563</v>
      </c>
      <c r="J8" s="18">
        <v>2649.0</v>
      </c>
      <c r="K8" s="18">
        <v>8.5</v>
      </c>
      <c r="L8" s="18">
        <v>21.0</v>
      </c>
      <c r="M8" s="18">
        <v>13.0</v>
      </c>
      <c r="N8" s="18">
        <v>18.0</v>
      </c>
      <c r="O8" s="18">
        <v>12.0</v>
      </c>
      <c r="P8" s="20">
        <f t="shared" si="1"/>
        <v>3.151568607</v>
      </c>
      <c r="Q8" s="20">
        <f t="shared" si="2"/>
        <v>1.893513609</v>
      </c>
      <c r="R8" s="29"/>
      <c r="S8" s="20">
        <v>3.1515686074453146</v>
      </c>
      <c r="T8" s="22">
        <v>1.42</v>
      </c>
      <c r="U8" s="23">
        <v>4.78</v>
      </c>
      <c r="V8" s="23">
        <v>-1.06</v>
      </c>
      <c r="W8" s="18">
        <v>0.95</v>
      </c>
      <c r="X8" s="22">
        <f t="shared" si="3"/>
        <v>3.984461762</v>
      </c>
      <c r="Y8" s="20">
        <f t="shared" si="4"/>
        <v>85.96851087</v>
      </c>
      <c r="Z8" s="20">
        <f t="shared" si="5"/>
        <v>84.07499726</v>
      </c>
      <c r="AA8" s="20"/>
      <c r="AB8" s="20">
        <f>IFERROR(__xludf.DUMMYFUNCTION("iferror(PERCENTRANK.INC(FILTER($X$2:$X$423, $U$2:$U$423&lt;3.75), $X8), 1)"),0.997)</f>
        <v>0.997</v>
      </c>
      <c r="AC8" s="20">
        <f>IFERROR(__xludf.DUMMYFUNCTION("iferror(PERCENTRANK.INC(FILTER($X$2:$X$423, $U$2:$U$423&lt;4.25), $X8), 1)"),0.996)</f>
        <v>0.996</v>
      </c>
      <c r="AD8" s="20">
        <f>IFERROR(__xludf.DUMMYFUNCTION("iferror(PERCENTRANK.INC(FILTER($X$2:$X$423, $U$2:$U$423&gt;=4.1), $X8), 0.01)"),0.68)</f>
        <v>0.68</v>
      </c>
      <c r="AE8" s="20"/>
    </row>
    <row r="9" ht="14.25" customHeight="1">
      <c r="A9" s="17" t="s">
        <v>30</v>
      </c>
      <c r="B9" s="17" t="s">
        <v>118</v>
      </c>
      <c r="C9" s="18">
        <v>4.0</v>
      </c>
      <c r="D9" s="17" t="s">
        <v>98</v>
      </c>
      <c r="E9" s="17" t="s">
        <v>99</v>
      </c>
      <c r="F9" s="18">
        <v>356.0</v>
      </c>
      <c r="G9" s="18">
        <v>325.0</v>
      </c>
      <c r="H9" s="18">
        <v>196.0</v>
      </c>
      <c r="I9" s="19">
        <v>0.603</v>
      </c>
      <c r="J9" s="18">
        <v>2252.0</v>
      </c>
      <c r="K9" s="18">
        <v>6.9</v>
      </c>
      <c r="L9" s="18">
        <v>22.0</v>
      </c>
      <c r="M9" s="18">
        <v>6.0</v>
      </c>
      <c r="N9" s="18">
        <v>8.0</v>
      </c>
      <c r="O9" s="18">
        <v>10.0</v>
      </c>
      <c r="P9" s="20">
        <f t="shared" si="1"/>
        <v>4.164733705</v>
      </c>
      <c r="Q9" s="20">
        <f t="shared" si="2"/>
        <v>2.37395646</v>
      </c>
      <c r="R9" s="24"/>
      <c r="S9" s="20">
        <v>4.164733705272256</v>
      </c>
      <c r="T9" s="22">
        <v>1.0</v>
      </c>
      <c r="U9" s="23">
        <v>4.57</v>
      </c>
      <c r="V9" s="23">
        <v>0.09</v>
      </c>
      <c r="W9" s="18">
        <v>1.0</v>
      </c>
      <c r="X9" s="22">
        <f t="shared" si="3"/>
        <v>3.942474553</v>
      </c>
      <c r="Y9" s="20">
        <f t="shared" si="4"/>
        <v>85.44933638</v>
      </c>
      <c r="Z9" s="20">
        <f t="shared" si="5"/>
        <v>83.07537992</v>
      </c>
      <c r="AA9" s="20"/>
      <c r="AB9" s="20">
        <f>IFERROR(__xludf.DUMMYFUNCTION("iferror(PERCENTRANK.INC(FILTER($X$2:$X$423, $U$2:$U$423&lt;3.75), $X9), 1)"),0.997)</f>
        <v>0.997</v>
      </c>
      <c r="AC9" s="20">
        <f>IFERROR(__xludf.DUMMYFUNCTION("iferror(PERCENTRANK.INC(FILTER($X$2:$X$423, $U$2:$U$423&lt;4.25), $X9), 1)"),0.996)</f>
        <v>0.996</v>
      </c>
      <c r="AD9" s="20">
        <f>IFERROR(__xludf.DUMMYFUNCTION("iferror(PERCENTRANK.INC(FILTER($X$2:$X$423, $U$2:$U$423&gt;=4.1), $X9), 0.01)"),0.64)</f>
        <v>0.64</v>
      </c>
      <c r="AE9" s="20"/>
    </row>
    <row r="10" ht="14.25" customHeight="1">
      <c r="A10" s="17" t="s">
        <v>119</v>
      </c>
      <c r="B10" s="17" t="s">
        <v>120</v>
      </c>
      <c r="C10" s="18">
        <v>8.0</v>
      </c>
      <c r="D10" s="17" t="s">
        <v>98</v>
      </c>
      <c r="E10" s="17" t="s">
        <v>121</v>
      </c>
      <c r="F10" s="18">
        <v>464.0</v>
      </c>
      <c r="G10" s="18">
        <v>439.0</v>
      </c>
      <c r="H10" s="18">
        <v>291.0</v>
      </c>
      <c r="I10" s="19">
        <v>0.663</v>
      </c>
      <c r="J10" s="18">
        <v>2972.0</v>
      </c>
      <c r="K10" s="18">
        <v>6.8</v>
      </c>
      <c r="L10" s="18">
        <v>17.0</v>
      </c>
      <c r="M10" s="18">
        <v>13.0</v>
      </c>
      <c r="N10" s="18">
        <v>23.0</v>
      </c>
      <c r="O10" s="18">
        <v>14.0</v>
      </c>
      <c r="P10" s="20">
        <f t="shared" si="1"/>
        <v>2.699159506</v>
      </c>
      <c r="Q10" s="20">
        <f t="shared" si="2"/>
        <v>1.67898123</v>
      </c>
      <c r="R10" s="24"/>
      <c r="S10" s="20">
        <v>2.699159506008954</v>
      </c>
      <c r="T10" s="22">
        <v>2.64</v>
      </c>
      <c r="U10" s="16">
        <v>4.25</v>
      </c>
      <c r="V10" s="16">
        <v>13.19</v>
      </c>
      <c r="W10" s="25">
        <v>0.9</v>
      </c>
      <c r="X10" s="22">
        <f t="shared" si="3"/>
        <v>3.775873926</v>
      </c>
      <c r="Y10" s="20">
        <f t="shared" si="4"/>
        <v>83.38930911</v>
      </c>
      <c r="Z10" s="20">
        <f t="shared" si="5"/>
        <v>81.71032788</v>
      </c>
      <c r="AA10" s="20"/>
      <c r="AB10" s="20">
        <f>IFERROR(__xludf.DUMMYFUNCTION("iferror(PERCENTRANK.INC(FILTER($X$2:$X$423, $U$2:$U$423&lt;3.75), $X10), 1)"),0.996)</f>
        <v>0.996</v>
      </c>
      <c r="AC10" s="20">
        <f>IFERROR(__xludf.DUMMYFUNCTION("iferror(PERCENTRANK.INC(FILTER($X$2:$X$423, $U$2:$U$423&lt;4.25), $X10), 1)"),0.995)</f>
        <v>0.995</v>
      </c>
      <c r="AD10" s="20">
        <f>IFERROR(__xludf.DUMMYFUNCTION("iferror(PERCENTRANK.INC(FILTER($X$2:$X$423, $U$2:$U$423&gt;=4.1), $X10), 0.01)"),0.56)</f>
        <v>0.56</v>
      </c>
      <c r="AE10" s="20"/>
    </row>
    <row r="11" ht="14.25" customHeight="1">
      <c r="A11" s="17" t="s">
        <v>122</v>
      </c>
      <c r="B11" s="17" t="s">
        <v>123</v>
      </c>
      <c r="C11" s="18">
        <v>8.0</v>
      </c>
      <c r="D11" s="17" t="s">
        <v>98</v>
      </c>
      <c r="E11" s="17" t="s">
        <v>124</v>
      </c>
      <c r="F11" s="18">
        <v>348.0</v>
      </c>
      <c r="G11" s="18">
        <v>317.0</v>
      </c>
      <c r="H11" s="18">
        <v>212.0</v>
      </c>
      <c r="I11" s="19">
        <v>0.669</v>
      </c>
      <c r="J11" s="18">
        <v>2786.0</v>
      </c>
      <c r="K11" s="18">
        <v>8.8</v>
      </c>
      <c r="L11" s="18">
        <v>26.0</v>
      </c>
      <c r="M11" s="18">
        <v>11.0</v>
      </c>
      <c r="N11" s="18">
        <v>16.0</v>
      </c>
      <c r="O11" s="18">
        <v>14.0</v>
      </c>
      <c r="P11" s="20">
        <f t="shared" si="1"/>
        <v>4.304174758</v>
      </c>
      <c r="Q11" s="20">
        <f t="shared" si="2"/>
        <v>2.440079402</v>
      </c>
      <c r="R11" s="24"/>
      <c r="S11" s="20">
        <v>4.304174758221836</v>
      </c>
      <c r="T11" s="22">
        <v>1.21</v>
      </c>
      <c r="U11" s="16">
        <v>4.24</v>
      </c>
      <c r="V11" s="16">
        <v>3.47</v>
      </c>
      <c r="W11" s="25">
        <v>0.9</v>
      </c>
      <c r="X11" s="22">
        <f t="shared" si="3"/>
        <v>3.730563592</v>
      </c>
      <c r="Y11" s="20">
        <f t="shared" si="4"/>
        <v>82.82904397</v>
      </c>
      <c r="Z11" s="20">
        <f t="shared" si="5"/>
        <v>80.38896457</v>
      </c>
      <c r="AA11" s="20"/>
      <c r="AB11" s="20">
        <f>IFERROR(__xludf.DUMMYFUNCTION("iferror(PERCENTRANK.INC(FILTER($X$2:$X$423, $U$2:$U$423&lt;3.75), $X11), 1)"),0.996)</f>
        <v>0.996</v>
      </c>
      <c r="AC11" s="20">
        <f>IFERROR(__xludf.DUMMYFUNCTION("iferror(PERCENTRANK.INC(FILTER($X$2:$X$423, $U$2:$U$423&lt;4.25), $X11), 1)"),0.993)</f>
        <v>0.993</v>
      </c>
      <c r="AD11" s="20">
        <f>IFERROR(__xludf.DUMMYFUNCTION("iferror(PERCENTRANK.INC(FILTER($X$2:$X$423, $U$2:$U$423&gt;=4.1), $X11), 0.01)"),0.44)</f>
        <v>0.44</v>
      </c>
      <c r="AE11" s="20"/>
    </row>
    <row r="12" ht="14.25" customHeight="1">
      <c r="A12" s="17" t="s">
        <v>125</v>
      </c>
      <c r="B12" s="17" t="s">
        <v>126</v>
      </c>
      <c r="C12" s="18">
        <v>16.0</v>
      </c>
      <c r="D12" s="17" t="s">
        <v>98</v>
      </c>
      <c r="E12" s="17" t="s">
        <v>127</v>
      </c>
      <c r="F12" s="18">
        <v>388.0</v>
      </c>
      <c r="G12" s="18">
        <v>370.0</v>
      </c>
      <c r="H12" s="18">
        <v>230.0</v>
      </c>
      <c r="I12" s="19">
        <v>0.622</v>
      </c>
      <c r="J12" s="18">
        <v>2608.0</v>
      </c>
      <c r="K12" s="18">
        <v>7.0</v>
      </c>
      <c r="L12" s="18">
        <v>19.0</v>
      </c>
      <c r="M12" s="18">
        <v>7.0</v>
      </c>
      <c r="N12" s="18">
        <v>9.0</v>
      </c>
      <c r="O12" s="18">
        <v>8.0</v>
      </c>
      <c r="P12" s="20">
        <f t="shared" si="1"/>
        <v>3.910260826</v>
      </c>
      <c r="Q12" s="20">
        <f t="shared" si="2"/>
        <v>2.253285431</v>
      </c>
      <c r="R12" s="24"/>
      <c r="S12" s="20">
        <v>3.910260826414042</v>
      </c>
      <c r="T12" s="22">
        <v>0.99</v>
      </c>
      <c r="U12" s="23">
        <v>4.1</v>
      </c>
      <c r="V12" s="23">
        <v>1.29</v>
      </c>
      <c r="W12" s="18">
        <v>0.9</v>
      </c>
      <c r="X12" s="22">
        <f t="shared" si="3"/>
        <v>3.546385212</v>
      </c>
      <c r="Y12" s="20">
        <f t="shared" si="4"/>
        <v>80.55166666</v>
      </c>
      <c r="Z12" s="20">
        <f t="shared" si="5"/>
        <v>78.29838123</v>
      </c>
      <c r="AA12" s="20"/>
      <c r="AB12" s="20">
        <f>IFERROR(__xludf.DUMMYFUNCTION("iferror(PERCENTRANK.INC(FILTER($X$2:$X$423, $U$2:$U$423&lt;3.75), $X12), 1)"),0.995)</f>
        <v>0.995</v>
      </c>
      <c r="AC12" s="20">
        <f>IFERROR(__xludf.DUMMYFUNCTION("iferror(PERCENTRANK.INC(FILTER($X$2:$X$423, $U$2:$U$423&lt;4.25), $X12), 1)"),0.99)</f>
        <v>0.99</v>
      </c>
      <c r="AD12" s="20">
        <f>IFERROR(__xludf.DUMMYFUNCTION("iferror(PERCENTRANK.INC(FILTER($X$2:$X$423, $U$2:$U$423&gt;=4.1), $X12), 0.01)"),0.4)</f>
        <v>0.4</v>
      </c>
      <c r="AE12" s="20"/>
    </row>
    <row r="13" ht="14.25" customHeight="1">
      <c r="A13" s="17" t="s">
        <v>128</v>
      </c>
      <c r="B13" s="17" t="s">
        <v>129</v>
      </c>
      <c r="C13" s="18">
        <v>5.0</v>
      </c>
      <c r="D13" s="17" t="s">
        <v>98</v>
      </c>
      <c r="E13" s="17" t="s">
        <v>124</v>
      </c>
      <c r="F13" s="18">
        <v>401.0</v>
      </c>
      <c r="G13" s="18">
        <v>334.0</v>
      </c>
      <c r="H13" s="18">
        <v>182.0</v>
      </c>
      <c r="I13" s="19">
        <v>0.545</v>
      </c>
      <c r="J13" s="18">
        <v>2140.0</v>
      </c>
      <c r="K13" s="18">
        <v>6.4</v>
      </c>
      <c r="L13" s="18">
        <v>20.0</v>
      </c>
      <c r="M13" s="18">
        <v>11.0</v>
      </c>
      <c r="N13" s="18">
        <v>25.0</v>
      </c>
      <c r="O13" s="18">
        <v>19.0</v>
      </c>
      <c r="P13" s="20">
        <f t="shared" si="1"/>
        <v>2.703961878</v>
      </c>
      <c r="Q13" s="20">
        <f t="shared" si="2"/>
        <v>1.681258515</v>
      </c>
      <c r="R13" s="24"/>
      <c r="S13" s="20">
        <v>2.7039618783131987</v>
      </c>
      <c r="T13" s="22">
        <v>1.8</v>
      </c>
      <c r="U13" s="23">
        <v>4.02</v>
      </c>
      <c r="V13" s="23">
        <v>-5.15</v>
      </c>
      <c r="W13" s="18">
        <v>0.9</v>
      </c>
      <c r="X13" s="22">
        <f t="shared" si="3"/>
        <v>3.449034854</v>
      </c>
      <c r="Y13" s="20">
        <f t="shared" si="4"/>
        <v>79.34792334</v>
      </c>
      <c r="Z13" s="20">
        <f t="shared" si="5"/>
        <v>77.66666483</v>
      </c>
      <c r="AA13" s="20"/>
      <c r="AB13" s="20">
        <f>IFERROR(__xludf.DUMMYFUNCTION("iferror(PERCENTRANK.INC(FILTER($X$2:$X$423, $U$2:$U$423&lt;3.75), $X13), 1)"),0.995)</f>
        <v>0.995</v>
      </c>
      <c r="AC13" s="20">
        <f>IFERROR(__xludf.DUMMYFUNCTION("iferror(PERCENTRANK.INC(FILTER($X$2:$X$423, $U$2:$U$423&lt;4.25), $X13), 1)"),0.988)</f>
        <v>0.988</v>
      </c>
      <c r="AD13" s="20">
        <f>IFERROR(__xludf.DUMMYFUNCTION("iferror(PERCENTRANK.INC(FILTER($X$2:$X$423, $U$2:$U$423&gt;=4.1), $X13), 0.01)"),0.347)</f>
        <v>0.347</v>
      </c>
      <c r="AE13" s="20"/>
    </row>
    <row r="14" ht="14.25" customHeight="1">
      <c r="A14" s="17" t="s">
        <v>130</v>
      </c>
      <c r="B14" s="17" t="s">
        <v>131</v>
      </c>
      <c r="C14" s="18">
        <v>7.0</v>
      </c>
      <c r="D14" s="17" t="s">
        <v>98</v>
      </c>
      <c r="E14" s="17" t="s">
        <v>132</v>
      </c>
      <c r="F14" s="18">
        <v>265.0</v>
      </c>
      <c r="G14" s="18">
        <v>215.0</v>
      </c>
      <c r="H14" s="18">
        <v>134.0</v>
      </c>
      <c r="I14" s="19">
        <v>0.623</v>
      </c>
      <c r="J14" s="18">
        <v>1400.0</v>
      </c>
      <c r="K14" s="18">
        <v>6.5</v>
      </c>
      <c r="L14" s="18">
        <v>9.0</v>
      </c>
      <c r="M14" s="18">
        <v>3.0</v>
      </c>
      <c r="N14" s="18">
        <v>22.0</v>
      </c>
      <c r="O14" s="18">
        <v>9.0</v>
      </c>
      <c r="P14" s="20">
        <f t="shared" si="1"/>
        <v>2.39785376</v>
      </c>
      <c r="Q14" s="20">
        <f t="shared" si="2"/>
        <v>1.536102057</v>
      </c>
      <c r="R14" s="24"/>
      <c r="S14" s="20">
        <v>2.3978537599824485</v>
      </c>
      <c r="T14" s="22">
        <v>0.13</v>
      </c>
      <c r="U14" s="23">
        <v>4.3</v>
      </c>
      <c r="V14" s="23">
        <v>3.82</v>
      </c>
      <c r="W14" s="18">
        <v>0.95</v>
      </c>
      <c r="X14" s="22">
        <f t="shared" si="3"/>
        <v>3.371194161</v>
      </c>
      <c r="Y14" s="20">
        <f t="shared" si="4"/>
        <v>78.38541826</v>
      </c>
      <c r="Z14" s="20">
        <f t="shared" si="5"/>
        <v>76.8493162</v>
      </c>
      <c r="AA14" s="20"/>
      <c r="AB14" s="20">
        <f>IFERROR(__xludf.DUMMYFUNCTION("iferror(PERCENTRANK.INC(FILTER($X$2:$X$423, $U$2:$U$423&lt;3.75), $X14), 1)"),0.995)</f>
        <v>0.995</v>
      </c>
      <c r="AC14" s="20">
        <f>IFERROR(__xludf.DUMMYFUNCTION("iferror(PERCENTRANK.INC(FILTER($X$2:$X$423, $U$2:$U$423&lt;4.25), $X14), 1)"),0.986)</f>
        <v>0.986</v>
      </c>
      <c r="AD14" s="20">
        <f>IFERROR(__xludf.DUMMYFUNCTION("iferror(PERCENTRANK.INC(FILTER($X$2:$X$423, $U$2:$U$423&gt;=4.1), $X14), 0.01)"),0.32)</f>
        <v>0.32</v>
      </c>
      <c r="AE14" s="20"/>
    </row>
    <row r="15" ht="14.25" customHeight="1">
      <c r="A15" s="17" t="s">
        <v>133</v>
      </c>
      <c r="B15" s="17" t="s">
        <v>134</v>
      </c>
      <c r="C15" s="18">
        <v>10.0</v>
      </c>
      <c r="D15" s="17" t="s">
        <v>98</v>
      </c>
      <c r="E15" s="17" t="s">
        <v>135</v>
      </c>
      <c r="F15" s="18">
        <v>153.0</v>
      </c>
      <c r="G15" s="18">
        <v>132.0</v>
      </c>
      <c r="H15" s="18">
        <v>78.0</v>
      </c>
      <c r="I15" s="19">
        <v>0.591</v>
      </c>
      <c r="J15" s="18">
        <v>1084.0</v>
      </c>
      <c r="K15" s="18">
        <v>8.2</v>
      </c>
      <c r="L15" s="18">
        <v>12.0</v>
      </c>
      <c r="M15" s="18">
        <v>6.0</v>
      </c>
      <c r="N15" s="18">
        <v>9.0</v>
      </c>
      <c r="O15" s="18">
        <v>11.0</v>
      </c>
      <c r="P15" s="20">
        <f t="shared" si="1"/>
        <v>2.133846804</v>
      </c>
      <c r="Q15" s="20">
        <f t="shared" si="2"/>
        <v>1.410909968</v>
      </c>
      <c r="R15" s="24"/>
      <c r="S15" s="20">
        <v>2.1338468039215694</v>
      </c>
      <c r="T15" s="22">
        <v>0.46</v>
      </c>
      <c r="U15" s="23">
        <v>4.28</v>
      </c>
      <c r="V15" s="23">
        <v>-0.53</v>
      </c>
      <c r="W15" s="18">
        <v>1.0</v>
      </c>
      <c r="X15" s="22">
        <f t="shared" si="3"/>
        <v>3.36907317</v>
      </c>
      <c r="Y15" s="20">
        <f t="shared" si="4"/>
        <v>78.35919207</v>
      </c>
      <c r="Z15" s="20">
        <f t="shared" si="5"/>
        <v>76.9482821</v>
      </c>
      <c r="AA15" s="20"/>
      <c r="AB15" s="20">
        <f>IFERROR(__xludf.DUMMYFUNCTION("iferror(PERCENTRANK.INC(FILTER($X$2:$X$423, $U$2:$U$423&lt;3.75), $X15), 1)"),0.995)</f>
        <v>0.995</v>
      </c>
      <c r="AC15" s="20">
        <f>IFERROR(__xludf.DUMMYFUNCTION("iferror(PERCENTRANK.INC(FILTER($X$2:$X$423, $U$2:$U$423&lt;4.25), $X15), 1)"),0.986)</f>
        <v>0.986</v>
      </c>
      <c r="AD15" s="20">
        <f>IFERROR(__xludf.DUMMYFUNCTION("iferror(PERCENTRANK.INC(FILTER($X$2:$X$423, $U$2:$U$423&gt;=4.1), $X15), 0.01)"),0.28)</f>
        <v>0.28</v>
      </c>
      <c r="AE15" s="20"/>
    </row>
    <row r="16" ht="14.25" customHeight="1">
      <c r="A16" s="17" t="s">
        <v>136</v>
      </c>
      <c r="B16" s="17" t="s">
        <v>137</v>
      </c>
      <c r="C16" s="18">
        <v>11.0</v>
      </c>
      <c r="D16" s="17" t="s">
        <v>98</v>
      </c>
      <c r="E16" s="17" t="s">
        <v>138</v>
      </c>
      <c r="F16" s="18">
        <v>141.0</v>
      </c>
      <c r="G16" s="18">
        <v>111.0</v>
      </c>
      <c r="H16" s="18">
        <v>72.0</v>
      </c>
      <c r="I16" s="19">
        <v>0.649</v>
      </c>
      <c r="J16" s="18">
        <v>1128.0</v>
      </c>
      <c r="K16" s="18">
        <v>10.2</v>
      </c>
      <c r="L16" s="18">
        <v>7.0</v>
      </c>
      <c r="M16" s="18">
        <v>2.0</v>
      </c>
      <c r="N16" s="18">
        <v>8.0</v>
      </c>
      <c r="O16" s="18">
        <v>5.0</v>
      </c>
      <c r="P16" s="20">
        <f t="shared" si="1"/>
        <v>2.682169375</v>
      </c>
      <c r="Q16" s="20">
        <f t="shared" si="2"/>
        <v>1.670924511</v>
      </c>
      <c r="R16" s="24"/>
      <c r="S16" s="20">
        <v>2.682169375311481</v>
      </c>
      <c r="T16" s="22">
        <v>2.63</v>
      </c>
      <c r="U16" s="16">
        <v>3.68</v>
      </c>
      <c r="V16" s="16">
        <v>-5.05</v>
      </c>
      <c r="W16" s="25">
        <v>0.9</v>
      </c>
      <c r="X16" s="22">
        <f t="shared" si="3"/>
        <v>3.332592866</v>
      </c>
      <c r="Y16" s="20">
        <f t="shared" si="4"/>
        <v>77.90811081</v>
      </c>
      <c r="Z16" s="20">
        <f t="shared" si="5"/>
        <v>76.2371863</v>
      </c>
      <c r="AA16" s="20"/>
      <c r="AB16" s="20">
        <f>IFERROR(__xludf.DUMMYFUNCTION("iferror(PERCENTRANK.INC(FILTER($X$2:$X$423, $U$2:$U$423&lt;3.75), $X16), 1)"),0.995)</f>
        <v>0.995</v>
      </c>
      <c r="AC16" s="20">
        <f>IFERROR(__xludf.DUMMYFUNCTION("iferror(PERCENTRANK.INC(FILTER($X$2:$X$423, $U$2:$U$423&lt;4.25), $X16), 1)"),0.983)</f>
        <v>0.983</v>
      </c>
      <c r="AD16" s="20">
        <f>IFERROR(__xludf.DUMMYFUNCTION("iferror(PERCENTRANK.INC(FILTER($X$2:$X$423, $U$2:$U$423&gt;=4.1), $X16), 0.01)"),0.237)</f>
        <v>0.237</v>
      </c>
      <c r="AE16" s="20"/>
    </row>
    <row r="17" ht="14.25" customHeight="1">
      <c r="A17" s="17" t="s">
        <v>139</v>
      </c>
      <c r="B17" s="17" t="s">
        <v>140</v>
      </c>
      <c r="C17" s="18">
        <v>2.0</v>
      </c>
      <c r="D17" s="17" t="s">
        <v>98</v>
      </c>
      <c r="E17" s="17" t="s">
        <v>102</v>
      </c>
      <c r="F17" s="18">
        <v>380.0</v>
      </c>
      <c r="G17" s="18">
        <v>338.0</v>
      </c>
      <c r="H17" s="18">
        <v>219.0</v>
      </c>
      <c r="I17" s="19">
        <v>0.648</v>
      </c>
      <c r="J17" s="18">
        <v>2499.0</v>
      </c>
      <c r="K17" s="18">
        <v>7.4</v>
      </c>
      <c r="L17" s="18">
        <v>19.0</v>
      </c>
      <c r="M17" s="18">
        <v>7.0</v>
      </c>
      <c r="N17" s="18">
        <v>19.0</v>
      </c>
      <c r="O17" s="18">
        <v>14.0</v>
      </c>
      <c r="P17" s="20">
        <f t="shared" si="1"/>
        <v>3.836599905</v>
      </c>
      <c r="Q17" s="20">
        <f t="shared" si="2"/>
        <v>2.218355425</v>
      </c>
      <c r="R17" s="24"/>
      <c r="S17" s="20">
        <v>3.836599905325444</v>
      </c>
      <c r="T17" s="22">
        <v>1.32</v>
      </c>
      <c r="U17" s="23">
        <v>3.69</v>
      </c>
      <c r="V17" s="23">
        <v>5.45</v>
      </c>
      <c r="W17" s="18">
        <v>0.9</v>
      </c>
      <c r="X17" s="22">
        <f t="shared" si="3"/>
        <v>3.298940987</v>
      </c>
      <c r="Y17" s="20">
        <f t="shared" si="4"/>
        <v>77.49200321</v>
      </c>
      <c r="Z17" s="20">
        <f t="shared" si="5"/>
        <v>75.27364778</v>
      </c>
      <c r="AA17" s="20"/>
      <c r="AB17" s="20">
        <f>IFERROR(__xludf.DUMMYFUNCTION("iferror(PERCENTRANK.INC(FILTER($X$2:$X$423, $U$2:$U$423&lt;3.75), $X17), 1)"),0.992)</f>
        <v>0.992</v>
      </c>
      <c r="AC17" s="20">
        <f>IFERROR(__xludf.DUMMYFUNCTION("iferror(PERCENTRANK.INC(FILTER($X$2:$X$423, $U$2:$U$423&lt;4.25), $X17), 1)"),0.98)</f>
        <v>0.98</v>
      </c>
      <c r="AD17" s="20">
        <f>IFERROR(__xludf.DUMMYFUNCTION("iferror(PERCENTRANK.INC(FILTER($X$2:$X$423, $U$2:$U$423&gt;=4.1), $X17), 0.01)"),0.229)</f>
        <v>0.229</v>
      </c>
      <c r="AE17" s="20"/>
    </row>
    <row r="18" ht="14.25" customHeight="1">
      <c r="A18" s="17" t="s">
        <v>141</v>
      </c>
      <c r="B18" s="17" t="s">
        <v>104</v>
      </c>
      <c r="C18" s="18">
        <v>4.0</v>
      </c>
      <c r="D18" s="17" t="s">
        <v>98</v>
      </c>
      <c r="E18" s="17" t="s">
        <v>105</v>
      </c>
      <c r="F18" s="18">
        <v>217.0</v>
      </c>
      <c r="G18" s="18">
        <v>194.0</v>
      </c>
      <c r="H18" s="18">
        <v>114.0</v>
      </c>
      <c r="I18" s="19">
        <v>0.588</v>
      </c>
      <c r="J18" s="18">
        <v>1178.0</v>
      </c>
      <c r="K18" s="18">
        <v>6.1</v>
      </c>
      <c r="L18" s="18">
        <v>8.0</v>
      </c>
      <c r="M18" s="18">
        <v>5.0</v>
      </c>
      <c r="N18" s="18">
        <v>14.0</v>
      </c>
      <c r="O18" s="18">
        <v>9.0</v>
      </c>
      <c r="P18" s="20">
        <f t="shared" si="1"/>
        <v>1.658886469</v>
      </c>
      <c r="Q18" s="20">
        <f t="shared" si="2"/>
        <v>1.185683795</v>
      </c>
      <c r="R18" s="24"/>
      <c r="S18" s="20">
        <v>1.6588864689058866</v>
      </c>
      <c r="T18" s="22">
        <v>4.2</v>
      </c>
      <c r="U18" s="16">
        <v>3.43</v>
      </c>
      <c r="V18" s="16">
        <v>8.05</v>
      </c>
      <c r="W18" s="25">
        <v>0.9</v>
      </c>
      <c r="X18" s="22">
        <f t="shared" si="3"/>
        <v>3.267391322</v>
      </c>
      <c r="Y18" s="20">
        <f t="shared" si="4"/>
        <v>77.1018896</v>
      </c>
      <c r="Z18" s="20">
        <f t="shared" si="5"/>
        <v>75.91620581</v>
      </c>
      <c r="AA18" s="20"/>
      <c r="AB18" s="20">
        <f>IFERROR(__xludf.DUMMYFUNCTION("iferror(PERCENTRANK.INC(FILTER($X$2:$X$423, $U$2:$U$423&lt;3.75), $X18), 1)"),0.99)</f>
        <v>0.99</v>
      </c>
      <c r="AC18" s="20">
        <f>IFERROR(__xludf.DUMMYFUNCTION("iferror(PERCENTRANK.INC(FILTER($X$2:$X$423, $U$2:$U$423&lt;4.25), $X18), 1)"),0.975)</f>
        <v>0.975</v>
      </c>
      <c r="AD18" s="20">
        <f>IFERROR(__xludf.DUMMYFUNCTION("iferror(PERCENTRANK.INC(FILTER($X$2:$X$423, $U$2:$U$423&gt;=4.1), $X18), 0.01)"),0.222)</f>
        <v>0.222</v>
      </c>
      <c r="AE18" s="20"/>
    </row>
    <row r="19" ht="14.25" customHeight="1">
      <c r="A19" s="17" t="s">
        <v>142</v>
      </c>
      <c r="B19" s="17" t="s">
        <v>143</v>
      </c>
      <c r="C19" s="18">
        <v>2.0</v>
      </c>
      <c r="D19" s="17" t="s">
        <v>98</v>
      </c>
      <c r="E19" s="17" t="s">
        <v>144</v>
      </c>
      <c r="F19" s="18">
        <v>285.0</v>
      </c>
      <c r="G19" s="18">
        <v>241.0</v>
      </c>
      <c r="H19" s="18">
        <v>152.0</v>
      </c>
      <c r="I19" s="19">
        <v>0.631</v>
      </c>
      <c r="J19" s="18">
        <v>2335.0</v>
      </c>
      <c r="K19" s="18">
        <v>9.7</v>
      </c>
      <c r="L19" s="18">
        <v>17.0</v>
      </c>
      <c r="M19" s="18">
        <v>7.0</v>
      </c>
      <c r="N19" s="18">
        <v>13.0</v>
      </c>
      <c r="O19" s="18">
        <v>11.0</v>
      </c>
      <c r="P19" s="20">
        <f t="shared" si="1"/>
        <v>3.788288442</v>
      </c>
      <c r="Q19" s="20">
        <f t="shared" si="2"/>
        <v>2.195446131</v>
      </c>
      <c r="R19" s="24"/>
      <c r="S19" s="20">
        <v>3.7882884420907037</v>
      </c>
      <c r="T19" s="22">
        <v>0.55</v>
      </c>
      <c r="U19" s="16">
        <v>3.82</v>
      </c>
      <c r="V19" s="16">
        <v>-6.42</v>
      </c>
      <c r="W19" s="25">
        <v>0.95</v>
      </c>
      <c r="X19" s="22">
        <f t="shared" si="3"/>
        <v>3.26791894</v>
      </c>
      <c r="Y19" s="20">
        <f t="shared" si="4"/>
        <v>77.10841363</v>
      </c>
      <c r="Z19" s="20">
        <f t="shared" si="5"/>
        <v>74.9129675</v>
      </c>
      <c r="AA19" s="20"/>
      <c r="AB19" s="20">
        <f>IFERROR(__xludf.DUMMYFUNCTION("iferror(PERCENTRANK.INC(FILTER($X$2:$X$423, $U$2:$U$423&lt;3.75), $X19), 1)"),0.99)</f>
        <v>0.99</v>
      </c>
      <c r="AC19" s="20">
        <f>IFERROR(__xludf.DUMMYFUNCTION("iferror(PERCENTRANK.INC(FILTER($X$2:$X$423, $U$2:$U$423&lt;4.25), $X19), 1)"),0.978)</f>
        <v>0.978</v>
      </c>
      <c r="AD19" s="20">
        <f>IFERROR(__xludf.DUMMYFUNCTION("iferror(PERCENTRANK.INC(FILTER($X$2:$X$423, $U$2:$U$423&gt;=4.1), $X19), 0.01)"),0.222)</f>
        <v>0.222</v>
      </c>
      <c r="AE19" s="20"/>
    </row>
    <row r="20" ht="14.25" customHeight="1">
      <c r="A20" s="17" t="s">
        <v>145</v>
      </c>
      <c r="B20" s="17" t="s">
        <v>146</v>
      </c>
      <c r="C20" s="18">
        <v>9.0</v>
      </c>
      <c r="D20" s="17" t="s">
        <v>98</v>
      </c>
      <c r="E20" s="17" t="s">
        <v>147</v>
      </c>
      <c r="F20" s="18">
        <v>130.0</v>
      </c>
      <c r="G20" s="18">
        <v>110.0</v>
      </c>
      <c r="H20" s="18">
        <v>62.0</v>
      </c>
      <c r="I20" s="19">
        <v>0.564</v>
      </c>
      <c r="J20" s="18">
        <v>580.0</v>
      </c>
      <c r="K20" s="18">
        <v>5.3</v>
      </c>
      <c r="L20" s="18">
        <v>3.0</v>
      </c>
      <c r="M20" s="18">
        <v>3.0</v>
      </c>
      <c r="N20" s="18">
        <v>12.0</v>
      </c>
      <c r="O20" s="18">
        <v>3.0</v>
      </c>
      <c r="P20" s="20">
        <f t="shared" si="1"/>
        <v>0.8558221259</v>
      </c>
      <c r="Q20" s="20">
        <f t="shared" si="2"/>
        <v>0.8048707136</v>
      </c>
      <c r="R20" s="24"/>
      <c r="S20" s="20">
        <v>0.8558221258741259</v>
      </c>
      <c r="T20" s="22">
        <v>-0.67</v>
      </c>
      <c r="U20" s="23">
        <v>4.5</v>
      </c>
      <c r="V20" s="23">
        <v>-2.81</v>
      </c>
      <c r="W20" s="18">
        <v>0.95</v>
      </c>
      <c r="X20" s="22">
        <f t="shared" si="3"/>
        <v>3.171454653</v>
      </c>
      <c r="Y20" s="20">
        <f t="shared" si="4"/>
        <v>75.91562663</v>
      </c>
      <c r="Z20" s="20">
        <f t="shared" si="5"/>
        <v>75.11075592</v>
      </c>
      <c r="AA20" s="20"/>
      <c r="AB20" s="20">
        <f>IFERROR(__xludf.DUMMYFUNCTION("iferror(PERCENTRANK.INC(FILTER($X$2:$X$423, $U$2:$U$423&lt;3.75), $X20), 1)"),0.988)</f>
        <v>0.988</v>
      </c>
      <c r="AC20" s="20">
        <f>IFERROR(__xludf.DUMMYFUNCTION("iferror(PERCENTRANK.INC(FILTER($X$2:$X$423, $U$2:$U$423&lt;4.25), $X20), 1)"),0.973)</f>
        <v>0.973</v>
      </c>
      <c r="AD20" s="20">
        <f>IFERROR(__xludf.DUMMYFUNCTION("iferror(PERCENTRANK.INC(FILTER($X$2:$X$423, $U$2:$U$423&gt;=4.1), $X20), 0.01)"),0.2)</f>
        <v>0.2</v>
      </c>
      <c r="AE20" s="20"/>
    </row>
    <row r="21" ht="14.25" customHeight="1">
      <c r="A21" s="17" t="s">
        <v>148</v>
      </c>
      <c r="B21" s="17" t="s">
        <v>149</v>
      </c>
      <c r="C21" s="18">
        <v>18.0</v>
      </c>
      <c r="D21" s="17" t="s">
        <v>98</v>
      </c>
      <c r="E21" s="17" t="s">
        <v>114</v>
      </c>
      <c r="F21" s="18">
        <v>272.0</v>
      </c>
      <c r="G21" s="18">
        <v>233.0</v>
      </c>
      <c r="H21" s="18">
        <v>142.0</v>
      </c>
      <c r="I21" s="19">
        <v>0.609</v>
      </c>
      <c r="J21" s="18">
        <v>1780.0</v>
      </c>
      <c r="K21" s="18">
        <v>7.6</v>
      </c>
      <c r="L21" s="18">
        <v>14.0</v>
      </c>
      <c r="M21" s="18">
        <v>8.0</v>
      </c>
      <c r="N21" s="18">
        <v>16.0</v>
      </c>
      <c r="O21" s="18">
        <v>8.0</v>
      </c>
      <c r="P21" s="20">
        <f t="shared" si="1"/>
        <v>2.485971659</v>
      </c>
      <c r="Q21" s="20">
        <f t="shared" si="2"/>
        <v>1.577887561</v>
      </c>
      <c r="R21" s="29"/>
      <c r="S21" s="20">
        <v>2.4859716594294374</v>
      </c>
      <c r="T21" s="22">
        <v>1.55</v>
      </c>
      <c r="U21" s="23">
        <v>3.63</v>
      </c>
      <c r="V21" s="23">
        <v>-5.91</v>
      </c>
      <c r="W21" s="18">
        <v>0.9</v>
      </c>
      <c r="X21" s="22">
        <f t="shared" si="3"/>
        <v>3.127750961</v>
      </c>
      <c r="Y21" s="20">
        <f t="shared" si="4"/>
        <v>75.37522773</v>
      </c>
      <c r="Z21" s="20">
        <f t="shared" si="5"/>
        <v>73.79734017</v>
      </c>
      <c r="AA21" s="20"/>
      <c r="AB21" s="20">
        <f>IFERROR(__xludf.DUMMYFUNCTION("iferror(PERCENTRANK.INC(FILTER($X$2:$X$423, $U$2:$U$423&lt;3.75), $X21), 1)"),0.987)</f>
        <v>0.987</v>
      </c>
      <c r="AC21" s="20">
        <f>IFERROR(__xludf.DUMMYFUNCTION("iferror(PERCENTRANK.INC(FILTER($X$2:$X$423, $U$2:$U$423&lt;4.25), $X21), 1)"),0.973)</f>
        <v>0.973</v>
      </c>
      <c r="AD21" s="20">
        <f>IFERROR(__xludf.DUMMYFUNCTION("iferror(PERCENTRANK.INC(FILTER($X$2:$X$423, $U$2:$U$423&gt;=4.1), $X21), 0.01)"),0.19)</f>
        <v>0.19</v>
      </c>
      <c r="AE21" s="20"/>
    </row>
    <row r="22" ht="14.25" customHeight="1">
      <c r="A22" s="17" t="s">
        <v>150</v>
      </c>
      <c r="B22" s="17" t="s">
        <v>151</v>
      </c>
      <c r="C22" s="18">
        <v>12.0</v>
      </c>
      <c r="D22" s="17" t="s">
        <v>98</v>
      </c>
      <c r="E22" s="17" t="s">
        <v>124</v>
      </c>
      <c r="F22" s="18">
        <v>384.0</v>
      </c>
      <c r="G22" s="18">
        <v>289.0</v>
      </c>
      <c r="H22" s="18">
        <v>163.0</v>
      </c>
      <c r="I22" s="19">
        <v>0.564</v>
      </c>
      <c r="J22" s="18">
        <v>1818.0</v>
      </c>
      <c r="K22" s="18">
        <v>6.3</v>
      </c>
      <c r="L22" s="18">
        <v>11.0</v>
      </c>
      <c r="M22" s="18">
        <v>4.0</v>
      </c>
      <c r="N22" s="18">
        <v>30.0</v>
      </c>
      <c r="O22" s="18">
        <v>11.0</v>
      </c>
      <c r="P22" s="20">
        <f t="shared" si="1"/>
        <v>2.751773173</v>
      </c>
      <c r="Q22" s="20">
        <f t="shared" si="2"/>
        <v>1.703930629</v>
      </c>
      <c r="R22" s="24"/>
      <c r="S22" s="20">
        <v>2.751773173010381</v>
      </c>
      <c r="T22" s="22">
        <v>-1.0</v>
      </c>
      <c r="U22" s="23">
        <v>4.06</v>
      </c>
      <c r="V22" s="23">
        <v>3.99</v>
      </c>
      <c r="W22" s="18">
        <v>0.9</v>
      </c>
      <c r="X22" s="22">
        <f t="shared" si="3"/>
        <v>3.063489378</v>
      </c>
      <c r="Y22" s="20">
        <f t="shared" si="4"/>
        <v>74.5806292</v>
      </c>
      <c r="Z22" s="20">
        <f t="shared" si="5"/>
        <v>72.87669857</v>
      </c>
      <c r="AA22" s="20"/>
      <c r="AB22" s="20">
        <f>IFERROR(__xludf.DUMMYFUNCTION("iferror(PERCENTRANK.INC(FILTER($X$2:$X$423, $U$2:$U$423&lt;3.75), $X22), 1)"),0.987)</f>
        <v>0.987</v>
      </c>
      <c r="AC22" s="20">
        <f>IFERROR(__xludf.DUMMYFUNCTION("iferror(PERCENTRANK.INC(FILTER($X$2:$X$423, $U$2:$U$423&lt;4.25), $X22), 1)"),0.97)</f>
        <v>0.97</v>
      </c>
      <c r="AD22" s="20">
        <f>IFERROR(__xludf.DUMMYFUNCTION("iferror(PERCENTRANK.INC(FILTER($X$2:$X$423, $U$2:$U$423&gt;=4.1), $X22), 0.01)"),0.174)</f>
        <v>0.174</v>
      </c>
      <c r="AE22" s="20"/>
    </row>
    <row r="23" ht="14.25" customHeight="1">
      <c r="A23" s="17" t="s">
        <v>152</v>
      </c>
      <c r="B23" s="17" t="s">
        <v>146</v>
      </c>
      <c r="C23" s="18">
        <v>8.0</v>
      </c>
      <c r="D23" s="17" t="s">
        <v>98</v>
      </c>
      <c r="E23" s="17" t="s">
        <v>147</v>
      </c>
      <c r="F23" s="18">
        <v>269.0</v>
      </c>
      <c r="G23" s="18">
        <v>232.0</v>
      </c>
      <c r="H23" s="18">
        <v>111.0</v>
      </c>
      <c r="I23" s="19">
        <v>0.478</v>
      </c>
      <c r="J23" s="18">
        <v>1022.0</v>
      </c>
      <c r="K23" s="18">
        <v>4.4</v>
      </c>
      <c r="L23" s="18">
        <v>4.0</v>
      </c>
      <c r="M23" s="18">
        <v>4.0</v>
      </c>
      <c r="N23" s="18">
        <v>17.0</v>
      </c>
      <c r="O23" s="18">
        <v>6.0</v>
      </c>
      <c r="P23" s="20">
        <f t="shared" si="1"/>
        <v>1.033059319</v>
      </c>
      <c r="Q23" s="20">
        <f t="shared" si="2"/>
        <v>0.8889165838</v>
      </c>
      <c r="R23" s="24"/>
      <c r="S23" s="20">
        <v>1.0330593188052817</v>
      </c>
      <c r="T23" s="22">
        <v>-0.74</v>
      </c>
      <c r="U23" s="16">
        <v>4.24</v>
      </c>
      <c r="V23" s="16">
        <v>8.95</v>
      </c>
      <c r="W23" s="25">
        <v>0.95</v>
      </c>
      <c r="X23" s="22">
        <f t="shared" si="3"/>
        <v>3.004210953</v>
      </c>
      <c r="Y23" s="20">
        <f t="shared" si="4"/>
        <v>73.84764772</v>
      </c>
      <c r="Z23" s="20">
        <f t="shared" si="5"/>
        <v>72.95873114</v>
      </c>
      <c r="AA23" s="20"/>
      <c r="AB23" s="20">
        <f>IFERROR(__xludf.DUMMYFUNCTION("iferror(PERCENTRANK.INC(FILTER($X$2:$X$423, $U$2:$U$423&lt;3.75), $X23), 1)"),0.987)</f>
        <v>0.987</v>
      </c>
      <c r="AC23" s="20">
        <f>IFERROR(__xludf.DUMMYFUNCTION("iferror(PERCENTRANK.INC(FILTER($X$2:$X$423, $U$2:$U$423&lt;4.25), $X23), 1)"),0.968)</f>
        <v>0.968</v>
      </c>
      <c r="AD23" s="20">
        <f>IFERROR(__xludf.DUMMYFUNCTION("iferror(PERCENTRANK.INC(FILTER($X$2:$X$423, $U$2:$U$423&gt;=4.1), $X23), 0.01)"),0.16)</f>
        <v>0.16</v>
      </c>
      <c r="AE23" s="20"/>
    </row>
    <row r="24" ht="14.25" customHeight="1">
      <c r="A24" s="17" t="s">
        <v>153</v>
      </c>
      <c r="B24" s="17" t="s">
        <v>154</v>
      </c>
      <c r="C24" s="18">
        <v>2.0</v>
      </c>
      <c r="D24" s="17" t="s">
        <v>98</v>
      </c>
      <c r="E24" s="17" t="s">
        <v>155</v>
      </c>
      <c r="F24" s="18">
        <v>341.0</v>
      </c>
      <c r="G24" s="18">
        <v>284.0</v>
      </c>
      <c r="H24" s="18">
        <v>153.0</v>
      </c>
      <c r="I24" s="19">
        <v>0.539</v>
      </c>
      <c r="J24" s="18">
        <v>1714.0</v>
      </c>
      <c r="K24" s="18">
        <v>6.0</v>
      </c>
      <c r="L24" s="18">
        <v>15.0</v>
      </c>
      <c r="M24" s="18">
        <v>9.0</v>
      </c>
      <c r="N24" s="18">
        <v>20.0</v>
      </c>
      <c r="O24" s="18">
        <v>13.0</v>
      </c>
      <c r="P24" s="20">
        <f t="shared" si="1"/>
        <v>2.119702255</v>
      </c>
      <c r="Q24" s="20">
        <f t="shared" si="2"/>
        <v>1.404202623</v>
      </c>
      <c r="R24" s="24"/>
      <c r="S24" s="20">
        <v>2.1197022552971787</v>
      </c>
      <c r="T24" s="22">
        <v>-0.81</v>
      </c>
      <c r="U24" s="23">
        <v>3.8</v>
      </c>
      <c r="V24" s="23">
        <v>-0.63</v>
      </c>
      <c r="W24" s="18">
        <v>0.9</v>
      </c>
      <c r="X24" s="22">
        <f t="shared" si="3"/>
        <v>2.856455338</v>
      </c>
      <c r="Y24" s="20">
        <f t="shared" si="4"/>
        <v>72.02064022</v>
      </c>
      <c r="Z24" s="20">
        <f t="shared" si="5"/>
        <v>70.6164376</v>
      </c>
      <c r="AA24" s="20"/>
      <c r="AB24" s="20">
        <f>IFERROR(__xludf.DUMMYFUNCTION("iferror(PERCENTRANK.INC(FILTER($X$2:$X$423, $U$2:$U$423&lt;3.75), $X24), 1)"),0.986)</f>
        <v>0.986</v>
      </c>
      <c r="AC24" s="20">
        <f>IFERROR(__xludf.DUMMYFUNCTION("iferror(PERCENTRANK.INC(FILTER($X$2:$X$423, $U$2:$U$423&lt;4.25), $X24), 1)"),0.965)</f>
        <v>0.965</v>
      </c>
      <c r="AD24" s="20">
        <f>IFERROR(__xludf.DUMMYFUNCTION("iferror(PERCENTRANK.INC(FILTER($X$2:$X$423, $U$2:$U$423&gt;=4.1), $X24), 0.01)"),0.117)</f>
        <v>0.117</v>
      </c>
      <c r="AE24" s="20"/>
    </row>
    <row r="25" ht="14.25" customHeight="1">
      <c r="A25" s="17" t="s">
        <v>156</v>
      </c>
      <c r="B25" s="17" t="s">
        <v>157</v>
      </c>
      <c r="C25" s="18">
        <v>17.0</v>
      </c>
      <c r="D25" s="17" t="s">
        <v>98</v>
      </c>
      <c r="E25" s="17" t="s">
        <v>158</v>
      </c>
      <c r="F25" s="18">
        <v>39.0</v>
      </c>
      <c r="G25" s="18">
        <v>33.0</v>
      </c>
      <c r="H25" s="18">
        <v>20.0</v>
      </c>
      <c r="I25" s="19">
        <v>0.606</v>
      </c>
      <c r="J25" s="18">
        <v>199.0</v>
      </c>
      <c r="K25" s="18">
        <v>6.0</v>
      </c>
      <c r="L25" s="18">
        <v>2.0</v>
      </c>
      <c r="M25" s="18">
        <v>0.0</v>
      </c>
      <c r="N25" s="18">
        <v>2.0</v>
      </c>
      <c r="O25" s="18">
        <v>0.0</v>
      </c>
      <c r="P25" s="20">
        <f t="shared" si="1"/>
        <v>1.192159949</v>
      </c>
      <c r="Q25" s="20">
        <f t="shared" si="2"/>
        <v>0.9643620966</v>
      </c>
      <c r="R25" s="24"/>
      <c r="S25" s="20">
        <v>1.1921599487179488</v>
      </c>
      <c r="T25" s="28">
        <v>10.0</v>
      </c>
      <c r="U25" s="23">
        <v>3.7</v>
      </c>
      <c r="V25" s="23">
        <v>-4.2</v>
      </c>
      <c r="W25" s="18">
        <v>0.95</v>
      </c>
      <c r="X25" s="22">
        <f t="shared" si="3"/>
        <v>4.268823992</v>
      </c>
      <c r="Y25" s="20">
        <f t="shared" si="4"/>
        <v>89.4846678</v>
      </c>
      <c r="Z25" s="20">
        <f t="shared" si="5"/>
        <v>88.52030571</v>
      </c>
      <c r="AA25" s="20"/>
      <c r="AB25" s="20">
        <f>IFERROR(__xludf.DUMMYFUNCTION("iferror(PERCENTRANK.INC(FILTER($X$2:$X$423, $U$2:$U$423&lt;3.75), $X25), 1)"),0.997)</f>
        <v>0.997</v>
      </c>
      <c r="AC25" s="20">
        <f>IFERROR(__xludf.DUMMYFUNCTION("iferror(PERCENTRANK.INC(FILTER($X$2:$X$423, $U$2:$U$423&lt;4.25), $X25), 1)"),0.998)</f>
        <v>0.998</v>
      </c>
      <c r="AD25" s="20">
        <f>IFERROR(__xludf.DUMMYFUNCTION("iferror(PERCENTRANK.INC(FILTER($X$2:$X$423, $U$2:$U$423&gt;=4.1), $X25), 0.01)"),0.787)</f>
        <v>0.787</v>
      </c>
      <c r="AE25" s="20"/>
    </row>
    <row r="26" ht="14.25" customHeight="1">
      <c r="A26" s="17" t="s">
        <v>159</v>
      </c>
      <c r="B26" s="17" t="s">
        <v>131</v>
      </c>
      <c r="C26" s="18">
        <v>16.0</v>
      </c>
      <c r="D26" s="17" t="s">
        <v>98</v>
      </c>
      <c r="E26" s="17" t="s">
        <v>132</v>
      </c>
      <c r="F26" s="18">
        <v>99.0</v>
      </c>
      <c r="G26" s="18">
        <v>86.0</v>
      </c>
      <c r="H26" s="18">
        <v>45.0</v>
      </c>
      <c r="I26" s="19">
        <v>0.523</v>
      </c>
      <c r="J26" s="18">
        <v>495.0</v>
      </c>
      <c r="K26" s="18">
        <v>5.8</v>
      </c>
      <c r="L26" s="18">
        <v>1.0</v>
      </c>
      <c r="M26" s="18">
        <v>2.0</v>
      </c>
      <c r="N26" s="18">
        <v>6.0</v>
      </c>
      <c r="O26" s="18">
        <v>4.0</v>
      </c>
      <c r="P26" s="20">
        <f t="shared" si="1"/>
        <v>0.8338456371</v>
      </c>
      <c r="Q26" s="20">
        <f t="shared" si="2"/>
        <v>0.7944494634</v>
      </c>
      <c r="R26" s="24"/>
      <c r="S26" s="20">
        <v>0.8338456370683579</v>
      </c>
      <c r="T26" s="22">
        <v>-2.49</v>
      </c>
      <c r="U26" s="23">
        <v>3.58</v>
      </c>
      <c r="V26" s="23">
        <v>5.19</v>
      </c>
      <c r="W26" s="18">
        <v>0.95</v>
      </c>
      <c r="X26" s="22">
        <f t="shared" si="3"/>
        <v>2.245069161</v>
      </c>
      <c r="Y26" s="20">
        <f t="shared" si="4"/>
        <v>64.46081153</v>
      </c>
      <c r="Z26" s="20">
        <f t="shared" si="5"/>
        <v>63.66636207</v>
      </c>
      <c r="AA26" s="20"/>
      <c r="AB26" s="20">
        <f>IFERROR(__xludf.DUMMYFUNCTION("iferror(PERCENTRANK.INC(FILTER($X$2:$X$423, $U$2:$U$423&lt;3.75), $X26), 1)"),0.982)</f>
        <v>0.982</v>
      </c>
      <c r="AC26" s="20">
        <f>IFERROR(__xludf.DUMMYFUNCTION("iferror(PERCENTRANK.INC(FILTER($X$2:$X$423, $U$2:$U$423&lt;4.25), $X26), 1)"),0.953)</f>
        <v>0.953</v>
      </c>
      <c r="AD26" s="20">
        <f>IFERROR(__xludf.DUMMYFUNCTION("iferror(PERCENTRANK.INC(FILTER($X$2:$X$423, $U$2:$U$423&gt;=4.1), $X26), 0.01)"),0.075)</f>
        <v>0.075</v>
      </c>
      <c r="AE26" s="20"/>
    </row>
    <row r="27" ht="14.25" customHeight="1">
      <c r="A27" s="17" t="s">
        <v>160</v>
      </c>
      <c r="B27" s="17" t="s">
        <v>161</v>
      </c>
      <c r="C27" s="18">
        <v>5.0</v>
      </c>
      <c r="D27" s="17" t="s">
        <v>98</v>
      </c>
      <c r="E27" s="17" t="s">
        <v>121</v>
      </c>
      <c r="F27" s="18">
        <v>459.0</v>
      </c>
      <c r="G27" s="18">
        <v>387.0</v>
      </c>
      <c r="H27" s="18">
        <v>276.0</v>
      </c>
      <c r="I27" s="19">
        <v>0.713</v>
      </c>
      <c r="J27" s="18">
        <v>3603.0</v>
      </c>
      <c r="K27" s="18">
        <v>9.3</v>
      </c>
      <c r="L27" s="18">
        <v>38.0</v>
      </c>
      <c r="M27" s="18">
        <v>4.0</v>
      </c>
      <c r="N27" s="18">
        <v>22.0</v>
      </c>
      <c r="O27" s="18">
        <v>8.0</v>
      </c>
      <c r="P27" s="20">
        <f t="shared" si="1"/>
        <v>7.884923249</v>
      </c>
      <c r="Q27" s="20">
        <f t="shared" si="2"/>
        <v>4.138070202</v>
      </c>
      <c r="R27" s="24"/>
      <c r="S27" s="20">
        <v>7.884923249075341</v>
      </c>
      <c r="T27" s="22">
        <v>2.69</v>
      </c>
      <c r="U27" s="16"/>
      <c r="V27" s="16"/>
      <c r="W27" s="25">
        <v>0.9</v>
      </c>
      <c r="X27" s="22">
        <f t="shared" si="3"/>
        <v>1.467964639</v>
      </c>
      <c r="Y27" s="20">
        <f t="shared" si="4"/>
        <v>54.85186505</v>
      </c>
      <c r="Z27" s="20">
        <f t="shared" si="5"/>
        <v>50.71379485</v>
      </c>
      <c r="AA27" s="20"/>
      <c r="AB27" s="20">
        <f>IFERROR(__xludf.DUMMYFUNCTION("iferror(PERCENTRANK.INC(FILTER($X$2:$X$423, $U$2:$U$423&lt;3.75), $X27), 1)"),0.969)</f>
        <v>0.969</v>
      </c>
      <c r="AC27" s="20">
        <f>IFERROR(__xludf.DUMMYFUNCTION("iferror(PERCENTRANK.INC(FILTER($X$2:$X$423, $U$2:$U$423&lt;4.25), $X27), 1)"),0.94)</f>
        <v>0.94</v>
      </c>
      <c r="AD27" s="20">
        <f>IFERROR(__xludf.DUMMYFUNCTION("iferror(PERCENTRANK.INC(FILTER($X$2:$X$423, $U$2:$U$423&gt;=4.1), $X27), 0.01)"),0.063)</f>
        <v>0.063</v>
      </c>
      <c r="AE27" s="20"/>
    </row>
    <row r="28" ht="14.25" customHeight="1">
      <c r="A28" s="17" t="s">
        <v>162</v>
      </c>
      <c r="B28" s="17" t="s">
        <v>163</v>
      </c>
      <c r="C28" s="18">
        <v>17.0</v>
      </c>
      <c r="D28" s="17" t="s">
        <v>98</v>
      </c>
      <c r="E28" s="17" t="s">
        <v>158</v>
      </c>
      <c r="F28" s="18">
        <v>437.0</v>
      </c>
      <c r="G28" s="18">
        <v>407.0</v>
      </c>
      <c r="H28" s="18">
        <v>278.0</v>
      </c>
      <c r="I28" s="19">
        <v>0.683</v>
      </c>
      <c r="J28" s="18">
        <v>3873.0</v>
      </c>
      <c r="K28" s="18">
        <v>9.5</v>
      </c>
      <c r="L28" s="18">
        <v>29.0</v>
      </c>
      <c r="M28" s="18">
        <v>6.0</v>
      </c>
      <c r="N28" s="18">
        <v>15.0</v>
      </c>
      <c r="O28" s="18">
        <v>11.0</v>
      </c>
      <c r="P28" s="20">
        <f t="shared" si="1"/>
        <v>6.657234436</v>
      </c>
      <c r="Q28" s="20">
        <f t="shared" si="2"/>
        <v>3.555900213</v>
      </c>
      <c r="R28" s="24"/>
      <c r="S28" s="20">
        <v>6.6572344355866155</v>
      </c>
      <c r="T28" s="22">
        <v>1.01</v>
      </c>
      <c r="U28" s="16">
        <v>5.24</v>
      </c>
      <c r="V28" s="16">
        <v>19.55</v>
      </c>
      <c r="W28" s="25">
        <v>0.95</v>
      </c>
      <c r="X28" s="22">
        <f t="shared" si="3"/>
        <v>4.818085165</v>
      </c>
      <c r="Y28" s="20">
        <f t="shared" si="4"/>
        <v>96.27631689</v>
      </c>
      <c r="Z28" s="20">
        <f t="shared" si="5"/>
        <v>92.72041667</v>
      </c>
      <c r="AA28" s="20"/>
      <c r="AB28" s="20">
        <f>IFERROR(__xludf.DUMMYFUNCTION("iferror(PERCENTRANK.INC(FILTER($X$2:$X$423, $U$2:$U$423&lt;3.75), $X28), 1)"),1.0)</f>
        <v>1</v>
      </c>
      <c r="AC28" s="20">
        <f>IFERROR(__xludf.DUMMYFUNCTION("iferror(PERCENTRANK.INC(FILTER($X$2:$X$423, $U$2:$U$423&lt;4.25), $X28), 1)"),1.0)</f>
        <v>1</v>
      </c>
      <c r="AD28" s="20">
        <f>IFERROR(__xludf.DUMMYFUNCTION("iferror(PERCENTRANK.INC(FILTER($X$2:$X$423, $U$2:$U$423&gt;=4.1), $X28), 0.01)"),0.96)</f>
        <v>0.96</v>
      </c>
      <c r="AE28" s="20"/>
    </row>
    <row r="29" ht="14.25" customHeight="1">
      <c r="A29" s="17" t="s">
        <v>164</v>
      </c>
      <c r="B29" s="17" t="s">
        <v>165</v>
      </c>
      <c r="C29" s="18">
        <v>10.0</v>
      </c>
      <c r="D29" s="17" t="s">
        <v>98</v>
      </c>
      <c r="E29" s="17" t="s">
        <v>135</v>
      </c>
      <c r="F29" s="18">
        <v>501.0</v>
      </c>
      <c r="G29" s="18">
        <v>456.0</v>
      </c>
      <c r="H29" s="18">
        <v>295.0</v>
      </c>
      <c r="I29" s="19">
        <v>0.647</v>
      </c>
      <c r="J29" s="18">
        <v>3475.0</v>
      </c>
      <c r="K29" s="18">
        <v>7.6</v>
      </c>
      <c r="L29" s="18">
        <v>28.0</v>
      </c>
      <c r="M29" s="18">
        <v>4.0</v>
      </c>
      <c r="N29" s="18">
        <v>26.0</v>
      </c>
      <c r="O29" s="18">
        <v>15.0</v>
      </c>
      <c r="P29" s="20">
        <f t="shared" si="1"/>
        <v>6.330317003</v>
      </c>
      <c r="Q29" s="20">
        <f t="shared" si="2"/>
        <v>3.400875979</v>
      </c>
      <c r="R29" s="24"/>
      <c r="S29" s="20">
        <v>6.330317002941485</v>
      </c>
      <c r="T29" s="22">
        <v>1.04</v>
      </c>
      <c r="U29" s="30"/>
      <c r="V29" s="23"/>
      <c r="W29" s="18">
        <v>1.0</v>
      </c>
      <c r="X29" s="22">
        <f t="shared" si="3"/>
        <v>1.010592795</v>
      </c>
      <c r="Y29" s="20">
        <f t="shared" si="4"/>
        <v>49.19643333</v>
      </c>
      <c r="Z29" s="20">
        <f t="shared" si="5"/>
        <v>45.79555735</v>
      </c>
      <c r="AA29" s="20"/>
      <c r="AB29" s="20">
        <f>IFERROR(__xludf.DUMMYFUNCTION("iferror(PERCENTRANK.INC(FILTER($X$2:$X$423, $U$2:$U$423&lt;3.75), $X29), 1)"),0.938)</f>
        <v>0.938</v>
      </c>
      <c r="AC29" s="20">
        <f>IFERROR(__xludf.DUMMYFUNCTION("iferror(PERCENTRANK.INC(FILTER($X$2:$X$423, $U$2:$U$423&lt;4.25), $X29), 1)"),0.91)</f>
        <v>0.91</v>
      </c>
      <c r="AD29" s="20">
        <f>IFERROR(__xludf.DUMMYFUNCTION("iferror(PERCENTRANK.INC(FILTER($X$2:$X$423, $U$2:$U$423&gt;=4.1), $X29), 0.01)"),0.056)</f>
        <v>0.056</v>
      </c>
      <c r="AE29" s="20"/>
    </row>
    <row r="30" ht="14.25" customHeight="1">
      <c r="A30" s="17" t="s">
        <v>166</v>
      </c>
      <c r="B30" s="17" t="s">
        <v>167</v>
      </c>
      <c r="C30" s="18">
        <v>15.0</v>
      </c>
      <c r="D30" s="17" t="s">
        <v>98</v>
      </c>
      <c r="E30" s="17" t="s">
        <v>108</v>
      </c>
      <c r="F30" s="18">
        <v>358.0</v>
      </c>
      <c r="G30" s="18">
        <v>316.0</v>
      </c>
      <c r="H30" s="18">
        <v>216.0</v>
      </c>
      <c r="I30" s="19">
        <v>0.683</v>
      </c>
      <c r="J30" s="18">
        <v>2804.0</v>
      </c>
      <c r="K30" s="18">
        <v>8.9</v>
      </c>
      <c r="L30" s="18">
        <v>32.0</v>
      </c>
      <c r="M30" s="18">
        <v>5.0</v>
      </c>
      <c r="N30" s="18">
        <v>17.0</v>
      </c>
      <c r="O30" s="18">
        <v>9.0</v>
      </c>
      <c r="P30" s="20">
        <f t="shared" si="1"/>
        <v>6.263710156</v>
      </c>
      <c r="Q30" s="20">
        <f t="shared" si="2"/>
        <v>3.369291014</v>
      </c>
      <c r="R30" s="24"/>
      <c r="S30" s="20">
        <v>6.263710156353865</v>
      </c>
      <c r="T30" s="22">
        <v>1.31</v>
      </c>
      <c r="U30" s="23"/>
      <c r="V30" s="30"/>
      <c r="W30" s="18">
        <v>1.0</v>
      </c>
      <c r="X30" s="22">
        <f t="shared" si="3"/>
        <v>1.042100871</v>
      </c>
      <c r="Y30" s="20">
        <f t="shared" si="4"/>
        <v>49.58603267</v>
      </c>
      <c r="Z30" s="20">
        <f t="shared" si="5"/>
        <v>46.21674166</v>
      </c>
      <c r="AA30" s="20"/>
      <c r="AB30" s="20">
        <f>IFERROR(__xludf.DUMMYFUNCTION("iferror(PERCENTRANK.INC(FILTER($X$2:$X$423, $U$2:$U$423&lt;3.75), $X30), 1)"),0.943)</f>
        <v>0.943</v>
      </c>
      <c r="AC30" s="20">
        <f>IFERROR(__xludf.DUMMYFUNCTION("iferror(PERCENTRANK.INC(FILTER($X$2:$X$423, $U$2:$U$423&lt;4.25), $X30), 1)"),0.915)</f>
        <v>0.915</v>
      </c>
      <c r="AD30" s="20">
        <f>IFERROR(__xludf.DUMMYFUNCTION("iferror(PERCENTRANK.INC(FILTER($X$2:$X$423, $U$2:$U$423&gt;=4.1), $X30), 0.01)"),0.056)</f>
        <v>0.056</v>
      </c>
      <c r="AE30" s="20"/>
    </row>
    <row r="31" ht="14.25" customHeight="1">
      <c r="A31" s="17" t="s">
        <v>168</v>
      </c>
      <c r="B31" s="17" t="s">
        <v>169</v>
      </c>
      <c r="C31" s="18">
        <v>11.0</v>
      </c>
      <c r="D31" s="17" t="s">
        <v>98</v>
      </c>
      <c r="E31" s="17" t="s">
        <v>121</v>
      </c>
      <c r="F31" s="18">
        <v>394.0</v>
      </c>
      <c r="G31" s="18">
        <v>389.0</v>
      </c>
      <c r="H31" s="18">
        <v>256.0</v>
      </c>
      <c r="I31" s="19">
        <v>0.658</v>
      </c>
      <c r="J31" s="18">
        <v>3494.0</v>
      </c>
      <c r="K31" s="18">
        <v>9.0</v>
      </c>
      <c r="L31" s="18">
        <v>34.0</v>
      </c>
      <c r="M31" s="18">
        <v>8.0</v>
      </c>
      <c r="N31" s="18">
        <v>2.0</v>
      </c>
      <c r="O31" s="18">
        <v>10.0</v>
      </c>
      <c r="P31" s="20">
        <f t="shared" si="1"/>
        <v>6.514164305</v>
      </c>
      <c r="Q31" s="20">
        <f t="shared" si="2"/>
        <v>3.488056362</v>
      </c>
      <c r="R31" s="24"/>
      <c r="S31" s="20">
        <v>6.514164305168792</v>
      </c>
      <c r="T31" s="22">
        <v>1.48</v>
      </c>
      <c r="W31" s="25">
        <v>0.9</v>
      </c>
      <c r="X31" s="22">
        <f t="shared" si="3"/>
        <v>1.199124646</v>
      </c>
      <c r="Y31" s="20">
        <f t="shared" si="4"/>
        <v>51.52764156</v>
      </c>
      <c r="Z31" s="20">
        <f t="shared" si="5"/>
        <v>48.0395852</v>
      </c>
      <c r="AA31" s="20"/>
      <c r="AB31" s="20">
        <f>IFERROR(__xludf.DUMMYFUNCTION("iferror(PERCENTRANK.INC(FILTER($X$2:$X$423, $U$2:$U$423&lt;3.75), $X31), 1)"),0.951)</f>
        <v>0.951</v>
      </c>
      <c r="AC31" s="20">
        <f>IFERROR(__xludf.DUMMYFUNCTION("iferror(PERCENTRANK.INC(FILTER($X$2:$X$423, $U$2:$U$423&lt;4.25), $X31), 1)"),0.923)</f>
        <v>0.923</v>
      </c>
      <c r="AD31" s="20">
        <f>IFERROR(__xludf.DUMMYFUNCTION("iferror(PERCENTRANK.INC(FILTER($X$2:$X$423, $U$2:$U$423&gt;=4.1), $X31), 0.01)"),0.059)</f>
        <v>0.059</v>
      </c>
      <c r="AE31" s="20"/>
    </row>
    <row r="32" ht="14.25" customHeight="1">
      <c r="A32" s="17" t="s">
        <v>170</v>
      </c>
      <c r="B32" s="17" t="s">
        <v>171</v>
      </c>
      <c r="C32" s="18">
        <v>12.0</v>
      </c>
      <c r="D32" s="17" t="s">
        <v>98</v>
      </c>
      <c r="E32" s="17" t="s">
        <v>172</v>
      </c>
      <c r="F32" s="18">
        <v>517.0</v>
      </c>
      <c r="G32" s="18">
        <v>429.0</v>
      </c>
      <c r="H32" s="18">
        <v>287.0</v>
      </c>
      <c r="I32" s="19">
        <v>0.669</v>
      </c>
      <c r="J32" s="18">
        <v>3319.0</v>
      </c>
      <c r="K32" s="18">
        <v>7.7</v>
      </c>
      <c r="L32" s="18">
        <v>26.0</v>
      </c>
      <c r="M32" s="18">
        <v>4.0</v>
      </c>
      <c r="N32" s="18">
        <v>16.0</v>
      </c>
      <c r="O32" s="18">
        <v>10.0</v>
      </c>
      <c r="P32" s="20">
        <f t="shared" si="1"/>
        <v>6.008287206</v>
      </c>
      <c r="Q32" s="20">
        <f t="shared" si="2"/>
        <v>3.248169461</v>
      </c>
      <c r="R32" s="24"/>
      <c r="S32" s="20">
        <v>6.008287205723354</v>
      </c>
      <c r="T32" s="22">
        <v>0.85</v>
      </c>
      <c r="U32" s="30"/>
      <c r="V32" s="30"/>
      <c r="W32" s="18">
        <v>0.9</v>
      </c>
      <c r="X32" s="22">
        <f t="shared" si="3"/>
        <v>0.9836809268</v>
      </c>
      <c r="Y32" s="20">
        <f t="shared" si="4"/>
        <v>48.86366637</v>
      </c>
      <c r="Z32" s="20">
        <f t="shared" si="5"/>
        <v>45.61549691</v>
      </c>
      <c r="AA32" s="20"/>
      <c r="AB32" s="20">
        <f>IFERROR(__xludf.DUMMYFUNCTION("iferror(PERCENTRANK.INC(FILTER($X$2:$X$423, $U$2:$U$423&lt;3.75), $X32), 1)"),0.936)</f>
        <v>0.936</v>
      </c>
      <c r="AC32" s="20">
        <f>IFERROR(__xludf.DUMMYFUNCTION("iferror(PERCENTRANK.INC(FILTER($X$2:$X$423, $U$2:$U$423&lt;4.25), $X32), 1)"),0.908)</f>
        <v>0.908</v>
      </c>
      <c r="AD32" s="20">
        <f>IFERROR(__xludf.DUMMYFUNCTION("iferror(PERCENTRANK.INC(FILTER($X$2:$X$423, $U$2:$U$423&gt;=4.1), $X32), 0.01)"),0.055)</f>
        <v>0.055</v>
      </c>
      <c r="AE32" s="20"/>
    </row>
    <row r="33" ht="14.25" customHeight="1">
      <c r="A33" s="17" t="s">
        <v>173</v>
      </c>
      <c r="B33" s="17" t="s">
        <v>174</v>
      </c>
      <c r="C33" s="18">
        <v>10.0</v>
      </c>
      <c r="D33" s="17" t="s">
        <v>98</v>
      </c>
      <c r="E33" s="17" t="s">
        <v>108</v>
      </c>
      <c r="F33" s="18">
        <v>363.0</v>
      </c>
      <c r="G33" s="18">
        <v>339.0</v>
      </c>
      <c r="H33" s="18">
        <v>261.0</v>
      </c>
      <c r="I33" s="19">
        <v>0.77</v>
      </c>
      <c r="J33" s="18">
        <v>3087.0</v>
      </c>
      <c r="K33" s="18">
        <v>9.1</v>
      </c>
      <c r="L33" s="18">
        <v>30.0</v>
      </c>
      <c r="M33" s="18">
        <v>5.0</v>
      </c>
      <c r="N33" s="18">
        <v>9.0</v>
      </c>
      <c r="O33" s="18">
        <v>5.0</v>
      </c>
      <c r="P33" s="20">
        <f t="shared" si="1"/>
        <v>6.312397202</v>
      </c>
      <c r="Q33" s="20">
        <f t="shared" si="2"/>
        <v>3.392378409</v>
      </c>
      <c r="R33" s="24"/>
      <c r="S33" s="20">
        <v>6.31239720154075</v>
      </c>
      <c r="T33" s="22">
        <v>1.01</v>
      </c>
      <c r="W33" s="25">
        <v>1.0</v>
      </c>
      <c r="X33" s="22">
        <f t="shared" si="3"/>
        <v>1.09835958</v>
      </c>
      <c r="Y33" s="20">
        <f t="shared" si="4"/>
        <v>50.28167516</v>
      </c>
      <c r="Z33" s="20">
        <f t="shared" si="5"/>
        <v>46.88929675</v>
      </c>
      <c r="AA33" s="20"/>
      <c r="AB33" s="20">
        <f>IFERROR(__xludf.DUMMYFUNCTION("iferror(PERCENTRANK.INC(FILTER($X$2:$X$423, $U$2:$U$423&lt;3.75), $X33), 1)"),0.946)</f>
        <v>0.946</v>
      </c>
      <c r="AC33" s="20">
        <f>IFERROR(__xludf.DUMMYFUNCTION("iferror(PERCENTRANK.INC(FILTER($X$2:$X$423, $U$2:$U$423&lt;4.25), $X33), 1)"),0.918)</f>
        <v>0.918</v>
      </c>
      <c r="AD33" s="20">
        <f>IFERROR(__xludf.DUMMYFUNCTION("iferror(PERCENTRANK.INC(FILTER($X$2:$X$423, $U$2:$U$423&gt;=4.1), $X33), 0.01)"),0.057)</f>
        <v>0.057</v>
      </c>
      <c r="AE33" s="20"/>
    </row>
    <row r="34" ht="14.25" customHeight="1">
      <c r="A34" s="17" t="s">
        <v>175</v>
      </c>
      <c r="B34" s="17" t="s">
        <v>176</v>
      </c>
      <c r="C34" s="18">
        <v>12.0</v>
      </c>
      <c r="D34" s="17" t="s">
        <v>98</v>
      </c>
      <c r="E34" s="17" t="s">
        <v>114</v>
      </c>
      <c r="F34" s="18">
        <v>368.0</v>
      </c>
      <c r="G34" s="18">
        <v>318.0</v>
      </c>
      <c r="H34" s="18">
        <v>203.0</v>
      </c>
      <c r="I34" s="19">
        <v>0.638</v>
      </c>
      <c r="J34" s="18">
        <v>2856.0</v>
      </c>
      <c r="K34" s="18">
        <v>9.0</v>
      </c>
      <c r="L34" s="18">
        <v>31.0</v>
      </c>
      <c r="M34" s="18">
        <v>8.0</v>
      </c>
      <c r="N34" s="18">
        <v>22.0</v>
      </c>
      <c r="O34" s="18">
        <v>10.0</v>
      </c>
      <c r="P34" s="20">
        <f t="shared" si="1"/>
        <v>5.584326159</v>
      </c>
      <c r="Q34" s="20">
        <f t="shared" si="2"/>
        <v>3.047127148</v>
      </c>
      <c r="R34" s="24"/>
      <c r="S34" s="20">
        <v>5.584326158599945</v>
      </c>
      <c r="T34" s="22">
        <v>4.24</v>
      </c>
      <c r="U34" s="30"/>
      <c r="V34" s="30"/>
      <c r="W34" s="18">
        <v>0.9</v>
      </c>
      <c r="X34" s="22">
        <f t="shared" si="3"/>
        <v>1.389884031</v>
      </c>
      <c r="Y34" s="20">
        <f t="shared" si="4"/>
        <v>53.88639341</v>
      </c>
      <c r="Z34" s="20">
        <f t="shared" si="5"/>
        <v>50.83926626</v>
      </c>
      <c r="AA34" s="20"/>
      <c r="AB34" s="20">
        <f>IFERROR(__xludf.DUMMYFUNCTION("iferror(PERCENTRANK.INC(FILTER($X$2:$X$423, $U$2:$U$423&lt;3.75), $X34), 1)"),0.966)</f>
        <v>0.966</v>
      </c>
      <c r="AC34" s="20">
        <f>IFERROR(__xludf.DUMMYFUNCTION("iferror(PERCENTRANK.INC(FILTER($X$2:$X$423, $U$2:$U$423&lt;4.25), $X34), 1)"),0.938)</f>
        <v>0.938</v>
      </c>
      <c r="AD34" s="20">
        <f>IFERROR(__xludf.DUMMYFUNCTION("iferror(PERCENTRANK.INC(FILTER($X$2:$X$423, $U$2:$U$423&gt;=4.1), $X34), 0.01)"),0.062)</f>
        <v>0.062</v>
      </c>
      <c r="AE34" s="20"/>
    </row>
    <row r="35" ht="14.25" customHeight="1">
      <c r="A35" s="17" t="s">
        <v>177</v>
      </c>
      <c r="B35" s="17" t="s">
        <v>178</v>
      </c>
      <c r="C35" s="18">
        <v>12.0</v>
      </c>
      <c r="D35" s="17" t="s">
        <v>98</v>
      </c>
      <c r="E35" s="17" t="s">
        <v>179</v>
      </c>
      <c r="F35" s="18">
        <v>294.0</v>
      </c>
      <c r="G35" s="18">
        <v>279.0</v>
      </c>
      <c r="H35" s="18">
        <v>196.0</v>
      </c>
      <c r="I35" s="19">
        <v>0.703</v>
      </c>
      <c r="J35" s="18">
        <v>2585.0</v>
      </c>
      <c r="K35" s="18">
        <v>9.3</v>
      </c>
      <c r="L35" s="18">
        <v>27.0</v>
      </c>
      <c r="M35" s="18">
        <v>5.0</v>
      </c>
      <c r="N35" s="18">
        <v>9.0</v>
      </c>
      <c r="O35" s="18">
        <v>8.0</v>
      </c>
      <c r="P35" s="20">
        <f t="shared" si="1"/>
        <v>5.561369687</v>
      </c>
      <c r="Q35" s="20">
        <f t="shared" si="2"/>
        <v>3.03624119</v>
      </c>
      <c r="R35" s="24"/>
      <c r="S35" s="20">
        <v>5.561369687001681</v>
      </c>
      <c r="T35" s="22">
        <v>1.46</v>
      </c>
      <c r="U35" s="30"/>
      <c r="V35" s="30"/>
      <c r="W35" s="18">
        <v>0.9</v>
      </c>
      <c r="X35" s="22">
        <f t="shared" si="3"/>
        <v>0.9697849077</v>
      </c>
      <c r="Y35" s="20">
        <f t="shared" si="4"/>
        <v>48.69184122</v>
      </c>
      <c r="Z35" s="20">
        <f t="shared" si="5"/>
        <v>45.65560003</v>
      </c>
      <c r="AA35" s="20"/>
      <c r="AB35" s="20">
        <f>IFERROR(__xludf.DUMMYFUNCTION("iferror(PERCENTRANK.INC(FILTER($X$2:$X$423, $U$2:$U$423&lt;3.75), $X35), 1)"),0.93)</f>
        <v>0.93</v>
      </c>
      <c r="AC35" s="20">
        <f>IFERROR(__xludf.DUMMYFUNCTION("iferror(PERCENTRANK.INC(FILTER($X$2:$X$423, $U$2:$U$423&lt;4.25), $X35), 1)"),0.903)</f>
        <v>0.903</v>
      </c>
      <c r="AD35" s="20">
        <f>IFERROR(__xludf.DUMMYFUNCTION("iferror(PERCENTRANK.INC(FILTER($X$2:$X$423, $U$2:$U$423&gt;=4.1), $X35), 0.01)"),0.055)</f>
        <v>0.055</v>
      </c>
      <c r="AE35" s="20"/>
    </row>
    <row r="36" ht="14.25" customHeight="1">
      <c r="A36" s="17" t="s">
        <v>180</v>
      </c>
      <c r="B36" s="17" t="s">
        <v>181</v>
      </c>
      <c r="C36" s="18">
        <v>15.0</v>
      </c>
      <c r="D36" s="17" t="s">
        <v>98</v>
      </c>
      <c r="E36" s="17" t="s">
        <v>182</v>
      </c>
      <c r="F36" s="18">
        <v>468.0</v>
      </c>
      <c r="G36" s="18">
        <v>413.0</v>
      </c>
      <c r="H36" s="18">
        <v>263.0</v>
      </c>
      <c r="I36" s="19">
        <v>0.637</v>
      </c>
      <c r="J36" s="18">
        <v>3129.0</v>
      </c>
      <c r="K36" s="18">
        <v>7.6</v>
      </c>
      <c r="L36" s="18">
        <v>25.0</v>
      </c>
      <c r="M36" s="18">
        <v>5.0</v>
      </c>
      <c r="N36" s="18">
        <v>23.0</v>
      </c>
      <c r="O36" s="18">
        <v>14.0</v>
      </c>
      <c r="P36" s="20">
        <f t="shared" si="1"/>
        <v>5.495395057</v>
      </c>
      <c r="Q36" s="20">
        <f t="shared" si="2"/>
        <v>3.004956023</v>
      </c>
      <c r="R36" s="24"/>
      <c r="S36" s="20">
        <v>5.495395056786903</v>
      </c>
      <c r="T36" s="22">
        <v>0.95</v>
      </c>
      <c r="U36" s="30"/>
      <c r="V36" s="30"/>
      <c r="W36" s="18">
        <v>1.0</v>
      </c>
      <c r="X36" s="22">
        <f t="shared" si="3"/>
        <v>0.9668092585</v>
      </c>
      <c r="Y36" s="20">
        <f t="shared" si="4"/>
        <v>48.65504713</v>
      </c>
      <c r="Z36" s="20">
        <f t="shared" si="5"/>
        <v>45.65009111</v>
      </c>
      <c r="AA36" s="20"/>
      <c r="AB36" s="20">
        <f>IFERROR(__xludf.DUMMYFUNCTION("iferror(PERCENTRANK.INC(FILTER($X$2:$X$423, $U$2:$U$423&lt;3.75), $X36), 1)"),0.925)</f>
        <v>0.925</v>
      </c>
      <c r="AC36" s="20">
        <f>IFERROR(__xludf.DUMMYFUNCTION("iferror(PERCENTRANK.INC(FILTER($X$2:$X$423, $U$2:$U$423&lt;4.25), $X36), 1)"),0.898)</f>
        <v>0.898</v>
      </c>
      <c r="AD36" s="20">
        <f>IFERROR(__xludf.DUMMYFUNCTION("iferror(PERCENTRANK.INC(FILTER($X$2:$X$423, $U$2:$U$423&gt;=4.1), $X36), 0.01)"),0.055)</f>
        <v>0.055</v>
      </c>
      <c r="AE36" s="20"/>
    </row>
    <row r="37" ht="14.25" customHeight="1">
      <c r="A37" s="17" t="s">
        <v>183</v>
      </c>
      <c r="B37" s="17" t="s">
        <v>184</v>
      </c>
      <c r="C37" s="18">
        <v>17.0</v>
      </c>
      <c r="D37" s="17" t="s">
        <v>98</v>
      </c>
      <c r="E37" s="17" t="s">
        <v>158</v>
      </c>
      <c r="F37" s="18">
        <v>431.0</v>
      </c>
      <c r="G37" s="18">
        <v>366.0</v>
      </c>
      <c r="H37" s="18">
        <v>230.0</v>
      </c>
      <c r="I37" s="19">
        <v>0.628</v>
      </c>
      <c r="J37" s="18">
        <v>3169.0</v>
      </c>
      <c r="K37" s="18">
        <v>8.7</v>
      </c>
      <c r="L37" s="18">
        <v>28.0</v>
      </c>
      <c r="M37" s="18">
        <v>9.0</v>
      </c>
      <c r="N37" s="18">
        <v>15.0</v>
      </c>
      <c r="O37" s="18">
        <v>11.0</v>
      </c>
      <c r="P37" s="20">
        <f t="shared" si="1"/>
        <v>5.2587495</v>
      </c>
      <c r="Q37" s="20">
        <f t="shared" si="2"/>
        <v>2.892738709</v>
      </c>
      <c r="R37" s="24"/>
      <c r="S37" s="20">
        <v>5.258749499930268</v>
      </c>
      <c r="T37" s="22">
        <v>1.0</v>
      </c>
      <c r="U37" s="30"/>
      <c r="V37" s="30"/>
      <c r="W37" s="18">
        <v>0.95</v>
      </c>
      <c r="X37" s="22">
        <f t="shared" si="3"/>
        <v>0.8599311825</v>
      </c>
      <c r="Y37" s="20">
        <f t="shared" si="4"/>
        <v>47.33349297</v>
      </c>
      <c r="Z37" s="20">
        <f t="shared" si="5"/>
        <v>44.44075426</v>
      </c>
      <c r="AA37" s="20"/>
      <c r="AB37" s="20">
        <f>IFERROR(__xludf.DUMMYFUNCTION("iferror(PERCENTRANK.INC(FILTER($X$2:$X$423, $U$2:$U$423&lt;3.75), $X37), 1)"),0.866)</f>
        <v>0.866</v>
      </c>
      <c r="AC37" s="20">
        <f>IFERROR(__xludf.DUMMYFUNCTION("iferror(PERCENTRANK.INC(FILTER($X$2:$X$423, $U$2:$U$423&lt;4.25), $X37), 1)"),0.84)</f>
        <v>0.84</v>
      </c>
      <c r="AD37" s="20">
        <f>IFERROR(__xludf.DUMMYFUNCTION("iferror(PERCENTRANK.INC(FILTER($X$2:$X$423, $U$2:$U$423&gt;=4.1), $X37), 0.01)"),0.053)</f>
        <v>0.053</v>
      </c>
      <c r="AE37" s="20"/>
    </row>
    <row r="38" ht="14.25" customHeight="1">
      <c r="A38" s="17" t="s">
        <v>185</v>
      </c>
      <c r="B38" s="17" t="s">
        <v>186</v>
      </c>
      <c r="C38" s="18">
        <v>13.0</v>
      </c>
      <c r="D38" s="17" t="s">
        <v>98</v>
      </c>
      <c r="E38" s="17" t="s">
        <v>99</v>
      </c>
      <c r="F38" s="18">
        <v>590.0</v>
      </c>
      <c r="G38" s="18">
        <v>548.0</v>
      </c>
      <c r="H38" s="18">
        <v>310.0</v>
      </c>
      <c r="I38" s="19">
        <v>0.566</v>
      </c>
      <c r="J38" s="18">
        <v>3724.0</v>
      </c>
      <c r="K38" s="18">
        <v>6.8</v>
      </c>
      <c r="L38" s="18">
        <v>31.0</v>
      </c>
      <c r="M38" s="18">
        <v>12.0</v>
      </c>
      <c r="N38" s="18">
        <v>21.0</v>
      </c>
      <c r="O38" s="18">
        <v>21.0</v>
      </c>
      <c r="P38" s="20">
        <f t="shared" si="1"/>
        <v>5.188911845</v>
      </c>
      <c r="Q38" s="20">
        <f t="shared" si="2"/>
        <v>2.859621696</v>
      </c>
      <c r="R38" s="24"/>
      <c r="S38" s="20">
        <v>5.188911845354449</v>
      </c>
      <c r="T38" s="22">
        <v>1.39</v>
      </c>
      <c r="U38" s="30"/>
      <c r="V38" s="30"/>
      <c r="W38" s="18">
        <v>1.0</v>
      </c>
      <c r="X38" s="22">
        <f t="shared" si="3"/>
        <v>0.9090030991</v>
      </c>
      <c r="Y38" s="20">
        <f t="shared" si="4"/>
        <v>47.94027032</v>
      </c>
      <c r="Z38" s="20">
        <f t="shared" si="5"/>
        <v>45.08064862</v>
      </c>
      <c r="AA38" s="20"/>
      <c r="AB38" s="20">
        <f>IFERROR(__xludf.DUMMYFUNCTION("iferror(PERCENTRANK.INC(FILTER($X$2:$X$423, $U$2:$U$423&lt;3.75), $X38), 1)"),0.902)</f>
        <v>0.902</v>
      </c>
      <c r="AC38" s="20">
        <f>IFERROR(__xludf.DUMMYFUNCTION("iferror(PERCENTRANK.INC(FILTER($X$2:$X$423, $U$2:$U$423&lt;4.25), $X38), 1)"),0.875)</f>
        <v>0.875</v>
      </c>
      <c r="AD38" s="20">
        <f>IFERROR(__xludf.DUMMYFUNCTION("iferror(PERCENTRANK.INC(FILTER($X$2:$X$423, $U$2:$U$423&gt;=4.1), $X38), 0.01)"),0.054)</f>
        <v>0.054</v>
      </c>
      <c r="AE38" s="20"/>
    </row>
    <row r="39" ht="14.25" customHeight="1">
      <c r="A39" s="17" t="s">
        <v>187</v>
      </c>
      <c r="B39" s="17" t="s">
        <v>188</v>
      </c>
      <c r="C39" s="18">
        <v>6.0</v>
      </c>
      <c r="D39" s="17" t="s">
        <v>98</v>
      </c>
      <c r="E39" s="17" t="s">
        <v>189</v>
      </c>
      <c r="F39" s="18">
        <v>438.0</v>
      </c>
      <c r="G39" s="18">
        <v>396.0</v>
      </c>
      <c r="H39" s="18">
        <v>257.0</v>
      </c>
      <c r="I39" s="19">
        <v>0.649</v>
      </c>
      <c r="J39" s="18">
        <v>3239.0</v>
      </c>
      <c r="K39" s="18">
        <v>8.2</v>
      </c>
      <c r="L39" s="18">
        <v>19.0</v>
      </c>
      <c r="M39" s="18">
        <v>4.0</v>
      </c>
      <c r="N39" s="18">
        <v>22.0</v>
      </c>
      <c r="O39" s="18">
        <v>7.0</v>
      </c>
      <c r="P39" s="20">
        <f t="shared" si="1"/>
        <v>5.159373275</v>
      </c>
      <c r="Q39" s="20">
        <f t="shared" si="2"/>
        <v>2.845614507</v>
      </c>
      <c r="R39" s="24"/>
      <c r="S39" s="20">
        <v>5.159373275356302</v>
      </c>
      <c r="T39" s="22">
        <v>3.1</v>
      </c>
      <c r="W39" s="25">
        <v>0.9</v>
      </c>
      <c r="X39" s="22">
        <f t="shared" si="3"/>
        <v>1.161515392</v>
      </c>
      <c r="Y39" s="20">
        <f t="shared" si="4"/>
        <v>51.06260077</v>
      </c>
      <c r="Z39" s="20">
        <f t="shared" si="5"/>
        <v>48.21698626</v>
      </c>
      <c r="AA39" s="20"/>
      <c r="AB39" s="20">
        <f>IFERROR(__xludf.DUMMYFUNCTION("iferror(PERCENTRANK.INC(FILTER($X$2:$X$423, $U$2:$U$423&lt;3.75), $X39), 1)"),0.948)</f>
        <v>0.948</v>
      </c>
      <c r="AC39" s="20">
        <f>IFERROR(__xludf.DUMMYFUNCTION("iferror(PERCENTRANK.INC(FILTER($X$2:$X$423, $U$2:$U$423&lt;4.25), $X39), 1)"),0.92)</f>
        <v>0.92</v>
      </c>
      <c r="AD39" s="20">
        <f>IFERROR(__xludf.DUMMYFUNCTION("iferror(PERCENTRANK.INC(FILTER($X$2:$X$423, $U$2:$U$423&gt;=4.1), $X39), 0.01)"),0.058)</f>
        <v>0.058</v>
      </c>
      <c r="AE39" s="20"/>
    </row>
    <row r="40" ht="14.25" customHeight="1">
      <c r="A40" s="17" t="s">
        <v>190</v>
      </c>
      <c r="B40" s="17" t="s">
        <v>191</v>
      </c>
      <c r="C40" s="18">
        <v>11.0</v>
      </c>
      <c r="D40" s="17" t="s">
        <v>98</v>
      </c>
      <c r="E40" s="17" t="s">
        <v>155</v>
      </c>
      <c r="F40" s="18">
        <v>321.0</v>
      </c>
      <c r="G40" s="18">
        <v>287.0</v>
      </c>
      <c r="H40" s="18">
        <v>168.0</v>
      </c>
      <c r="I40" s="19">
        <v>0.585</v>
      </c>
      <c r="J40" s="18">
        <v>2596.0</v>
      </c>
      <c r="K40" s="18">
        <v>9.1</v>
      </c>
      <c r="L40" s="18">
        <v>25.0</v>
      </c>
      <c r="M40" s="18">
        <v>5.0</v>
      </c>
      <c r="N40" s="18">
        <v>19.0</v>
      </c>
      <c r="O40" s="18">
        <v>7.0</v>
      </c>
      <c r="P40" s="20">
        <f t="shared" si="1"/>
        <v>5.276192774</v>
      </c>
      <c r="Q40" s="20">
        <f t="shared" si="2"/>
        <v>2.901010309</v>
      </c>
      <c r="R40" s="29"/>
      <c r="S40" s="20">
        <v>5.276192773725399</v>
      </c>
      <c r="T40" s="22">
        <v>0.68</v>
      </c>
      <c r="U40" s="31"/>
      <c r="V40" s="30"/>
      <c r="W40" s="18">
        <v>0.9</v>
      </c>
      <c r="X40" s="22">
        <f t="shared" si="3"/>
        <v>0.8142860245</v>
      </c>
      <c r="Y40" s="20">
        <f t="shared" si="4"/>
        <v>46.76908771</v>
      </c>
      <c r="Z40" s="20">
        <f t="shared" si="5"/>
        <v>43.8680774</v>
      </c>
      <c r="AA40" s="20"/>
      <c r="AB40" s="20">
        <f>IFERROR(__xludf.DUMMYFUNCTION("iferror(PERCENTRANK.INC(FILTER($X$2:$X$423, $U$2:$U$423&lt;3.75), $X40), 1)"),0.835)</f>
        <v>0.835</v>
      </c>
      <c r="AC40" s="20">
        <f>IFERROR(__xludf.DUMMYFUNCTION("iferror(PERCENTRANK.INC(FILTER($X$2:$X$423, $U$2:$U$423&lt;4.25), $X40), 1)"),0.81)</f>
        <v>0.81</v>
      </c>
      <c r="AD40" s="20">
        <f>IFERROR(__xludf.DUMMYFUNCTION("iferror(PERCENTRANK.INC(FILTER($X$2:$X$423, $U$2:$U$423&gt;=4.1), $X40), 0.01)"),0.053)</f>
        <v>0.053</v>
      </c>
      <c r="AE40" s="20"/>
    </row>
    <row r="41" ht="14.25" customHeight="1">
      <c r="A41" s="17" t="s">
        <v>192</v>
      </c>
      <c r="B41" s="17" t="s">
        <v>193</v>
      </c>
      <c r="C41" s="18">
        <v>14.0</v>
      </c>
      <c r="D41" s="17" t="s">
        <v>98</v>
      </c>
      <c r="E41" s="17" t="s">
        <v>108</v>
      </c>
      <c r="F41" s="18">
        <v>427.0</v>
      </c>
      <c r="G41" s="18">
        <v>406.0</v>
      </c>
      <c r="H41" s="18">
        <v>252.0</v>
      </c>
      <c r="I41" s="19">
        <v>0.621</v>
      </c>
      <c r="J41" s="18">
        <v>3556.0</v>
      </c>
      <c r="K41" s="18">
        <v>8.8</v>
      </c>
      <c r="L41" s="18">
        <v>23.0</v>
      </c>
      <c r="M41" s="18">
        <v>9.0</v>
      </c>
      <c r="N41" s="18">
        <v>12.0</v>
      </c>
      <c r="O41" s="18">
        <v>18.0</v>
      </c>
      <c r="P41" s="20">
        <f t="shared" si="1"/>
        <v>4.977575975</v>
      </c>
      <c r="Q41" s="20">
        <f t="shared" si="2"/>
        <v>2.759406234</v>
      </c>
      <c r="R41" s="24"/>
      <c r="S41" s="20">
        <v>4.977575975207947</v>
      </c>
      <c r="T41" s="22">
        <v>1.06</v>
      </c>
      <c r="U41" s="30"/>
      <c r="V41" s="30"/>
      <c r="W41" s="18">
        <v>1.0</v>
      </c>
      <c r="X41" s="22">
        <f t="shared" si="3"/>
        <v>0.8309727567</v>
      </c>
      <c r="Y41" s="20">
        <f t="shared" si="4"/>
        <v>46.97542021</v>
      </c>
      <c r="Z41" s="20">
        <f t="shared" si="5"/>
        <v>44.21601397</v>
      </c>
      <c r="AA41" s="20"/>
      <c r="AB41" s="20">
        <f>IFERROR(__xludf.DUMMYFUNCTION("iferror(PERCENTRANK.INC(FILTER($X$2:$X$423, $U$2:$U$423&lt;3.75), $X41), 1)"),0.848)</f>
        <v>0.848</v>
      </c>
      <c r="AC41" s="20">
        <f>IFERROR(__xludf.DUMMYFUNCTION("iferror(PERCENTRANK.INC(FILTER($X$2:$X$423, $U$2:$U$423&lt;4.25), $X41), 1)"),0.823)</f>
        <v>0.823</v>
      </c>
      <c r="AD41" s="20">
        <f>IFERROR(__xludf.DUMMYFUNCTION("iferror(PERCENTRANK.INC(FILTER($X$2:$X$423, $U$2:$U$423&gt;=4.1), $X41), 0.01)"),0.053)</f>
        <v>0.053</v>
      </c>
      <c r="AE41" s="20"/>
    </row>
    <row r="42" ht="14.25" customHeight="1">
      <c r="A42" s="17" t="s">
        <v>194</v>
      </c>
      <c r="B42" s="17" t="s">
        <v>195</v>
      </c>
      <c r="C42" s="18">
        <v>16.0</v>
      </c>
      <c r="D42" s="17" t="s">
        <v>98</v>
      </c>
      <c r="E42" s="17" t="s">
        <v>172</v>
      </c>
      <c r="F42" s="18">
        <v>427.0</v>
      </c>
      <c r="G42" s="18">
        <v>387.0</v>
      </c>
      <c r="H42" s="18">
        <v>241.0</v>
      </c>
      <c r="I42" s="19">
        <v>0.623</v>
      </c>
      <c r="J42" s="18">
        <v>2547.0</v>
      </c>
      <c r="K42" s="18">
        <v>6.6</v>
      </c>
      <c r="L42" s="18">
        <v>28.0</v>
      </c>
      <c r="M42" s="18">
        <v>6.0</v>
      </c>
      <c r="N42" s="18">
        <v>16.0</v>
      </c>
      <c r="O42" s="18">
        <v>9.0</v>
      </c>
      <c r="P42" s="20">
        <f t="shared" si="1"/>
        <v>5.069885623</v>
      </c>
      <c r="Q42" s="20">
        <f t="shared" si="2"/>
        <v>2.803179465</v>
      </c>
      <c r="R42" s="24"/>
      <c r="S42" s="20">
        <v>5.069885622841893</v>
      </c>
      <c r="T42" s="22">
        <v>1.34</v>
      </c>
      <c r="U42" s="30"/>
      <c r="V42" s="30"/>
      <c r="W42" s="18">
        <v>0.9</v>
      </c>
      <c r="X42" s="22">
        <f t="shared" si="3"/>
        <v>0.9614828434</v>
      </c>
      <c r="Y42" s="20">
        <f t="shared" si="4"/>
        <v>48.58918567</v>
      </c>
      <c r="Z42" s="20">
        <f t="shared" si="5"/>
        <v>45.78600621</v>
      </c>
      <c r="AA42" s="20"/>
      <c r="AB42" s="20">
        <f>IFERROR(__xludf.DUMMYFUNCTION("iferror(PERCENTRANK.INC(FILTER($X$2:$X$423, $U$2:$U$423&lt;3.75), $X42), 1)"),0.92)</f>
        <v>0.92</v>
      </c>
      <c r="AC42" s="20">
        <f>IFERROR(__xludf.DUMMYFUNCTION("iferror(PERCENTRANK.INC(FILTER($X$2:$X$423, $U$2:$U$423&lt;4.25), $X42), 1)"),0.893)</f>
        <v>0.893</v>
      </c>
      <c r="AD42" s="20">
        <f>IFERROR(__xludf.DUMMYFUNCTION("iferror(PERCENTRANK.INC(FILTER($X$2:$X$423, $U$2:$U$423&gt;=4.1), $X42), 0.01)"),0.055)</f>
        <v>0.055</v>
      </c>
      <c r="AE42" s="20"/>
    </row>
    <row r="43" ht="14.25" customHeight="1">
      <c r="A43" s="17" t="s">
        <v>196</v>
      </c>
      <c r="B43" s="17" t="s">
        <v>197</v>
      </c>
      <c r="C43" s="18">
        <v>7.0</v>
      </c>
      <c r="D43" s="17" t="s">
        <v>98</v>
      </c>
      <c r="E43" s="17" t="s">
        <v>179</v>
      </c>
      <c r="F43" s="18">
        <v>352.0</v>
      </c>
      <c r="G43" s="18">
        <v>332.0</v>
      </c>
      <c r="H43" s="18">
        <v>190.0</v>
      </c>
      <c r="I43" s="19">
        <v>0.572</v>
      </c>
      <c r="J43" s="18">
        <v>2574.0</v>
      </c>
      <c r="K43" s="18">
        <v>7.8</v>
      </c>
      <c r="L43" s="18">
        <v>22.0</v>
      </c>
      <c r="M43" s="18">
        <v>4.0</v>
      </c>
      <c r="N43" s="18">
        <v>14.0</v>
      </c>
      <c r="O43" s="18">
        <v>10.0</v>
      </c>
      <c r="P43" s="20">
        <f t="shared" si="1"/>
        <v>4.931334887</v>
      </c>
      <c r="Q43" s="20">
        <f t="shared" si="2"/>
        <v>2.737478712</v>
      </c>
      <c r="R43" s="24"/>
      <c r="S43" s="20">
        <v>4.931334887185104</v>
      </c>
      <c r="T43" s="22">
        <v>1.38</v>
      </c>
      <c r="U43" s="30"/>
      <c r="V43" s="30"/>
      <c r="W43" s="18">
        <v>0.9</v>
      </c>
      <c r="X43" s="22">
        <f t="shared" si="3"/>
        <v>0.8727302098</v>
      </c>
      <c r="Y43" s="20">
        <f t="shared" si="4"/>
        <v>47.49175375</v>
      </c>
      <c r="Z43" s="20">
        <f t="shared" si="5"/>
        <v>44.75427504</v>
      </c>
      <c r="AA43" s="20"/>
      <c r="AB43" s="20">
        <f>IFERROR(__xludf.DUMMYFUNCTION("iferror(PERCENTRANK.INC(FILTER($X$2:$X$423, $U$2:$U$423&lt;3.75), $X43), 1)"),0.876)</f>
        <v>0.876</v>
      </c>
      <c r="AC43" s="20">
        <f>IFERROR(__xludf.DUMMYFUNCTION("iferror(PERCENTRANK.INC(FILTER($X$2:$X$423, $U$2:$U$423&lt;4.25), $X43), 1)"),0.85)</f>
        <v>0.85</v>
      </c>
      <c r="AD43" s="20">
        <f>IFERROR(__xludf.DUMMYFUNCTION("iferror(PERCENTRANK.INC(FILTER($X$2:$X$423, $U$2:$U$423&gt;=4.1), $X43), 0.01)"),0.054)</f>
        <v>0.054</v>
      </c>
      <c r="AE43" s="20"/>
    </row>
    <row r="44" ht="14.25" customHeight="1">
      <c r="A44" s="17" t="s">
        <v>198</v>
      </c>
      <c r="B44" s="17" t="s">
        <v>199</v>
      </c>
      <c r="C44" s="18">
        <v>3.0</v>
      </c>
      <c r="D44" s="17" t="s">
        <v>98</v>
      </c>
      <c r="E44" s="17" t="s">
        <v>155</v>
      </c>
      <c r="F44" s="18">
        <v>420.0</v>
      </c>
      <c r="G44" s="18">
        <v>340.0</v>
      </c>
      <c r="H44" s="18">
        <v>210.0</v>
      </c>
      <c r="I44" s="19">
        <v>0.618</v>
      </c>
      <c r="J44" s="18">
        <v>3064.0</v>
      </c>
      <c r="K44" s="18">
        <v>9.0</v>
      </c>
      <c r="L44" s="18">
        <v>23.0</v>
      </c>
      <c r="M44" s="18">
        <v>6.0</v>
      </c>
      <c r="N44" s="18">
        <v>27.0</v>
      </c>
      <c r="O44" s="18">
        <v>14.0</v>
      </c>
      <c r="P44" s="20">
        <f t="shared" si="1"/>
        <v>5.178299109</v>
      </c>
      <c r="Q44" s="20">
        <f t="shared" si="2"/>
        <v>2.854589137</v>
      </c>
      <c r="R44" s="24"/>
      <c r="S44" s="20">
        <v>5.178299109243698</v>
      </c>
      <c r="T44" s="22">
        <v>1.08</v>
      </c>
      <c r="U44" s="30"/>
      <c r="V44" s="30"/>
      <c r="W44" s="18">
        <v>0.9</v>
      </c>
      <c r="X44" s="22">
        <f t="shared" si="3"/>
        <v>0.8610703797</v>
      </c>
      <c r="Y44" s="20">
        <f t="shared" si="4"/>
        <v>47.34757922</v>
      </c>
      <c r="Z44" s="20">
        <f t="shared" si="5"/>
        <v>44.49299008</v>
      </c>
      <c r="AA44" s="20"/>
      <c r="AB44" s="20">
        <f>IFERROR(__xludf.DUMMYFUNCTION("iferror(PERCENTRANK.INC(FILTER($X$2:$X$423, $U$2:$U$423&lt;3.75), $X44), 1)"),0.869)</f>
        <v>0.869</v>
      </c>
      <c r="AC44" s="20">
        <f>IFERROR(__xludf.DUMMYFUNCTION("iferror(PERCENTRANK.INC(FILTER($X$2:$X$423, $U$2:$U$423&lt;4.25), $X44), 1)"),0.843)</f>
        <v>0.843</v>
      </c>
      <c r="AD44" s="20">
        <f>IFERROR(__xludf.DUMMYFUNCTION("iferror(PERCENTRANK.INC(FILTER($X$2:$X$423, $U$2:$U$423&gt;=4.1), $X44), 0.01)"),0.053)</f>
        <v>0.053</v>
      </c>
      <c r="AE44" s="20"/>
    </row>
    <row r="45" ht="14.25" customHeight="1">
      <c r="A45" s="17" t="s">
        <v>200</v>
      </c>
      <c r="B45" s="17" t="s">
        <v>201</v>
      </c>
      <c r="C45" s="18">
        <v>0.0</v>
      </c>
      <c r="D45" s="17" t="s">
        <v>98</v>
      </c>
      <c r="E45" s="17" t="s">
        <v>105</v>
      </c>
      <c r="F45" s="18">
        <v>461.0</v>
      </c>
      <c r="G45" s="18">
        <v>386.0</v>
      </c>
      <c r="H45" s="18">
        <v>244.0</v>
      </c>
      <c r="I45" s="19">
        <v>0.632</v>
      </c>
      <c r="J45" s="18">
        <v>2824.0</v>
      </c>
      <c r="K45" s="18">
        <v>7.3</v>
      </c>
      <c r="L45" s="18">
        <v>26.0</v>
      </c>
      <c r="M45" s="18">
        <v>7.0</v>
      </c>
      <c r="N45" s="18">
        <v>26.0</v>
      </c>
      <c r="O45" s="18">
        <v>18.0</v>
      </c>
      <c r="P45" s="20">
        <f t="shared" si="1"/>
        <v>4.911919168</v>
      </c>
      <c r="Q45" s="20">
        <f t="shared" si="2"/>
        <v>2.728271779</v>
      </c>
      <c r="R45" s="24"/>
      <c r="S45" s="20">
        <v>4.911919168197094</v>
      </c>
      <c r="T45" s="22">
        <v>0.89</v>
      </c>
      <c r="U45" s="30"/>
      <c r="V45" s="30"/>
      <c r="W45" s="18">
        <v>0.9</v>
      </c>
      <c r="X45" s="22">
        <f t="shared" si="3"/>
        <v>0.8702878752</v>
      </c>
      <c r="Y45" s="20">
        <f t="shared" si="4"/>
        <v>47.46155413</v>
      </c>
      <c r="Z45" s="20">
        <f t="shared" si="5"/>
        <v>44.73328235</v>
      </c>
      <c r="AA45" s="20"/>
      <c r="AB45" s="20">
        <f>IFERROR(__xludf.DUMMYFUNCTION("iferror(PERCENTRANK.INC(FILTER($X$2:$X$423, $U$2:$U$423&lt;3.75), $X45), 1)"),0.874)</f>
        <v>0.874</v>
      </c>
      <c r="AC45" s="20">
        <f>IFERROR(__xludf.DUMMYFUNCTION("iferror(PERCENTRANK.INC(FILTER($X$2:$X$423, $U$2:$U$423&lt;4.25), $X45), 1)"),0.848)</f>
        <v>0.848</v>
      </c>
      <c r="AD45" s="20">
        <f>IFERROR(__xludf.DUMMYFUNCTION("iferror(PERCENTRANK.INC(FILTER($X$2:$X$423, $U$2:$U$423&gt;=4.1), $X45), 0.01)"),0.054)</f>
        <v>0.054</v>
      </c>
      <c r="AE45" s="20"/>
    </row>
    <row r="46" ht="14.25" customHeight="1">
      <c r="A46" s="17" t="s">
        <v>202</v>
      </c>
      <c r="B46" s="17" t="s">
        <v>203</v>
      </c>
      <c r="C46" s="18">
        <v>1.0</v>
      </c>
      <c r="D46" s="17" t="s">
        <v>98</v>
      </c>
      <c r="E46" s="17" t="s">
        <v>138</v>
      </c>
      <c r="F46" s="18">
        <v>214.0</v>
      </c>
      <c r="G46" s="18">
        <v>172.0</v>
      </c>
      <c r="H46" s="18">
        <v>117.0</v>
      </c>
      <c r="I46" s="19">
        <v>0.68</v>
      </c>
      <c r="J46" s="18">
        <v>1793.0</v>
      </c>
      <c r="K46" s="18">
        <v>10.4</v>
      </c>
      <c r="L46" s="18">
        <v>20.0</v>
      </c>
      <c r="M46" s="18">
        <v>1.0</v>
      </c>
      <c r="N46" s="18">
        <v>11.0</v>
      </c>
      <c r="O46" s="18">
        <v>5.0</v>
      </c>
      <c r="P46" s="20">
        <f t="shared" si="1"/>
        <v>5.020502317</v>
      </c>
      <c r="Q46" s="20">
        <f t="shared" si="2"/>
        <v>2.779761904</v>
      </c>
      <c r="R46" s="24"/>
      <c r="S46" s="20">
        <v>5.020502316887634</v>
      </c>
      <c r="T46" s="22">
        <v>1.05</v>
      </c>
      <c r="U46" s="30"/>
      <c r="V46" s="30"/>
      <c r="W46" s="18">
        <v>0.9</v>
      </c>
      <c r="X46" s="22">
        <f t="shared" si="3"/>
        <v>0.9105753475</v>
      </c>
      <c r="Y46" s="20">
        <f t="shared" si="4"/>
        <v>47.95971127</v>
      </c>
      <c r="Z46" s="20">
        <f t="shared" si="5"/>
        <v>45.17994937</v>
      </c>
      <c r="AA46" s="20"/>
      <c r="AB46" s="20">
        <f>IFERROR(__xludf.DUMMYFUNCTION("iferror(PERCENTRANK.INC(FILTER($X$2:$X$423, $U$2:$U$423&lt;3.75), $X46), 1)"),0.907)</f>
        <v>0.907</v>
      </c>
      <c r="AC46" s="20">
        <f>IFERROR(__xludf.DUMMYFUNCTION("iferror(PERCENTRANK.INC(FILTER($X$2:$X$423, $U$2:$U$423&lt;4.25), $X46), 1)"),0.88)</f>
        <v>0.88</v>
      </c>
      <c r="AD46" s="20">
        <f>IFERROR(__xludf.DUMMYFUNCTION("iferror(PERCENTRANK.INC(FILTER($X$2:$X$423, $U$2:$U$423&gt;=4.1), $X46), 0.01)"),0.054)</f>
        <v>0.054</v>
      </c>
      <c r="AE46" s="20"/>
    </row>
    <row r="47" ht="14.25" customHeight="1">
      <c r="A47" s="17" t="s">
        <v>204</v>
      </c>
      <c r="B47" s="17" t="s">
        <v>205</v>
      </c>
      <c r="C47" s="18">
        <v>1.0</v>
      </c>
      <c r="D47" s="17" t="s">
        <v>98</v>
      </c>
      <c r="E47" s="17" t="s">
        <v>99</v>
      </c>
      <c r="F47" s="18">
        <v>475.0</v>
      </c>
      <c r="G47" s="18">
        <v>414.0</v>
      </c>
      <c r="H47" s="18">
        <v>250.0</v>
      </c>
      <c r="I47" s="19">
        <v>0.604</v>
      </c>
      <c r="J47" s="18">
        <v>2976.0</v>
      </c>
      <c r="K47" s="18">
        <v>7.2</v>
      </c>
      <c r="L47" s="18">
        <v>26.0</v>
      </c>
      <c r="M47" s="18">
        <v>8.0</v>
      </c>
      <c r="N47" s="18">
        <v>25.0</v>
      </c>
      <c r="O47" s="18">
        <v>9.0</v>
      </c>
      <c r="P47" s="20">
        <f t="shared" si="1"/>
        <v>4.843005117</v>
      </c>
      <c r="Q47" s="20">
        <f t="shared" si="2"/>
        <v>2.695592738</v>
      </c>
      <c r="R47" s="24"/>
      <c r="S47" s="20">
        <v>4.843005116704806</v>
      </c>
      <c r="T47" s="22">
        <v>6.77</v>
      </c>
      <c r="U47" s="30"/>
      <c r="V47" s="30"/>
      <c r="W47" s="18">
        <v>1.0</v>
      </c>
      <c r="X47" s="22">
        <f t="shared" si="3"/>
        <v>1.669305691</v>
      </c>
      <c r="Y47" s="20">
        <f t="shared" si="4"/>
        <v>57.34145987</v>
      </c>
      <c r="Z47" s="20">
        <f t="shared" si="5"/>
        <v>54.64586713</v>
      </c>
      <c r="AA47" s="20"/>
      <c r="AB47" s="20">
        <f>IFERROR(__xludf.DUMMYFUNCTION("iferror(PERCENTRANK.INC(FILTER($X$2:$X$423, $U$2:$U$423&lt;3.75), $X47), 1)"),0.974)</f>
        <v>0.974</v>
      </c>
      <c r="AC47" s="20">
        <f>IFERROR(__xludf.DUMMYFUNCTION("iferror(PERCENTRANK.INC(FILTER($X$2:$X$423, $U$2:$U$423&lt;4.25), $X47), 1)"),0.945)</f>
        <v>0.945</v>
      </c>
      <c r="AD47" s="20">
        <f>IFERROR(__xludf.DUMMYFUNCTION("iferror(PERCENTRANK.INC(FILTER($X$2:$X$423, $U$2:$U$423&gt;=4.1), $X47), 0.01)"),0.066)</f>
        <v>0.066</v>
      </c>
      <c r="AE47" s="20"/>
    </row>
    <row r="48" ht="14.25" customHeight="1">
      <c r="A48" s="17" t="s">
        <v>206</v>
      </c>
      <c r="B48" s="17" t="s">
        <v>207</v>
      </c>
      <c r="C48" s="18">
        <v>8.0</v>
      </c>
      <c r="D48" s="17" t="s">
        <v>98</v>
      </c>
      <c r="E48" s="17" t="s">
        <v>189</v>
      </c>
      <c r="F48" s="18">
        <v>419.0</v>
      </c>
      <c r="G48" s="18">
        <v>376.0</v>
      </c>
      <c r="H48" s="18">
        <v>253.0</v>
      </c>
      <c r="I48" s="19">
        <v>0.673</v>
      </c>
      <c r="J48" s="18">
        <v>3186.0</v>
      </c>
      <c r="K48" s="18">
        <v>8.5</v>
      </c>
      <c r="L48" s="18">
        <v>25.0</v>
      </c>
      <c r="M48" s="18">
        <v>8.0</v>
      </c>
      <c r="N48" s="18">
        <v>20.0</v>
      </c>
      <c r="O48" s="18">
        <v>10.0</v>
      </c>
      <c r="P48" s="20">
        <f t="shared" si="1"/>
        <v>5.074501707</v>
      </c>
      <c r="Q48" s="20">
        <f t="shared" si="2"/>
        <v>2.805368413</v>
      </c>
      <c r="R48" s="24"/>
      <c r="S48" s="20">
        <v>5.074501707357944</v>
      </c>
      <c r="T48" s="22">
        <v>0.91</v>
      </c>
      <c r="W48" s="25">
        <v>0.9</v>
      </c>
      <c r="X48" s="22">
        <f t="shared" si="3"/>
        <v>0.8596164933</v>
      </c>
      <c r="Y48" s="20">
        <f t="shared" si="4"/>
        <v>47.32960182</v>
      </c>
      <c r="Z48" s="20">
        <f t="shared" si="5"/>
        <v>44.52423341</v>
      </c>
      <c r="AA48" s="20"/>
      <c r="AB48" s="20">
        <f>IFERROR(__xludf.DUMMYFUNCTION("iferror(PERCENTRANK.INC(FILTER($X$2:$X$423, $U$2:$U$423&lt;3.75), $X48), 1)"),0.861)</f>
        <v>0.861</v>
      </c>
      <c r="AC48" s="20">
        <f>IFERROR(__xludf.DUMMYFUNCTION("iferror(PERCENTRANK.INC(FILTER($X$2:$X$423, $U$2:$U$423&lt;4.25), $X48), 1)"),0.835)</f>
        <v>0.835</v>
      </c>
      <c r="AD48" s="20">
        <f>IFERROR(__xludf.DUMMYFUNCTION("iferror(PERCENTRANK.INC(FILTER($X$2:$X$423, $U$2:$U$423&gt;=4.1), $X48), 0.01)"),0.053)</f>
        <v>0.053</v>
      </c>
      <c r="AE48" s="20"/>
    </row>
    <row r="49" ht="14.25" customHeight="1">
      <c r="A49" s="17" t="s">
        <v>208</v>
      </c>
      <c r="B49" s="17" t="s">
        <v>209</v>
      </c>
      <c r="C49" s="18">
        <v>12.0</v>
      </c>
      <c r="D49" s="17" t="s">
        <v>98</v>
      </c>
      <c r="E49" s="17" t="s">
        <v>210</v>
      </c>
      <c r="F49" s="18">
        <v>522.0</v>
      </c>
      <c r="G49" s="18">
        <v>484.0</v>
      </c>
      <c r="H49" s="18">
        <v>275.0</v>
      </c>
      <c r="I49" s="19">
        <v>0.568</v>
      </c>
      <c r="J49" s="18">
        <v>3169.0</v>
      </c>
      <c r="K49" s="18">
        <v>6.5</v>
      </c>
      <c r="L49" s="18">
        <v>25.0</v>
      </c>
      <c r="M49" s="18">
        <v>8.0</v>
      </c>
      <c r="N49" s="18">
        <v>16.0</v>
      </c>
      <c r="O49" s="18">
        <v>15.0</v>
      </c>
      <c r="P49" s="20">
        <f t="shared" si="1"/>
        <v>4.793731271</v>
      </c>
      <c r="Q49" s="20">
        <f t="shared" si="2"/>
        <v>2.672227082</v>
      </c>
      <c r="R49" s="24"/>
      <c r="S49" s="20">
        <v>4.79373127057408</v>
      </c>
      <c r="T49" s="22">
        <v>1.37</v>
      </c>
      <c r="U49" s="30"/>
      <c r="V49" s="30"/>
      <c r="W49" s="18">
        <v>0.9</v>
      </c>
      <c r="X49" s="22">
        <f t="shared" si="3"/>
        <v>0.9245596906</v>
      </c>
      <c r="Y49" s="20">
        <f t="shared" si="4"/>
        <v>48.13262855</v>
      </c>
      <c r="Z49" s="20">
        <f t="shared" si="5"/>
        <v>45.46040147</v>
      </c>
      <c r="AA49" s="20"/>
      <c r="AB49" s="20">
        <f>IFERROR(__xludf.DUMMYFUNCTION("iferror(PERCENTRANK.INC(FILTER($X$2:$X$423, $U$2:$U$423&lt;3.75), $X49), 1)"),0.912)</f>
        <v>0.912</v>
      </c>
      <c r="AC49" s="20">
        <f>IFERROR(__xludf.DUMMYFUNCTION("iferror(PERCENTRANK.INC(FILTER($X$2:$X$423, $U$2:$U$423&lt;4.25), $X49), 1)"),0.885)</f>
        <v>0.885</v>
      </c>
      <c r="AD49" s="20">
        <f>IFERROR(__xludf.DUMMYFUNCTION("iferror(PERCENTRANK.INC(FILTER($X$2:$X$423, $U$2:$U$423&gt;=4.1), $X49), 0.01)"),0.054)</f>
        <v>0.054</v>
      </c>
      <c r="AE49" s="20"/>
    </row>
    <row r="50" ht="14.25" customHeight="1">
      <c r="A50" s="17" t="s">
        <v>211</v>
      </c>
      <c r="B50" s="17" t="s">
        <v>212</v>
      </c>
      <c r="C50" s="18">
        <v>16.0</v>
      </c>
      <c r="D50" s="17" t="s">
        <v>98</v>
      </c>
      <c r="E50" s="17" t="s">
        <v>182</v>
      </c>
      <c r="F50" s="18">
        <v>443.0</v>
      </c>
      <c r="G50" s="18">
        <v>393.0</v>
      </c>
      <c r="H50" s="18">
        <v>235.0</v>
      </c>
      <c r="I50" s="19">
        <v>0.598</v>
      </c>
      <c r="J50" s="18">
        <v>3020.0</v>
      </c>
      <c r="K50" s="18">
        <v>7.7</v>
      </c>
      <c r="L50" s="18">
        <v>24.0</v>
      </c>
      <c r="M50" s="18">
        <v>7.0</v>
      </c>
      <c r="N50" s="18">
        <v>23.0</v>
      </c>
      <c r="O50" s="18">
        <v>14.0</v>
      </c>
      <c r="P50" s="20">
        <f t="shared" si="1"/>
        <v>4.897768536</v>
      </c>
      <c r="Q50" s="20">
        <f t="shared" si="2"/>
        <v>2.72156155</v>
      </c>
      <c r="R50" s="24"/>
      <c r="S50" s="20">
        <v>4.897768536372983</v>
      </c>
      <c r="T50" s="22">
        <v>-1.47</v>
      </c>
      <c r="U50" s="30"/>
      <c r="V50" s="30"/>
      <c r="W50" s="18">
        <v>1.0</v>
      </c>
      <c r="X50" s="22">
        <f t="shared" si="3"/>
        <v>0.5141652805</v>
      </c>
      <c r="Y50" s="20">
        <f t="shared" si="4"/>
        <v>43.05807576</v>
      </c>
      <c r="Z50" s="20">
        <f t="shared" si="5"/>
        <v>40.33651421</v>
      </c>
      <c r="AA50" s="20"/>
      <c r="AB50" s="20">
        <f>IFERROR(__xludf.DUMMYFUNCTION("iferror(PERCENTRANK.INC(FILTER($X$2:$X$423, $U$2:$U$423&lt;3.75), $X50), 1)"),0.662)</f>
        <v>0.662</v>
      </c>
      <c r="AC50" s="20">
        <f>IFERROR(__xludf.DUMMYFUNCTION("iferror(PERCENTRANK.INC(FILTER($X$2:$X$423, $U$2:$U$423&lt;4.25), $X50), 1)"),0.643)</f>
        <v>0.643</v>
      </c>
      <c r="AD50" s="20">
        <f>IFERROR(__xludf.DUMMYFUNCTION("iferror(PERCENTRANK.INC(FILTER($X$2:$X$423, $U$2:$U$423&gt;=4.1), $X50), 0.01)"),0.048)</f>
        <v>0.048</v>
      </c>
      <c r="AE50" s="20"/>
    </row>
    <row r="51" ht="14.25" customHeight="1">
      <c r="A51" s="17" t="s">
        <v>213</v>
      </c>
      <c r="B51" s="17" t="s">
        <v>214</v>
      </c>
      <c r="C51" s="18">
        <v>2.0</v>
      </c>
      <c r="D51" s="17" t="s">
        <v>98</v>
      </c>
      <c r="E51" s="17" t="s">
        <v>99</v>
      </c>
      <c r="F51" s="18">
        <v>305.0</v>
      </c>
      <c r="G51" s="18">
        <v>280.0</v>
      </c>
      <c r="H51" s="18">
        <v>186.0</v>
      </c>
      <c r="I51" s="19">
        <v>0.664</v>
      </c>
      <c r="J51" s="18">
        <v>2486.0</v>
      </c>
      <c r="K51" s="18">
        <v>8.9</v>
      </c>
      <c r="L51" s="18">
        <v>20.0</v>
      </c>
      <c r="M51" s="18">
        <v>4.0</v>
      </c>
      <c r="N51" s="18">
        <v>16.0</v>
      </c>
      <c r="O51" s="18">
        <v>10.0</v>
      </c>
      <c r="P51" s="20">
        <f t="shared" si="1"/>
        <v>4.758417555</v>
      </c>
      <c r="Q51" s="20">
        <f t="shared" si="2"/>
        <v>2.655481319</v>
      </c>
      <c r="R51" s="24"/>
      <c r="S51" s="20">
        <v>4.758417555035129</v>
      </c>
      <c r="T51" s="22">
        <v>1.78</v>
      </c>
      <c r="U51" s="30"/>
      <c r="V51" s="30"/>
      <c r="W51" s="18">
        <v>1.0</v>
      </c>
      <c r="X51" s="22">
        <f t="shared" si="3"/>
        <v>0.9093863699</v>
      </c>
      <c r="Y51" s="20">
        <f t="shared" si="4"/>
        <v>47.94500949</v>
      </c>
      <c r="Z51" s="20">
        <f t="shared" si="5"/>
        <v>45.28952817</v>
      </c>
      <c r="AA51" s="20"/>
      <c r="AB51" s="20">
        <f>IFERROR(__xludf.DUMMYFUNCTION("iferror(PERCENTRANK.INC(FILTER($X$2:$X$423, $U$2:$U$423&lt;3.75), $X51), 1)"),0.905)</f>
        <v>0.905</v>
      </c>
      <c r="AC51" s="20">
        <f>IFERROR(__xludf.DUMMYFUNCTION("iferror(PERCENTRANK.INC(FILTER($X$2:$X$423, $U$2:$U$423&lt;4.25), $X51), 1)"),0.878)</f>
        <v>0.878</v>
      </c>
      <c r="AD51" s="20">
        <f>IFERROR(__xludf.DUMMYFUNCTION("iferror(PERCENTRANK.INC(FILTER($X$2:$X$423, $U$2:$U$423&gt;=4.1), $X51), 0.01)"),0.054)</f>
        <v>0.054</v>
      </c>
      <c r="AE51" s="20"/>
    </row>
    <row r="52" ht="14.25" customHeight="1">
      <c r="A52" s="17" t="s">
        <v>215</v>
      </c>
      <c r="B52" s="17" t="s">
        <v>216</v>
      </c>
      <c r="C52" s="18">
        <v>9.0</v>
      </c>
      <c r="D52" s="17" t="s">
        <v>98</v>
      </c>
      <c r="E52" s="17" t="s">
        <v>172</v>
      </c>
      <c r="F52" s="18">
        <v>289.0</v>
      </c>
      <c r="G52" s="18">
        <v>219.0</v>
      </c>
      <c r="H52" s="18">
        <v>159.0</v>
      </c>
      <c r="I52" s="19">
        <v>0.726</v>
      </c>
      <c r="J52" s="18">
        <v>2639.0</v>
      </c>
      <c r="K52" s="18">
        <v>12.1</v>
      </c>
      <c r="L52" s="18">
        <v>15.0</v>
      </c>
      <c r="M52" s="18">
        <v>4.0</v>
      </c>
      <c r="N52" s="18">
        <v>16.0</v>
      </c>
      <c r="O52" s="18">
        <v>4.0</v>
      </c>
      <c r="P52" s="20">
        <f t="shared" si="1"/>
        <v>4.740306806</v>
      </c>
      <c r="Q52" s="20">
        <f t="shared" si="2"/>
        <v>2.646893203</v>
      </c>
      <c r="R52" s="24"/>
      <c r="S52" s="20">
        <v>4.740306806054573</v>
      </c>
      <c r="T52" s="22">
        <v>1.14</v>
      </c>
      <c r="U52" s="30"/>
      <c r="V52" s="30"/>
      <c r="W52" s="18">
        <v>0.9</v>
      </c>
      <c r="X52" s="22">
        <f t="shared" si="3"/>
        <v>0.8820460209</v>
      </c>
      <c r="Y52" s="20">
        <f t="shared" si="4"/>
        <v>47.60694434</v>
      </c>
      <c r="Z52" s="20">
        <f t="shared" si="5"/>
        <v>44.96005114</v>
      </c>
      <c r="AA52" s="20"/>
      <c r="AB52" s="20">
        <f>IFERROR(__xludf.DUMMYFUNCTION("iferror(PERCENTRANK.INC(FILTER($X$2:$X$423, $U$2:$U$423&lt;3.75), $X52), 1)"),0.884)</f>
        <v>0.884</v>
      </c>
      <c r="AC52" s="20">
        <f>IFERROR(__xludf.DUMMYFUNCTION("iferror(PERCENTRANK.INC(FILTER($X$2:$X$423, $U$2:$U$423&lt;4.25), $X52), 1)"),0.858)</f>
        <v>0.858</v>
      </c>
      <c r="AD52" s="20">
        <f>IFERROR(__xludf.DUMMYFUNCTION("iferror(PERCENTRANK.INC(FILTER($X$2:$X$423, $U$2:$U$423&gt;=4.1), $X52), 0.01)"),0.054)</f>
        <v>0.054</v>
      </c>
      <c r="AE52" s="20"/>
    </row>
    <row r="53" ht="14.25" customHeight="1">
      <c r="A53" s="17" t="s">
        <v>217</v>
      </c>
      <c r="B53" s="17" t="s">
        <v>157</v>
      </c>
      <c r="C53" s="18">
        <v>2.0</v>
      </c>
      <c r="D53" s="17" t="s">
        <v>98</v>
      </c>
      <c r="E53" s="17" t="s">
        <v>158</v>
      </c>
      <c r="F53" s="18">
        <v>445.0</v>
      </c>
      <c r="G53" s="18">
        <v>410.0</v>
      </c>
      <c r="H53" s="18">
        <v>270.0</v>
      </c>
      <c r="I53" s="19">
        <v>0.658</v>
      </c>
      <c r="J53" s="18">
        <v>2801.0</v>
      </c>
      <c r="K53" s="18">
        <v>6.8</v>
      </c>
      <c r="L53" s="18">
        <v>27.0</v>
      </c>
      <c r="M53" s="18">
        <v>7.0</v>
      </c>
      <c r="N53" s="18">
        <v>18.0</v>
      </c>
      <c r="O53" s="18">
        <v>15.0</v>
      </c>
      <c r="P53" s="20">
        <f t="shared" si="1"/>
        <v>4.967688269</v>
      </c>
      <c r="Q53" s="20">
        <f t="shared" si="2"/>
        <v>2.754717484</v>
      </c>
      <c r="R53" s="24"/>
      <c r="S53" s="20">
        <v>4.967688269114825</v>
      </c>
      <c r="T53" s="22">
        <v>-7.25</v>
      </c>
      <c r="U53" s="30"/>
      <c r="V53" s="30"/>
      <c r="W53" s="18">
        <v>0.95</v>
      </c>
      <c r="X53" s="22">
        <f t="shared" si="3"/>
        <v>-0.4168620837</v>
      </c>
      <c r="Y53" s="20">
        <f t="shared" si="4"/>
        <v>31.54586362</v>
      </c>
      <c r="Z53" s="20">
        <f t="shared" si="5"/>
        <v>28.79114613</v>
      </c>
      <c r="AA53" s="20"/>
      <c r="AB53" s="20">
        <f>IFERROR(__xludf.DUMMYFUNCTION("iferror(PERCENTRANK.INC(FILTER($X$2:$X$423, $U$2:$U$423&lt;3.75), $X53), 1)"),0.064)</f>
        <v>0.064</v>
      </c>
      <c r="AC53" s="20">
        <f>IFERROR(__xludf.DUMMYFUNCTION("iferror(PERCENTRANK.INC(FILTER($X$2:$X$423, $U$2:$U$423&lt;4.25), $X53), 1)"),0.063)</f>
        <v>0.063</v>
      </c>
      <c r="AD53" s="20">
        <f>IFERROR(__xludf.DUMMYFUNCTION("iferror(PERCENTRANK.INC(FILTER($X$2:$X$423, $U$2:$U$423&gt;=4.1), $X53), 0.01)"),0.01)</f>
        <v>0.01</v>
      </c>
      <c r="AE53" s="20"/>
    </row>
    <row r="54" ht="14.25" customHeight="1">
      <c r="A54" s="17" t="s">
        <v>218</v>
      </c>
      <c r="B54" s="17" t="s">
        <v>219</v>
      </c>
      <c r="C54" s="18">
        <v>13.0</v>
      </c>
      <c r="D54" s="17" t="s">
        <v>98</v>
      </c>
      <c r="E54" s="17" t="s">
        <v>220</v>
      </c>
      <c r="F54" s="18">
        <v>340.0</v>
      </c>
      <c r="G54" s="32">
        <v>293.0</v>
      </c>
      <c r="H54" s="32">
        <v>195.0</v>
      </c>
      <c r="I54" s="33">
        <v>0.666</v>
      </c>
      <c r="J54" s="32">
        <v>2741.0</v>
      </c>
      <c r="K54" s="32">
        <v>9.4</v>
      </c>
      <c r="L54" s="18">
        <v>24.0</v>
      </c>
      <c r="M54" s="18">
        <v>7.0</v>
      </c>
      <c r="N54" s="18">
        <v>8.0</v>
      </c>
      <c r="O54" s="18">
        <v>11.0</v>
      </c>
      <c r="P54" s="20">
        <f t="shared" si="1"/>
        <v>4.939898459</v>
      </c>
      <c r="Q54" s="20">
        <f t="shared" si="2"/>
        <v>2.741539557</v>
      </c>
      <c r="R54" s="24"/>
      <c r="S54" s="20">
        <v>4.939898458542461</v>
      </c>
      <c r="T54" s="22">
        <v>0.87</v>
      </c>
      <c r="W54" s="25">
        <v>1.0</v>
      </c>
      <c r="X54" s="22">
        <f t="shared" si="3"/>
        <v>0.7973862919</v>
      </c>
      <c r="Y54" s="20">
        <f t="shared" si="4"/>
        <v>46.56012145</v>
      </c>
      <c r="Z54" s="20">
        <f>Y54-P54</f>
        <v>41.62022299</v>
      </c>
      <c r="AA54" s="20"/>
      <c r="AB54" s="20">
        <f>IFERROR(__xludf.DUMMYFUNCTION("iferror(PERCENTRANK.INC(FILTER($X$2:$X$423, $U$2:$U$423&lt;3.75), $X54), 1)"),0.827)</f>
        <v>0.827</v>
      </c>
      <c r="AC54" s="20">
        <f>IFERROR(__xludf.DUMMYFUNCTION("iferror(PERCENTRANK.INC(FILTER($X$2:$X$423, $U$2:$U$423&lt;4.25), $X54), 1)"),0.803)</f>
        <v>0.803</v>
      </c>
      <c r="AD54" s="20">
        <f>IFERROR(__xludf.DUMMYFUNCTION("iferror(PERCENTRANK.INC(FILTER($X$2:$X$423, $U$2:$U$423&gt;=4.1), $X54), 0.01)"),0.052)</f>
        <v>0.052</v>
      </c>
      <c r="AE54" s="20"/>
    </row>
    <row r="55" ht="14.25" customHeight="1">
      <c r="A55" s="17" t="s">
        <v>221</v>
      </c>
      <c r="B55" s="17" t="s">
        <v>222</v>
      </c>
      <c r="C55" s="18">
        <v>10.0</v>
      </c>
      <c r="D55" s="17" t="s">
        <v>98</v>
      </c>
      <c r="E55" s="17" t="s">
        <v>99</v>
      </c>
      <c r="F55" s="18">
        <v>480.0</v>
      </c>
      <c r="G55" s="18">
        <v>436.0</v>
      </c>
      <c r="H55" s="18">
        <v>278.0</v>
      </c>
      <c r="I55" s="19">
        <v>0.638</v>
      </c>
      <c r="J55" s="18">
        <v>3549.0</v>
      </c>
      <c r="K55" s="18">
        <v>8.1</v>
      </c>
      <c r="L55" s="18">
        <v>28.0</v>
      </c>
      <c r="M55" s="18">
        <v>13.0</v>
      </c>
      <c r="N55" s="18">
        <v>19.0</v>
      </c>
      <c r="O55" s="18">
        <v>22.0</v>
      </c>
      <c r="P55" s="20">
        <f t="shared" si="1"/>
        <v>4.657715694</v>
      </c>
      <c r="Q55" s="20">
        <f t="shared" si="2"/>
        <v>2.607728501</v>
      </c>
      <c r="R55" s="29"/>
      <c r="S55" s="20">
        <v>4.657715694189602</v>
      </c>
      <c r="T55" s="22">
        <v>1.41</v>
      </c>
      <c r="U55" s="23">
        <v>4.99</v>
      </c>
      <c r="V55" s="23">
        <v>4.02</v>
      </c>
      <c r="W55" s="18">
        <v>1.0</v>
      </c>
      <c r="X55" s="22">
        <f>IFERROR((#REF!*0.7+T55*0.15+S55*0.15*W60),0)</f>
        <v>0</v>
      </c>
      <c r="Y55" s="20">
        <f t="shared" si="4"/>
        <v>36.7003896</v>
      </c>
      <c r="Z55" s="20">
        <f t="shared" ref="Z55:Z423" si="6">Y55-Q55</f>
        <v>34.0926611</v>
      </c>
      <c r="AA55" s="20"/>
      <c r="AB55" s="20">
        <f>IFERROR(__xludf.DUMMYFUNCTION("iferror(PERCENTRANK.INC(FILTER($X$2:$X$423, $U$2:$U$423&lt;3.75), $X55), 1)"),0.26)</f>
        <v>0.26</v>
      </c>
      <c r="AC55" s="20">
        <f>IFERROR(__xludf.DUMMYFUNCTION("iferror(PERCENTRANK.INC(FILTER($X$2:$X$423, $U$2:$U$423&lt;4.25), $X55), 1)"),0.253)</f>
        <v>0.253</v>
      </c>
      <c r="AD55" s="20">
        <f>IFERROR(__xludf.DUMMYFUNCTION("iferror(PERCENTRANK.INC(FILTER($X$2:$X$423, $U$2:$U$423&gt;=4.1), $X55), 0.01)"),0.0)</f>
        <v>0</v>
      </c>
      <c r="AE55" s="20"/>
    </row>
    <row r="56" ht="14.25" customHeight="1">
      <c r="A56" s="17" t="s">
        <v>223</v>
      </c>
      <c r="B56" s="17" t="s">
        <v>224</v>
      </c>
      <c r="C56" s="18">
        <v>7.0</v>
      </c>
      <c r="D56" s="17" t="s">
        <v>98</v>
      </c>
      <c r="E56" s="17" t="s">
        <v>179</v>
      </c>
      <c r="F56" s="18">
        <v>455.0</v>
      </c>
      <c r="G56" s="18">
        <v>387.0</v>
      </c>
      <c r="H56" s="18">
        <v>250.0</v>
      </c>
      <c r="I56" s="19">
        <v>0.646</v>
      </c>
      <c r="J56" s="18">
        <v>3559.0</v>
      </c>
      <c r="K56" s="18">
        <v>9.2</v>
      </c>
      <c r="L56" s="18">
        <v>22.0</v>
      </c>
      <c r="M56" s="18">
        <v>9.0</v>
      </c>
      <c r="N56" s="18">
        <v>33.0</v>
      </c>
      <c r="O56" s="18">
        <v>13.0</v>
      </c>
      <c r="P56" s="20">
        <f t="shared" si="1"/>
        <v>4.880321142</v>
      </c>
      <c r="Q56" s="20">
        <f t="shared" si="2"/>
        <v>2.713287996</v>
      </c>
      <c r="R56" s="24"/>
      <c r="S56" s="20">
        <v>4.880321142459608</v>
      </c>
      <c r="T56" s="22">
        <v>1.21</v>
      </c>
      <c r="W56" s="18">
        <v>0.9</v>
      </c>
      <c r="X56" s="22">
        <f>IFERROR((U55*0.7+T56*0.15+S56*0.15*W61),0)</f>
        <v>4.406548171</v>
      </c>
      <c r="Y56" s="20">
        <f t="shared" si="4"/>
        <v>91.18763597</v>
      </c>
      <c r="Z56" s="20">
        <f t="shared" si="6"/>
        <v>88.47434798</v>
      </c>
      <c r="AA56" s="20"/>
      <c r="AB56" s="20">
        <f>IFERROR(__xludf.DUMMYFUNCTION("iferror(PERCENTRANK.INC(FILTER($X$2:$X$423, $U$2:$U$423&lt;3.75), $X56), 1)"),1.0)</f>
        <v>1</v>
      </c>
      <c r="AC56" s="20">
        <f>IFERROR(__xludf.DUMMYFUNCTION("iferror(PERCENTRANK.INC(FILTER($X$2:$X$423, $U$2:$U$423&lt;4.25), $X56), 1)"),1.0)</f>
        <v>1</v>
      </c>
      <c r="AD56" s="20">
        <f>IFERROR(__xludf.DUMMYFUNCTION("iferror(PERCENTRANK.INC(FILTER($X$2:$X$423, $U$2:$U$423&gt;=4.1), $X56), 0.01)"),0.826)</f>
        <v>0.826</v>
      </c>
      <c r="AE56" s="20"/>
    </row>
    <row r="57" ht="14.25" customHeight="1">
      <c r="A57" s="17" t="s">
        <v>225</v>
      </c>
      <c r="B57" s="17" t="s">
        <v>226</v>
      </c>
      <c r="C57" s="18">
        <v>5.0</v>
      </c>
      <c r="D57" s="17" t="s">
        <v>98</v>
      </c>
      <c r="E57" s="17" t="s">
        <v>108</v>
      </c>
      <c r="F57" s="18">
        <v>362.0</v>
      </c>
      <c r="G57" s="18">
        <v>329.0</v>
      </c>
      <c r="H57" s="18">
        <v>234.0</v>
      </c>
      <c r="I57" s="19">
        <v>0.711</v>
      </c>
      <c r="J57" s="18">
        <v>2780.0</v>
      </c>
      <c r="K57" s="18">
        <v>8.4</v>
      </c>
      <c r="L57" s="18">
        <v>24.0</v>
      </c>
      <c r="M57" s="18">
        <v>7.0</v>
      </c>
      <c r="N57" s="18">
        <v>13.0</v>
      </c>
      <c r="O57" s="18">
        <v>8.0</v>
      </c>
      <c r="P57" s="20">
        <f t="shared" si="1"/>
        <v>4.82961251</v>
      </c>
      <c r="Q57" s="20">
        <f t="shared" si="2"/>
        <v>2.689241965</v>
      </c>
      <c r="R57" s="24"/>
      <c r="S57" s="20">
        <v>4.829612510252061</v>
      </c>
      <c r="T57" s="22">
        <v>1.25</v>
      </c>
      <c r="U57" s="30"/>
      <c r="V57" s="30"/>
      <c r="W57" s="18">
        <v>1.0</v>
      </c>
      <c r="X57" s="22">
        <f t="shared" ref="X57:X74" si="7">IFERROR((U57*0.7+T57*0.15+S57*0.15*W62),0)</f>
        <v>0.8757197827</v>
      </c>
      <c r="Y57" s="20">
        <f t="shared" si="4"/>
        <v>47.52872001</v>
      </c>
      <c r="Z57" s="20">
        <f t="shared" si="6"/>
        <v>44.83947805</v>
      </c>
      <c r="AA57" s="20"/>
      <c r="AB57" s="20">
        <f>IFERROR(__xludf.DUMMYFUNCTION("iferror(PERCENTRANK.INC(FILTER($X$2:$X$423, $U$2:$U$423&lt;3.75), $X57), 1)"),0.879)</f>
        <v>0.879</v>
      </c>
      <c r="AC57" s="20">
        <f>IFERROR(__xludf.DUMMYFUNCTION("iferror(PERCENTRANK.INC(FILTER($X$2:$X$423, $U$2:$U$423&lt;4.25), $X57), 1)"),0.853)</f>
        <v>0.853</v>
      </c>
      <c r="AD57" s="20">
        <f>IFERROR(__xludf.DUMMYFUNCTION("iferror(PERCENTRANK.INC(FILTER($X$2:$X$423, $U$2:$U$423&gt;=4.1), $X57), 0.01)"),0.054)</f>
        <v>0.054</v>
      </c>
      <c r="AE57" s="20"/>
    </row>
    <row r="58" ht="14.25" customHeight="1">
      <c r="A58" s="17" t="s">
        <v>227</v>
      </c>
      <c r="B58" s="17" t="s">
        <v>228</v>
      </c>
      <c r="C58" s="18">
        <v>8.0</v>
      </c>
      <c r="D58" s="17" t="s">
        <v>98</v>
      </c>
      <c r="E58" s="17" t="s">
        <v>189</v>
      </c>
      <c r="F58" s="18">
        <v>358.0</v>
      </c>
      <c r="G58" s="18">
        <v>277.0</v>
      </c>
      <c r="H58" s="18">
        <v>196.0</v>
      </c>
      <c r="I58" s="19">
        <v>0.708</v>
      </c>
      <c r="J58" s="18">
        <v>2363.0</v>
      </c>
      <c r="K58" s="18">
        <v>8.5</v>
      </c>
      <c r="L58" s="18">
        <v>20.0</v>
      </c>
      <c r="M58" s="18">
        <v>3.0</v>
      </c>
      <c r="N58" s="18">
        <v>25.0</v>
      </c>
      <c r="O58" s="18">
        <v>3.0</v>
      </c>
      <c r="P58" s="20">
        <f t="shared" si="1"/>
        <v>4.806859338</v>
      </c>
      <c r="Q58" s="20">
        <f t="shared" si="2"/>
        <v>2.678452411</v>
      </c>
      <c r="R58" s="24"/>
      <c r="S58" s="20">
        <v>4.806859337837564</v>
      </c>
      <c r="T58" s="22">
        <v>1.33</v>
      </c>
      <c r="U58" s="30"/>
      <c r="V58" s="30"/>
      <c r="W58" s="18">
        <v>0.9</v>
      </c>
      <c r="X58" s="22">
        <f t="shared" si="7"/>
        <v>0.8844774556</v>
      </c>
      <c r="Y58" s="20">
        <f t="shared" si="4"/>
        <v>47.63700919</v>
      </c>
      <c r="Z58" s="20">
        <f t="shared" si="6"/>
        <v>44.95855678</v>
      </c>
      <c r="AA58" s="20"/>
      <c r="AB58" s="20">
        <f>IFERROR(__xludf.DUMMYFUNCTION("iferror(PERCENTRANK.INC(FILTER($X$2:$X$423, $U$2:$U$423&lt;3.75), $X58), 1)"),0.887)</f>
        <v>0.887</v>
      </c>
      <c r="AC58" s="20">
        <f>IFERROR(__xludf.DUMMYFUNCTION("iferror(PERCENTRANK.INC(FILTER($X$2:$X$423, $U$2:$U$423&lt;4.25), $X58), 1)"),0.86)</f>
        <v>0.86</v>
      </c>
      <c r="AD58" s="20">
        <f>IFERROR(__xludf.DUMMYFUNCTION("iferror(PERCENTRANK.INC(FILTER($X$2:$X$423, $U$2:$U$423&gt;=4.1), $X58), 0.01)"),0.054)</f>
        <v>0.054</v>
      </c>
      <c r="AE58" s="20"/>
    </row>
    <row r="59" ht="14.25" customHeight="1">
      <c r="A59" s="17" t="s">
        <v>229</v>
      </c>
      <c r="B59" s="17" t="s">
        <v>230</v>
      </c>
      <c r="C59" s="18">
        <v>1.0</v>
      </c>
      <c r="D59" s="17" t="s">
        <v>98</v>
      </c>
      <c r="E59" s="17" t="s">
        <v>172</v>
      </c>
      <c r="F59" s="18">
        <v>416.0</v>
      </c>
      <c r="G59" s="18">
        <v>379.0</v>
      </c>
      <c r="H59" s="18">
        <v>227.0</v>
      </c>
      <c r="I59" s="19">
        <v>0.599</v>
      </c>
      <c r="J59" s="18">
        <v>2886.0</v>
      </c>
      <c r="K59" s="18">
        <v>7.6</v>
      </c>
      <c r="L59" s="18">
        <v>22.0</v>
      </c>
      <c r="M59" s="18">
        <v>6.0</v>
      </c>
      <c r="N59" s="18">
        <v>13.0</v>
      </c>
      <c r="O59" s="18">
        <v>12.0</v>
      </c>
      <c r="P59" s="20">
        <f t="shared" si="1"/>
        <v>4.760413185</v>
      </c>
      <c r="Q59" s="20">
        <f t="shared" si="2"/>
        <v>2.656427647</v>
      </c>
      <c r="R59" s="29"/>
      <c r="S59" s="20">
        <v>4.76041318469657</v>
      </c>
      <c r="T59" s="22">
        <v>1.11</v>
      </c>
      <c r="U59" s="31"/>
      <c r="V59" s="30"/>
      <c r="W59" s="18">
        <v>0.9</v>
      </c>
      <c r="X59" s="22">
        <f t="shared" si="7"/>
        <v>0.8805619777</v>
      </c>
      <c r="Y59" s="20">
        <f t="shared" si="4"/>
        <v>47.58859406</v>
      </c>
      <c r="Z59" s="20">
        <f t="shared" si="6"/>
        <v>44.93216641</v>
      </c>
      <c r="AA59" s="20"/>
      <c r="AB59" s="20">
        <f>IFERROR(__xludf.DUMMYFUNCTION("iferror(PERCENTRANK.INC(FILTER($X$2:$X$423, $U$2:$U$423&lt;3.75), $X59), 1)"),0.881)</f>
        <v>0.881</v>
      </c>
      <c r="AC59" s="20">
        <f>IFERROR(__xludf.DUMMYFUNCTION("iferror(PERCENTRANK.INC(FILTER($X$2:$X$423, $U$2:$U$423&lt;4.25), $X59), 1)"),0.855)</f>
        <v>0.855</v>
      </c>
      <c r="AD59" s="20">
        <f>IFERROR(__xludf.DUMMYFUNCTION("iferror(PERCENTRANK.INC(FILTER($X$2:$X$423, $U$2:$U$423&gt;=4.1), $X59), 0.01)"),0.054)</f>
        <v>0.054</v>
      </c>
      <c r="AE59" s="20"/>
    </row>
    <row r="60" ht="14.25" customHeight="1">
      <c r="A60" s="17" t="s">
        <v>231</v>
      </c>
      <c r="B60" s="17" t="s">
        <v>232</v>
      </c>
      <c r="C60" s="18">
        <v>4.0</v>
      </c>
      <c r="D60" s="17" t="s">
        <v>98</v>
      </c>
      <c r="E60" s="17" t="s">
        <v>144</v>
      </c>
      <c r="F60" s="18">
        <v>570.0</v>
      </c>
      <c r="G60" s="18">
        <v>520.0</v>
      </c>
      <c r="H60" s="18">
        <v>314.0</v>
      </c>
      <c r="I60" s="19">
        <v>0.604</v>
      </c>
      <c r="J60" s="18">
        <v>3680.0</v>
      </c>
      <c r="K60" s="18">
        <v>7.1</v>
      </c>
      <c r="L60" s="18">
        <v>22.0</v>
      </c>
      <c r="M60" s="18">
        <v>9.0</v>
      </c>
      <c r="N60" s="18">
        <v>26.0</v>
      </c>
      <c r="O60" s="18">
        <v>18.0</v>
      </c>
      <c r="P60" s="20">
        <f t="shared" si="1"/>
        <v>4.708921657</v>
      </c>
      <c r="Q60" s="20">
        <f t="shared" si="2"/>
        <v>2.632010367</v>
      </c>
      <c r="R60" s="24"/>
      <c r="S60" s="20">
        <v>4.708921657219973</v>
      </c>
      <c r="T60" s="22">
        <v>1.26</v>
      </c>
      <c r="U60" s="30"/>
      <c r="V60" s="30"/>
      <c r="W60" s="18">
        <v>0.95</v>
      </c>
      <c r="X60" s="22">
        <f t="shared" si="7"/>
        <v>0.8247044237</v>
      </c>
      <c r="Y60" s="20">
        <f t="shared" si="4"/>
        <v>46.89791188</v>
      </c>
      <c r="Z60" s="20">
        <f t="shared" si="6"/>
        <v>44.26590151</v>
      </c>
      <c r="AA60" s="20"/>
      <c r="AB60" s="20">
        <f>IFERROR(__xludf.DUMMYFUNCTION("iferror(PERCENTRANK.INC(FILTER($X$2:$X$423, $U$2:$U$423&lt;3.75), $X60), 1)"),0.84)</f>
        <v>0.84</v>
      </c>
      <c r="AC60" s="20">
        <f>IFERROR(__xludf.DUMMYFUNCTION("iferror(PERCENTRANK.INC(FILTER($X$2:$X$423, $U$2:$U$423&lt;4.25), $X60), 1)"),0.815)</f>
        <v>0.815</v>
      </c>
      <c r="AD60" s="20">
        <f>IFERROR(__xludf.DUMMYFUNCTION("iferror(PERCENTRANK.INC(FILTER($X$2:$X$423, $U$2:$U$423&gt;=4.1), $X60), 0.01)"),0.053)</f>
        <v>0.053</v>
      </c>
      <c r="AE60" s="20"/>
    </row>
    <row r="61" ht="14.25" customHeight="1">
      <c r="A61" s="17" t="s">
        <v>233</v>
      </c>
      <c r="B61" s="17" t="s">
        <v>234</v>
      </c>
      <c r="C61" s="18">
        <v>6.0</v>
      </c>
      <c r="D61" s="17" t="s">
        <v>98</v>
      </c>
      <c r="E61" s="17" t="s">
        <v>182</v>
      </c>
      <c r="F61" s="18">
        <v>457.0</v>
      </c>
      <c r="G61" s="18">
        <v>419.0</v>
      </c>
      <c r="H61" s="18">
        <v>266.0</v>
      </c>
      <c r="I61" s="19">
        <v>0.635</v>
      </c>
      <c r="J61" s="18">
        <v>3585.0</v>
      </c>
      <c r="K61" s="18">
        <v>8.6</v>
      </c>
      <c r="L61" s="18">
        <v>24.0</v>
      </c>
      <c r="M61" s="18">
        <v>11.0</v>
      </c>
      <c r="N61" s="18">
        <v>17.0</v>
      </c>
      <c r="O61" s="18">
        <v>8.0</v>
      </c>
      <c r="P61" s="20">
        <f t="shared" si="1"/>
        <v>4.703971412</v>
      </c>
      <c r="Q61" s="20">
        <f t="shared" si="2"/>
        <v>2.629662961</v>
      </c>
      <c r="R61" s="24"/>
      <c r="S61" s="20">
        <v>4.7039714122663625</v>
      </c>
      <c r="T61" s="22">
        <v>1.08</v>
      </c>
      <c r="W61" s="25">
        <v>1.0</v>
      </c>
      <c r="X61" s="22">
        <f t="shared" si="7"/>
        <v>0.8323159262</v>
      </c>
      <c r="Y61" s="20">
        <f t="shared" si="4"/>
        <v>46.99202858</v>
      </c>
      <c r="Z61" s="20">
        <f t="shared" si="6"/>
        <v>44.36236562</v>
      </c>
      <c r="AA61" s="20"/>
      <c r="AB61" s="20">
        <f>IFERROR(__xludf.DUMMYFUNCTION("iferror(PERCENTRANK.INC(FILTER($X$2:$X$423, $U$2:$U$423&lt;3.75), $X61), 1)"),0.851)</f>
        <v>0.851</v>
      </c>
      <c r="AC61" s="20">
        <f>IFERROR(__xludf.DUMMYFUNCTION("iferror(PERCENTRANK.INC(FILTER($X$2:$X$423, $U$2:$U$423&lt;4.25), $X61), 1)"),0.825)</f>
        <v>0.825</v>
      </c>
      <c r="AD61" s="20">
        <f>IFERROR(__xludf.DUMMYFUNCTION("iferror(PERCENTRANK.INC(FILTER($X$2:$X$423, $U$2:$U$423&gt;=4.1), $X61), 0.01)"),0.053)</f>
        <v>0.053</v>
      </c>
      <c r="AE61" s="20"/>
    </row>
    <row r="62" ht="14.25" customHeight="1">
      <c r="A62" s="17" t="s">
        <v>235</v>
      </c>
      <c r="B62" s="17" t="s">
        <v>236</v>
      </c>
      <c r="C62" s="18">
        <v>10.0</v>
      </c>
      <c r="D62" s="17" t="s">
        <v>98</v>
      </c>
      <c r="E62" s="17" t="s">
        <v>132</v>
      </c>
      <c r="F62" s="18">
        <v>433.0</v>
      </c>
      <c r="G62" s="18">
        <v>374.0</v>
      </c>
      <c r="H62" s="18">
        <v>244.0</v>
      </c>
      <c r="I62" s="19">
        <v>0.652</v>
      </c>
      <c r="J62" s="18">
        <v>3148.0</v>
      </c>
      <c r="K62" s="18">
        <v>8.4</v>
      </c>
      <c r="L62" s="18">
        <v>22.0</v>
      </c>
      <c r="M62" s="18">
        <v>8.0</v>
      </c>
      <c r="N62" s="18">
        <v>23.0</v>
      </c>
      <c r="O62" s="18">
        <v>11.0</v>
      </c>
      <c r="P62" s="20">
        <f t="shared" si="1"/>
        <v>4.662316805</v>
      </c>
      <c r="Q62" s="20">
        <f t="shared" si="2"/>
        <v>2.609910348</v>
      </c>
      <c r="R62" s="24"/>
      <c r="S62" s="20">
        <v>4.662316805325363</v>
      </c>
      <c r="T62" s="22">
        <v>0.91</v>
      </c>
      <c r="U62" s="30"/>
      <c r="V62" s="30"/>
      <c r="W62" s="18">
        <v>0.95</v>
      </c>
      <c r="X62" s="22">
        <f t="shared" si="7"/>
        <v>0.8358475208</v>
      </c>
      <c r="Y62" s="20">
        <f t="shared" si="4"/>
        <v>47.03569697</v>
      </c>
      <c r="Z62" s="20">
        <f t="shared" si="6"/>
        <v>44.42578663</v>
      </c>
      <c r="AA62" s="20"/>
      <c r="AB62" s="20">
        <f>IFERROR(__xludf.DUMMYFUNCTION("iferror(PERCENTRANK.INC(FILTER($X$2:$X$423, $U$2:$U$423&lt;3.75), $X62), 1)"),0.853)</f>
        <v>0.853</v>
      </c>
      <c r="AC62" s="20">
        <f>IFERROR(__xludf.DUMMYFUNCTION("iferror(PERCENTRANK.INC(FILTER($X$2:$X$423, $U$2:$U$423&lt;4.25), $X62), 1)"),0.828)</f>
        <v>0.828</v>
      </c>
      <c r="AD62" s="20">
        <f>IFERROR(__xludf.DUMMYFUNCTION("iferror(PERCENTRANK.INC(FILTER($X$2:$X$423, $U$2:$U$423&gt;=4.1), $X62), 0.01)"),0.053)</f>
        <v>0.053</v>
      </c>
      <c r="AE62" s="20"/>
    </row>
    <row r="63" ht="14.25" customHeight="1">
      <c r="A63" s="17" t="s">
        <v>237</v>
      </c>
      <c r="B63" s="17" t="s">
        <v>238</v>
      </c>
      <c r="C63" s="18">
        <v>1.0</v>
      </c>
      <c r="D63" s="17" t="s">
        <v>98</v>
      </c>
      <c r="E63" s="17" t="s">
        <v>117</v>
      </c>
      <c r="F63" s="18">
        <v>437.0</v>
      </c>
      <c r="G63" s="18">
        <v>383.0</v>
      </c>
      <c r="H63" s="18">
        <v>236.0</v>
      </c>
      <c r="I63" s="19">
        <v>0.616</v>
      </c>
      <c r="J63" s="18">
        <v>2893.0</v>
      </c>
      <c r="K63" s="18">
        <v>7.5</v>
      </c>
      <c r="L63" s="18">
        <v>23.0</v>
      </c>
      <c r="M63" s="18">
        <v>7.0</v>
      </c>
      <c r="N63" s="18">
        <v>19.0</v>
      </c>
      <c r="O63" s="18">
        <v>11.0</v>
      </c>
      <c r="P63" s="20">
        <f t="shared" si="1"/>
        <v>4.662257238</v>
      </c>
      <c r="Q63" s="20">
        <f t="shared" si="2"/>
        <v>2.609882101</v>
      </c>
      <c r="R63" s="24"/>
      <c r="S63" s="20">
        <v>4.662257237824953</v>
      </c>
      <c r="T63" s="22">
        <v>1.82</v>
      </c>
      <c r="U63" s="30"/>
      <c r="V63" s="30"/>
      <c r="W63" s="18">
        <v>0.95</v>
      </c>
      <c r="X63" s="22">
        <f t="shared" si="7"/>
        <v>0.9024047271</v>
      </c>
      <c r="Y63" s="20">
        <f t="shared" si="4"/>
        <v>47.85868103</v>
      </c>
      <c r="Z63" s="20">
        <f t="shared" si="6"/>
        <v>45.24879893</v>
      </c>
      <c r="AA63" s="20"/>
      <c r="AB63" s="20">
        <f>IFERROR(__xludf.DUMMYFUNCTION("iferror(PERCENTRANK.INC(FILTER($X$2:$X$423, $U$2:$U$423&lt;3.75), $X63), 1)"),0.897)</f>
        <v>0.897</v>
      </c>
      <c r="AC63" s="20">
        <f>IFERROR(__xludf.DUMMYFUNCTION("iferror(PERCENTRANK.INC(FILTER($X$2:$X$423, $U$2:$U$423&lt;4.25), $X63), 1)"),0.87)</f>
        <v>0.87</v>
      </c>
      <c r="AD63" s="20">
        <f>IFERROR(__xludf.DUMMYFUNCTION("iferror(PERCENTRANK.INC(FILTER($X$2:$X$423, $U$2:$U$423&gt;=4.1), $X63), 0.01)"),0.054)</f>
        <v>0.054</v>
      </c>
      <c r="AE63" s="20"/>
    </row>
    <row r="64" ht="14.25" customHeight="1">
      <c r="A64" s="17" t="s">
        <v>239</v>
      </c>
      <c r="B64" s="17" t="s">
        <v>240</v>
      </c>
      <c r="C64" s="18">
        <v>2.0</v>
      </c>
      <c r="D64" s="17" t="s">
        <v>98</v>
      </c>
      <c r="E64" s="17" t="s">
        <v>108</v>
      </c>
      <c r="F64" s="18">
        <v>426.0</v>
      </c>
      <c r="G64" s="18">
        <v>340.0</v>
      </c>
      <c r="H64" s="18">
        <v>235.0</v>
      </c>
      <c r="I64" s="19">
        <v>0.691</v>
      </c>
      <c r="J64" s="18">
        <v>2883.0</v>
      </c>
      <c r="K64" s="18">
        <v>8.5</v>
      </c>
      <c r="L64" s="18">
        <v>21.0</v>
      </c>
      <c r="M64" s="18">
        <v>8.0</v>
      </c>
      <c r="N64" s="18">
        <v>26.0</v>
      </c>
      <c r="O64" s="18">
        <v>10.0</v>
      </c>
      <c r="P64" s="20">
        <f t="shared" si="1"/>
        <v>4.336674724</v>
      </c>
      <c r="Q64" s="20">
        <f t="shared" si="2"/>
        <v>2.455490885</v>
      </c>
      <c r="R64" s="24"/>
      <c r="S64" s="20">
        <v>4.336674724385529</v>
      </c>
      <c r="T64" s="22">
        <v>0.96</v>
      </c>
      <c r="W64" s="25">
        <v>1.0</v>
      </c>
      <c r="X64" s="22">
        <f t="shared" si="7"/>
        <v>0.7945012087</v>
      </c>
      <c r="Y64" s="20">
        <f t="shared" si="4"/>
        <v>46.52444721</v>
      </c>
      <c r="Z64" s="20">
        <f t="shared" si="6"/>
        <v>44.06895633</v>
      </c>
      <c r="AA64" s="20"/>
      <c r="AB64" s="20">
        <f>IFERROR(__xludf.DUMMYFUNCTION("iferror(PERCENTRANK.INC(FILTER($X$2:$X$423, $U$2:$U$423&lt;3.75), $X64), 1)"),0.82)</f>
        <v>0.82</v>
      </c>
      <c r="AC64" s="20">
        <f>IFERROR(__xludf.DUMMYFUNCTION("iferror(PERCENTRANK.INC(FILTER($X$2:$X$423, $U$2:$U$423&lt;4.25), $X64), 1)"),0.795)</f>
        <v>0.795</v>
      </c>
      <c r="AD64" s="20">
        <f>IFERROR(__xludf.DUMMYFUNCTION("iferror(PERCENTRANK.INC(FILTER($X$2:$X$423, $U$2:$U$423&gt;=4.1), $X64), 0.01)"),0.052)</f>
        <v>0.052</v>
      </c>
      <c r="AE64" s="20"/>
    </row>
    <row r="65" ht="14.25" customHeight="1">
      <c r="A65" s="17" t="s">
        <v>241</v>
      </c>
      <c r="B65" s="17" t="s">
        <v>242</v>
      </c>
      <c r="C65" s="18">
        <v>3.0</v>
      </c>
      <c r="D65" s="17" t="s">
        <v>98</v>
      </c>
      <c r="E65" s="17" t="s">
        <v>243</v>
      </c>
      <c r="F65" s="18">
        <v>441.0</v>
      </c>
      <c r="G65" s="18">
        <v>394.0</v>
      </c>
      <c r="H65" s="18">
        <v>237.0</v>
      </c>
      <c r="I65" s="19">
        <v>0.602</v>
      </c>
      <c r="J65" s="18">
        <v>3233.0</v>
      </c>
      <c r="K65" s="18">
        <v>8.2</v>
      </c>
      <c r="L65" s="18">
        <v>24.0</v>
      </c>
      <c r="M65" s="18">
        <v>10.0</v>
      </c>
      <c r="N65" s="18">
        <v>21.0</v>
      </c>
      <c r="O65" s="18">
        <v>14.0</v>
      </c>
      <c r="P65" s="20">
        <f t="shared" si="1"/>
        <v>4.542568556</v>
      </c>
      <c r="Q65" s="20">
        <f t="shared" si="2"/>
        <v>2.553125732</v>
      </c>
      <c r="R65" s="24"/>
      <c r="S65" s="20">
        <v>4.542568556441866</v>
      </c>
      <c r="T65" s="22">
        <v>1.2</v>
      </c>
      <c r="U65" s="30"/>
      <c r="V65" s="30"/>
      <c r="W65" s="18">
        <v>0.9</v>
      </c>
      <c r="X65" s="22">
        <f t="shared" si="7"/>
        <v>0.8613852835</v>
      </c>
      <c r="Y65" s="20">
        <f t="shared" si="4"/>
        <v>47.35147302</v>
      </c>
      <c r="Z65" s="20">
        <f t="shared" si="6"/>
        <v>44.79834729</v>
      </c>
      <c r="AA65" s="20"/>
      <c r="AB65" s="20">
        <f>IFERROR(__xludf.DUMMYFUNCTION("iferror(PERCENTRANK.INC(FILTER($X$2:$X$423, $U$2:$U$423&lt;3.75), $X65), 1)"),0.871)</f>
        <v>0.871</v>
      </c>
      <c r="AC65" s="20">
        <f>IFERROR(__xludf.DUMMYFUNCTION("iferror(PERCENTRANK.INC(FILTER($X$2:$X$423, $U$2:$U$423&lt;4.25), $X65), 1)"),0.845)</f>
        <v>0.845</v>
      </c>
      <c r="AD65" s="20">
        <f>IFERROR(__xludf.DUMMYFUNCTION("iferror(PERCENTRANK.INC(FILTER($X$2:$X$423, $U$2:$U$423&gt;=4.1), $X65), 0.01)"),0.053)</f>
        <v>0.053</v>
      </c>
      <c r="AE65" s="20"/>
    </row>
    <row r="66" ht="14.25" customHeight="1">
      <c r="A66" s="17" t="s">
        <v>244</v>
      </c>
      <c r="B66" s="17" t="s">
        <v>245</v>
      </c>
      <c r="C66" s="18">
        <v>4.0</v>
      </c>
      <c r="D66" s="17" t="s">
        <v>98</v>
      </c>
      <c r="E66" s="17" t="s">
        <v>158</v>
      </c>
      <c r="F66" s="18">
        <v>473.0</v>
      </c>
      <c r="G66" s="18">
        <v>433.0</v>
      </c>
      <c r="H66" s="18">
        <v>273.0</v>
      </c>
      <c r="I66" s="19">
        <v>0.63</v>
      </c>
      <c r="J66" s="18">
        <v>3338.0</v>
      </c>
      <c r="K66" s="18">
        <v>7.7</v>
      </c>
      <c r="L66" s="18">
        <v>19.0</v>
      </c>
      <c r="M66" s="18">
        <v>8.0</v>
      </c>
      <c r="N66" s="18">
        <v>17.0</v>
      </c>
      <c r="O66" s="18">
        <v>12.0</v>
      </c>
      <c r="P66" s="20">
        <f t="shared" si="1"/>
        <v>4.374698296</v>
      </c>
      <c r="Q66" s="20">
        <f t="shared" si="2"/>
        <v>2.473521661</v>
      </c>
      <c r="R66" s="24"/>
      <c r="S66" s="20">
        <v>4.374698295924495</v>
      </c>
      <c r="T66" s="22">
        <v>0.92</v>
      </c>
      <c r="U66" s="30"/>
      <c r="V66" s="30"/>
      <c r="W66" s="18">
        <v>0.95</v>
      </c>
      <c r="X66" s="22">
        <f t="shared" si="7"/>
        <v>0.7285842699</v>
      </c>
      <c r="Y66" s="20">
        <f t="shared" si="4"/>
        <v>45.7093801</v>
      </c>
      <c r="Z66" s="20">
        <f t="shared" si="6"/>
        <v>43.23585844</v>
      </c>
      <c r="AA66" s="20"/>
      <c r="AB66" s="20">
        <f>IFERROR(__xludf.DUMMYFUNCTION("iferror(PERCENTRANK.INC(FILTER($X$2:$X$423, $U$2:$U$423&lt;3.75), $X66), 1)"),0.796)</f>
        <v>0.796</v>
      </c>
      <c r="AC66" s="20">
        <f>IFERROR(__xludf.DUMMYFUNCTION("iferror(PERCENTRANK.INC(FILTER($X$2:$X$423, $U$2:$U$423&lt;4.25), $X66), 1)"),0.773)</f>
        <v>0.773</v>
      </c>
      <c r="AD66" s="20">
        <f>IFERROR(__xludf.DUMMYFUNCTION("iferror(PERCENTRANK.INC(FILTER($X$2:$X$423, $U$2:$U$423&gt;=4.1), $X66), 0.01)"),0.051)</f>
        <v>0.051</v>
      </c>
      <c r="AE66" s="20"/>
    </row>
    <row r="67" ht="14.25" customHeight="1">
      <c r="A67" s="17" t="s">
        <v>246</v>
      </c>
      <c r="B67" s="17" t="s">
        <v>247</v>
      </c>
      <c r="C67" s="18">
        <v>10.0</v>
      </c>
      <c r="D67" s="17" t="s">
        <v>98</v>
      </c>
      <c r="E67" s="17" t="s">
        <v>182</v>
      </c>
      <c r="F67" s="18">
        <v>415.0</v>
      </c>
      <c r="G67" s="18">
        <v>358.0</v>
      </c>
      <c r="H67" s="18">
        <v>214.0</v>
      </c>
      <c r="I67" s="19">
        <v>0.598</v>
      </c>
      <c r="J67" s="18">
        <v>2969.0</v>
      </c>
      <c r="K67" s="18">
        <v>8.3</v>
      </c>
      <c r="L67" s="18">
        <v>25.0</v>
      </c>
      <c r="M67" s="18">
        <v>10.0</v>
      </c>
      <c r="N67" s="18">
        <v>9.0</v>
      </c>
      <c r="O67" s="18">
        <v>18.0</v>
      </c>
      <c r="P67" s="20">
        <f t="shared" si="1"/>
        <v>4.479475789</v>
      </c>
      <c r="Q67" s="20">
        <f t="shared" si="2"/>
        <v>2.523207145</v>
      </c>
      <c r="R67" s="24"/>
      <c r="S67" s="20">
        <v>4.479475789324897</v>
      </c>
      <c r="T67" s="22">
        <v>1.1</v>
      </c>
      <c r="W67" s="25">
        <v>1.0</v>
      </c>
      <c r="X67" s="22">
        <f t="shared" si="7"/>
        <v>0.8369213684</v>
      </c>
      <c r="Y67" s="20">
        <f t="shared" si="4"/>
        <v>47.04897517</v>
      </c>
      <c r="Z67" s="20">
        <f t="shared" si="6"/>
        <v>44.52576802</v>
      </c>
      <c r="AA67" s="20"/>
      <c r="AB67" s="20">
        <f>IFERROR(__xludf.DUMMYFUNCTION("iferror(PERCENTRANK.INC(FILTER($X$2:$X$423, $U$2:$U$423&lt;3.75), $X67), 1)"),0.856)</f>
        <v>0.856</v>
      </c>
      <c r="AC67" s="20">
        <f>IFERROR(__xludf.DUMMYFUNCTION("iferror(PERCENTRANK.INC(FILTER($X$2:$X$423, $U$2:$U$423&lt;4.25), $X67), 1)"),0.83)</f>
        <v>0.83</v>
      </c>
      <c r="AD67" s="20">
        <f>IFERROR(__xludf.DUMMYFUNCTION("iferror(PERCENTRANK.INC(FILTER($X$2:$X$423, $U$2:$U$423&gt;=4.1), $X67), 0.01)"),0.053)</f>
        <v>0.053</v>
      </c>
      <c r="AE67" s="20"/>
    </row>
    <row r="68" ht="14.25" customHeight="1">
      <c r="A68" s="17" t="s">
        <v>248</v>
      </c>
      <c r="B68" s="17" t="s">
        <v>249</v>
      </c>
      <c r="C68" s="18">
        <v>12.0</v>
      </c>
      <c r="D68" s="17" t="s">
        <v>98</v>
      </c>
      <c r="E68" s="17" t="s">
        <v>189</v>
      </c>
      <c r="F68" s="18">
        <v>408.0</v>
      </c>
      <c r="G68" s="18">
        <v>316.0</v>
      </c>
      <c r="H68" s="18">
        <v>212.0</v>
      </c>
      <c r="I68" s="19">
        <v>0.671</v>
      </c>
      <c r="J68" s="18">
        <v>2698.0</v>
      </c>
      <c r="K68" s="18">
        <v>8.5</v>
      </c>
      <c r="L68" s="18">
        <v>24.0</v>
      </c>
      <c r="M68" s="18">
        <v>9.0</v>
      </c>
      <c r="N68" s="18">
        <v>36.0</v>
      </c>
      <c r="O68" s="18">
        <v>17.0</v>
      </c>
      <c r="P68" s="20">
        <f t="shared" si="1"/>
        <v>4.301823731</v>
      </c>
      <c r="Q68" s="20">
        <f t="shared" si="2"/>
        <v>2.438964545</v>
      </c>
      <c r="R68" s="24"/>
      <c r="S68" s="20">
        <v>4.301823731198809</v>
      </c>
      <c r="T68" s="22">
        <v>1.86</v>
      </c>
      <c r="W68" s="25">
        <v>0.9</v>
      </c>
      <c r="X68" s="22">
        <f t="shared" si="7"/>
        <v>0.8597462037</v>
      </c>
      <c r="Y68" s="20">
        <f t="shared" si="4"/>
        <v>47.3312057</v>
      </c>
      <c r="Z68" s="20">
        <f t="shared" si="6"/>
        <v>44.89224115</v>
      </c>
      <c r="AA68" s="20"/>
      <c r="AB68" s="20">
        <f>IFERROR(__xludf.DUMMYFUNCTION("iferror(PERCENTRANK.INC(FILTER($X$2:$X$423, $U$2:$U$423&lt;3.75), $X68), 1)"),0.863)</f>
        <v>0.863</v>
      </c>
      <c r="AC68" s="20">
        <f>IFERROR(__xludf.DUMMYFUNCTION("iferror(PERCENTRANK.INC(FILTER($X$2:$X$423, $U$2:$U$423&lt;4.25), $X68), 1)"),0.838)</f>
        <v>0.838</v>
      </c>
      <c r="AD68" s="20">
        <f>IFERROR(__xludf.DUMMYFUNCTION("iferror(PERCENTRANK.INC(FILTER($X$2:$X$423, $U$2:$U$423&gt;=4.1), $X68), 0.01)"),0.053)</f>
        <v>0.053</v>
      </c>
      <c r="AE68" s="20"/>
    </row>
    <row r="69" ht="14.25" customHeight="1">
      <c r="A69" s="17" t="s">
        <v>250</v>
      </c>
      <c r="B69" s="17" t="s">
        <v>251</v>
      </c>
      <c r="C69" s="18">
        <v>6.0</v>
      </c>
      <c r="D69" s="17" t="s">
        <v>98</v>
      </c>
      <c r="E69" s="17" t="s">
        <v>99</v>
      </c>
      <c r="F69" s="18">
        <v>385.0</v>
      </c>
      <c r="G69" s="18">
        <v>333.0</v>
      </c>
      <c r="H69" s="18">
        <v>201.0</v>
      </c>
      <c r="I69" s="19">
        <v>0.604</v>
      </c>
      <c r="J69" s="18">
        <v>2569.0</v>
      </c>
      <c r="K69" s="18">
        <v>7.7</v>
      </c>
      <c r="L69" s="18">
        <v>22.0</v>
      </c>
      <c r="M69" s="18">
        <v>7.0</v>
      </c>
      <c r="N69" s="18">
        <v>19.0</v>
      </c>
      <c r="O69" s="18">
        <v>14.0</v>
      </c>
      <c r="P69" s="20">
        <f t="shared" si="1"/>
        <v>4.294443717</v>
      </c>
      <c r="Q69" s="20">
        <f t="shared" si="2"/>
        <v>2.435464943</v>
      </c>
      <c r="R69" s="29"/>
      <c r="S69" s="20">
        <v>4.294443717015717</v>
      </c>
      <c r="T69" s="22">
        <v>1.96</v>
      </c>
      <c r="U69" s="31"/>
      <c r="V69" s="30"/>
      <c r="W69" s="18">
        <v>1.0</v>
      </c>
      <c r="X69" s="22">
        <f t="shared" si="7"/>
        <v>0.9059582297</v>
      </c>
      <c r="Y69" s="20">
        <f t="shared" si="4"/>
        <v>47.90262032</v>
      </c>
      <c r="Z69" s="20">
        <f t="shared" si="6"/>
        <v>45.46715537</v>
      </c>
      <c r="AA69" s="20"/>
      <c r="AB69" s="20">
        <f>IFERROR(__xludf.DUMMYFUNCTION("iferror(PERCENTRANK.INC(FILTER($X$2:$X$423, $U$2:$U$423&lt;3.75), $X69), 1)"),0.899)</f>
        <v>0.899</v>
      </c>
      <c r="AC69" s="20">
        <f>IFERROR(__xludf.DUMMYFUNCTION("iferror(PERCENTRANK.INC(FILTER($X$2:$X$423, $U$2:$U$423&lt;4.25), $X69), 1)"),0.873)</f>
        <v>0.873</v>
      </c>
      <c r="AD69" s="20">
        <f>IFERROR(__xludf.DUMMYFUNCTION("iferror(PERCENTRANK.INC(FILTER($X$2:$X$423, $U$2:$U$423&gt;=4.1), $X69), 0.01)"),0.054)</f>
        <v>0.054</v>
      </c>
      <c r="AE69" s="20"/>
    </row>
    <row r="70" ht="14.25" customHeight="1">
      <c r="A70" s="17" t="s">
        <v>252</v>
      </c>
      <c r="B70" s="17" t="s">
        <v>253</v>
      </c>
      <c r="C70" s="18">
        <v>11.0</v>
      </c>
      <c r="D70" s="17" t="s">
        <v>98</v>
      </c>
      <c r="E70" s="17" t="s">
        <v>135</v>
      </c>
      <c r="F70" s="18">
        <v>449.0</v>
      </c>
      <c r="G70" s="18">
        <v>396.0</v>
      </c>
      <c r="H70" s="18">
        <v>263.0</v>
      </c>
      <c r="I70" s="19">
        <v>0.664</v>
      </c>
      <c r="J70" s="18">
        <v>2922.0</v>
      </c>
      <c r="K70" s="18">
        <v>7.4</v>
      </c>
      <c r="L70" s="18">
        <v>23.0</v>
      </c>
      <c r="M70" s="18">
        <v>9.0</v>
      </c>
      <c r="N70" s="18">
        <v>19.0</v>
      </c>
      <c r="O70" s="18">
        <v>13.0</v>
      </c>
      <c r="P70" s="20">
        <f t="shared" si="1"/>
        <v>4.269669115</v>
      </c>
      <c r="Q70" s="20">
        <f t="shared" si="2"/>
        <v>2.423716828</v>
      </c>
      <c r="R70" s="24"/>
      <c r="S70" s="20">
        <v>4.26966911538548</v>
      </c>
      <c r="T70" s="22">
        <v>1.28</v>
      </c>
      <c r="W70" s="25">
        <v>1.0</v>
      </c>
      <c r="X70" s="22">
        <f t="shared" si="7"/>
        <v>0.7684053306</v>
      </c>
      <c r="Y70" s="20">
        <f t="shared" si="4"/>
        <v>46.20177003</v>
      </c>
      <c r="Z70" s="20">
        <f t="shared" si="6"/>
        <v>43.77805321</v>
      </c>
      <c r="AA70" s="20"/>
      <c r="AB70" s="20">
        <f>IFERROR(__xludf.DUMMYFUNCTION("iferror(PERCENTRANK.INC(FILTER($X$2:$X$423, $U$2:$U$423&lt;3.75), $X70), 1)"),0.809)</f>
        <v>0.809</v>
      </c>
      <c r="AC70" s="20">
        <f>IFERROR(__xludf.DUMMYFUNCTION("iferror(PERCENTRANK.INC(FILTER($X$2:$X$423, $U$2:$U$423&lt;4.25), $X70), 1)"),0.785)</f>
        <v>0.785</v>
      </c>
      <c r="AD70" s="20">
        <f>IFERROR(__xludf.DUMMYFUNCTION("iferror(PERCENTRANK.INC(FILTER($X$2:$X$423, $U$2:$U$423&gt;=4.1), $X70), 0.01)"),0.052)</f>
        <v>0.052</v>
      </c>
      <c r="AE70" s="20"/>
    </row>
    <row r="71" ht="14.25" customHeight="1">
      <c r="A71" s="17" t="s">
        <v>254</v>
      </c>
      <c r="B71" s="17" t="s">
        <v>255</v>
      </c>
      <c r="C71" s="18">
        <v>7.0</v>
      </c>
      <c r="D71" s="17" t="s">
        <v>98</v>
      </c>
      <c r="E71" s="17" t="s">
        <v>124</v>
      </c>
      <c r="F71" s="18">
        <v>176.0</v>
      </c>
      <c r="G71" s="18">
        <v>158.0</v>
      </c>
      <c r="H71" s="18">
        <v>105.0</v>
      </c>
      <c r="I71" s="19">
        <v>0.665</v>
      </c>
      <c r="J71" s="18">
        <v>1395.0</v>
      </c>
      <c r="K71" s="18">
        <v>8.8</v>
      </c>
      <c r="L71" s="18">
        <v>16.0</v>
      </c>
      <c r="M71" s="18">
        <v>0.0</v>
      </c>
      <c r="N71" s="18">
        <v>8.0</v>
      </c>
      <c r="O71" s="18">
        <v>2.0</v>
      </c>
      <c r="P71" s="20">
        <f t="shared" si="1"/>
        <v>4.217073872</v>
      </c>
      <c r="Q71" s="20">
        <f t="shared" si="2"/>
        <v>2.398776165</v>
      </c>
      <c r="R71" s="24"/>
      <c r="S71" s="20">
        <v>4.217073872266973</v>
      </c>
      <c r="T71" s="22">
        <v>1.05</v>
      </c>
      <c r="U71" s="30"/>
      <c r="V71" s="30"/>
      <c r="W71" s="18">
        <v>0.9</v>
      </c>
      <c r="X71" s="22">
        <f t="shared" si="7"/>
        <v>0.7268049728</v>
      </c>
      <c r="Y71" s="20">
        <f t="shared" si="4"/>
        <v>45.68737898</v>
      </c>
      <c r="Z71" s="20">
        <f t="shared" si="6"/>
        <v>43.28860282</v>
      </c>
      <c r="AA71" s="20"/>
      <c r="AB71" s="20">
        <f>IFERROR(__xludf.DUMMYFUNCTION("iferror(PERCENTRANK.INC(FILTER($X$2:$X$423, $U$2:$U$423&lt;3.75), $X71), 1)"),0.791)</f>
        <v>0.791</v>
      </c>
      <c r="AC71" s="20">
        <f>IFERROR(__xludf.DUMMYFUNCTION("iferror(PERCENTRANK.INC(FILTER($X$2:$X$423, $U$2:$U$423&lt;4.25), $X71), 1)"),0.768)</f>
        <v>0.768</v>
      </c>
      <c r="AD71" s="20">
        <f>IFERROR(__xludf.DUMMYFUNCTION("iferror(PERCENTRANK.INC(FILTER($X$2:$X$423, $U$2:$U$423&gt;=4.1), $X71), 0.01)"),0.051)</f>
        <v>0.051</v>
      </c>
      <c r="AE71" s="20"/>
    </row>
    <row r="72" ht="14.25" customHeight="1">
      <c r="A72" s="17" t="s">
        <v>256</v>
      </c>
      <c r="B72" s="17" t="s">
        <v>257</v>
      </c>
      <c r="C72" s="18">
        <v>14.0</v>
      </c>
      <c r="D72" s="17" t="s">
        <v>98</v>
      </c>
      <c r="E72" s="17" t="s">
        <v>182</v>
      </c>
      <c r="F72" s="18">
        <v>418.0</v>
      </c>
      <c r="G72" s="18">
        <v>357.0</v>
      </c>
      <c r="H72" s="18">
        <v>237.0</v>
      </c>
      <c r="I72" s="19">
        <v>0.664</v>
      </c>
      <c r="J72" s="18">
        <v>2581.0</v>
      </c>
      <c r="K72" s="18">
        <v>7.2</v>
      </c>
      <c r="L72" s="18">
        <v>20.0</v>
      </c>
      <c r="M72" s="18">
        <v>6.0</v>
      </c>
      <c r="N72" s="18">
        <v>17.0</v>
      </c>
      <c r="O72" s="18">
        <v>10.0</v>
      </c>
      <c r="P72" s="20">
        <f t="shared" si="1"/>
        <v>4.21436918</v>
      </c>
      <c r="Q72" s="20">
        <f t="shared" si="2"/>
        <v>2.3974936</v>
      </c>
      <c r="R72" s="24"/>
      <c r="S72" s="20">
        <v>4.214369179955235</v>
      </c>
      <c r="T72" s="22">
        <v>1.09</v>
      </c>
      <c r="U72" s="30"/>
      <c r="V72" s="30"/>
      <c r="W72" s="18">
        <v>1.0</v>
      </c>
      <c r="X72" s="22">
        <f t="shared" si="7"/>
        <v>0.7640476081</v>
      </c>
      <c r="Y72" s="20">
        <f t="shared" si="4"/>
        <v>46.14788652</v>
      </c>
      <c r="Z72" s="20">
        <f t="shared" si="6"/>
        <v>43.75039292</v>
      </c>
      <c r="AA72" s="20"/>
      <c r="AB72" s="20">
        <f>IFERROR(__xludf.DUMMYFUNCTION("iferror(PERCENTRANK.INC(FILTER($X$2:$X$423, $U$2:$U$423&lt;3.75), $X72), 1)"),0.807)</f>
        <v>0.807</v>
      </c>
      <c r="AC72" s="20">
        <f>IFERROR(__xludf.DUMMYFUNCTION("iferror(PERCENTRANK.INC(FILTER($X$2:$X$423, $U$2:$U$423&lt;4.25), $X72), 1)"),0.783)</f>
        <v>0.783</v>
      </c>
      <c r="AD72" s="20">
        <f>IFERROR(__xludf.DUMMYFUNCTION("iferror(PERCENTRANK.INC(FILTER($X$2:$X$423, $U$2:$U$423&gt;=4.1), $X72), 0.01)"),0.052)</f>
        <v>0.052</v>
      </c>
      <c r="AE72" s="20"/>
    </row>
    <row r="73" ht="14.25" customHeight="1">
      <c r="A73" s="17" t="s">
        <v>258</v>
      </c>
      <c r="B73" s="17" t="s">
        <v>259</v>
      </c>
      <c r="C73" s="18">
        <v>1.0</v>
      </c>
      <c r="D73" s="17" t="s">
        <v>98</v>
      </c>
      <c r="E73" s="17" t="s">
        <v>243</v>
      </c>
      <c r="F73" s="18">
        <v>314.0</v>
      </c>
      <c r="G73" s="18">
        <v>271.0</v>
      </c>
      <c r="H73" s="18">
        <v>167.0</v>
      </c>
      <c r="I73" s="19">
        <v>0.616</v>
      </c>
      <c r="J73" s="18">
        <v>2383.0</v>
      </c>
      <c r="K73" s="18">
        <v>8.8</v>
      </c>
      <c r="L73" s="18">
        <v>17.0</v>
      </c>
      <c r="M73" s="18">
        <v>4.0</v>
      </c>
      <c r="N73" s="18">
        <v>23.0</v>
      </c>
      <c r="O73" s="18">
        <v>5.0</v>
      </c>
      <c r="P73" s="20">
        <f t="shared" si="1"/>
        <v>4.294703445</v>
      </c>
      <c r="Q73" s="20">
        <f t="shared" si="2"/>
        <v>2.435588106</v>
      </c>
      <c r="R73" s="24"/>
      <c r="S73" s="20">
        <v>4.2947034447552115</v>
      </c>
      <c r="T73" s="22">
        <v>-0.25</v>
      </c>
      <c r="U73" s="30"/>
      <c r="V73" s="30"/>
      <c r="W73" s="18">
        <v>0.9</v>
      </c>
      <c r="X73" s="22">
        <f t="shared" si="7"/>
        <v>0.6067055167</v>
      </c>
      <c r="Y73" s="20">
        <f t="shared" si="4"/>
        <v>44.20234163</v>
      </c>
      <c r="Z73" s="20">
        <f t="shared" si="6"/>
        <v>41.76675352</v>
      </c>
      <c r="AA73" s="20"/>
      <c r="AB73" s="20">
        <f>IFERROR(__xludf.DUMMYFUNCTION("iferror(PERCENTRANK.INC(FILTER($X$2:$X$423, $U$2:$U$423&lt;3.75), $X73), 1)"),0.729)</f>
        <v>0.729</v>
      </c>
      <c r="AC73" s="20">
        <f>IFERROR(__xludf.DUMMYFUNCTION("iferror(PERCENTRANK.INC(FILTER($X$2:$X$423, $U$2:$U$423&lt;4.25), $X73), 1)"),0.708)</f>
        <v>0.708</v>
      </c>
      <c r="AD73" s="20">
        <f>IFERROR(__xludf.DUMMYFUNCTION("iferror(PERCENTRANK.INC(FILTER($X$2:$X$423, $U$2:$U$423&gt;=4.1), $X73), 0.01)"),0.049)</f>
        <v>0.049</v>
      </c>
      <c r="AE73" s="20"/>
    </row>
    <row r="74" ht="14.25" customHeight="1">
      <c r="A74" s="17" t="s">
        <v>260</v>
      </c>
      <c r="B74" s="17" t="s">
        <v>261</v>
      </c>
      <c r="C74" s="18">
        <v>12.0</v>
      </c>
      <c r="D74" s="17" t="s">
        <v>98</v>
      </c>
      <c r="E74" s="17" t="s">
        <v>147</v>
      </c>
      <c r="F74" s="18">
        <v>300.0</v>
      </c>
      <c r="G74" s="18">
        <v>257.0</v>
      </c>
      <c r="H74" s="18">
        <v>140.0</v>
      </c>
      <c r="I74" s="19">
        <v>0.545</v>
      </c>
      <c r="J74" s="18">
        <v>2062.0</v>
      </c>
      <c r="K74" s="18">
        <v>8.0</v>
      </c>
      <c r="L74" s="18">
        <v>18.0</v>
      </c>
      <c r="M74" s="18">
        <v>3.0</v>
      </c>
      <c r="N74" s="18">
        <v>17.0</v>
      </c>
      <c r="O74" s="18">
        <v>9.0</v>
      </c>
      <c r="P74" s="20">
        <f t="shared" si="1"/>
        <v>4.248732769</v>
      </c>
      <c r="Q74" s="20">
        <f t="shared" si="2"/>
        <v>2.413788813</v>
      </c>
      <c r="R74" s="24"/>
      <c r="S74" s="20">
        <v>4.248732769130998</v>
      </c>
      <c r="T74" s="22">
        <v>4.69</v>
      </c>
      <c r="W74" s="25">
        <v>0.95</v>
      </c>
      <c r="X74" s="22">
        <f t="shared" si="7"/>
        <v>1.277078924</v>
      </c>
      <c r="Y74" s="20">
        <f t="shared" si="4"/>
        <v>52.49155113</v>
      </c>
      <c r="Z74" s="20">
        <f t="shared" si="6"/>
        <v>50.07776232</v>
      </c>
      <c r="AA74" s="20"/>
      <c r="AB74" s="20">
        <f>IFERROR(__xludf.DUMMYFUNCTION("iferror(PERCENTRANK.INC(FILTER($X$2:$X$423, $U$2:$U$423&lt;3.75), $X74), 1)"),0.954)</f>
        <v>0.954</v>
      </c>
      <c r="AC74" s="20">
        <f>IFERROR(__xludf.DUMMYFUNCTION("iferror(PERCENTRANK.INC(FILTER($X$2:$X$423, $U$2:$U$423&lt;4.25), $X74), 1)"),0.925)</f>
        <v>0.925</v>
      </c>
      <c r="AD74" s="20">
        <f>IFERROR(__xludf.DUMMYFUNCTION("iferror(PERCENTRANK.INC(FILTER($X$2:$X$423, $U$2:$U$423&gt;=4.1), $X74), 0.01)"),0.06)</f>
        <v>0.06</v>
      </c>
      <c r="AE74" s="20"/>
    </row>
    <row r="75" ht="14.25" customHeight="1">
      <c r="A75" s="17" t="s">
        <v>262</v>
      </c>
      <c r="B75" s="17" t="s">
        <v>263</v>
      </c>
      <c r="C75" s="18">
        <v>6.0</v>
      </c>
      <c r="D75" s="17" t="s">
        <v>98</v>
      </c>
      <c r="E75" s="17" t="s">
        <v>179</v>
      </c>
      <c r="F75" s="18">
        <v>424.0</v>
      </c>
      <c r="G75" s="18">
        <v>338.0</v>
      </c>
      <c r="H75" s="18">
        <v>209.0</v>
      </c>
      <c r="I75" s="19">
        <v>0.618</v>
      </c>
      <c r="J75" s="18">
        <v>2385.0</v>
      </c>
      <c r="K75" s="18">
        <v>7.1</v>
      </c>
      <c r="L75" s="18">
        <v>20.0</v>
      </c>
      <c r="M75" s="18">
        <v>6.0</v>
      </c>
      <c r="N75" s="18">
        <v>25.0</v>
      </c>
      <c r="O75" s="18">
        <v>6.0</v>
      </c>
      <c r="P75" s="20">
        <f t="shared" si="1"/>
        <v>4.033162552</v>
      </c>
      <c r="Q75" s="20">
        <f t="shared" si="2"/>
        <v>2.311565424</v>
      </c>
      <c r="R75" s="24"/>
      <c r="S75" s="20">
        <v>4.033162552417103</v>
      </c>
      <c r="T75" s="22">
        <v>1.01</v>
      </c>
      <c r="U75" s="23">
        <v>4.37</v>
      </c>
      <c r="V75" s="23">
        <v>3.04</v>
      </c>
      <c r="W75" s="18">
        <v>0.9</v>
      </c>
      <c r="X75" s="22">
        <f>IFERROR((U75*0.7+T75*0.15+S75*0.15*#REF!),0)</f>
        <v>0</v>
      </c>
      <c r="Y75" s="20">
        <f t="shared" si="4"/>
        <v>36.7003896</v>
      </c>
      <c r="Z75" s="20">
        <f t="shared" si="6"/>
        <v>34.38882418</v>
      </c>
      <c r="AA75" s="20"/>
      <c r="AB75" s="20">
        <f>IFERROR(__xludf.DUMMYFUNCTION("iferror(PERCENTRANK.INC(FILTER($X$2:$X$423, $U$2:$U$423&lt;3.75), $X75), 1)"),0.26)</f>
        <v>0.26</v>
      </c>
      <c r="AC75" s="20">
        <f>IFERROR(__xludf.DUMMYFUNCTION("iferror(PERCENTRANK.INC(FILTER($X$2:$X$423, $U$2:$U$423&lt;4.25), $X75), 1)"),0.253)</f>
        <v>0.253</v>
      </c>
      <c r="AD75" s="20">
        <f>IFERROR(__xludf.DUMMYFUNCTION("iferror(PERCENTRANK.INC(FILTER($X$2:$X$423, $U$2:$U$423&gt;=4.1), $X75), 0.01)"),0.0)</f>
        <v>0</v>
      </c>
      <c r="AE75" s="20"/>
    </row>
    <row r="76" ht="14.25" customHeight="1">
      <c r="A76" s="17" t="s">
        <v>264</v>
      </c>
      <c r="B76" s="17" t="s">
        <v>265</v>
      </c>
      <c r="C76" s="18">
        <v>2.0</v>
      </c>
      <c r="D76" s="17" t="s">
        <v>98</v>
      </c>
      <c r="E76" s="17" t="s">
        <v>172</v>
      </c>
      <c r="F76" s="18">
        <v>354.0</v>
      </c>
      <c r="G76" s="18">
        <v>332.0</v>
      </c>
      <c r="H76" s="18">
        <v>195.0</v>
      </c>
      <c r="I76" s="19">
        <v>0.587</v>
      </c>
      <c r="J76" s="18">
        <v>2471.0</v>
      </c>
      <c r="K76" s="18">
        <v>7.4</v>
      </c>
      <c r="L76" s="18">
        <v>22.0</v>
      </c>
      <c r="M76" s="18">
        <v>7.0</v>
      </c>
      <c r="N76" s="18">
        <v>16.0</v>
      </c>
      <c r="O76" s="18">
        <v>10.0</v>
      </c>
      <c r="P76" s="20">
        <f t="shared" si="1"/>
        <v>4.187614874</v>
      </c>
      <c r="Q76" s="20">
        <f t="shared" si="2"/>
        <v>2.38480671</v>
      </c>
      <c r="R76" s="29"/>
      <c r="S76" s="20">
        <v>4.187614874344837</v>
      </c>
      <c r="T76" s="22">
        <v>1.31</v>
      </c>
      <c r="U76" s="31"/>
      <c r="V76" s="30"/>
      <c r="W76" s="18">
        <v>0.9</v>
      </c>
      <c r="X76" s="22">
        <f t="shared" ref="X76:X79" si="8">IFERROR((U76*0.7+T76*0.15+S76*0.15*W80),0)</f>
        <v>0.761828008</v>
      </c>
      <c r="Y76" s="20">
        <f t="shared" si="4"/>
        <v>46.12044103</v>
      </c>
      <c r="Z76" s="20">
        <f t="shared" si="6"/>
        <v>43.73563432</v>
      </c>
      <c r="AA76" s="20"/>
      <c r="AB76" s="20">
        <f>IFERROR(__xludf.DUMMYFUNCTION("iferror(PERCENTRANK.INC(FILTER($X$2:$X$423, $U$2:$U$423&lt;3.75), $X76), 1)"),0.804)</f>
        <v>0.804</v>
      </c>
      <c r="AC76" s="20">
        <f>IFERROR(__xludf.DUMMYFUNCTION("iferror(PERCENTRANK.INC(FILTER($X$2:$X$423, $U$2:$U$423&lt;4.25), $X76), 1)"),0.78)</f>
        <v>0.78</v>
      </c>
      <c r="AD76" s="20">
        <f>IFERROR(__xludf.DUMMYFUNCTION("iferror(PERCENTRANK.INC(FILTER($X$2:$X$423, $U$2:$U$423&gt;=4.1), $X76), 0.01)"),0.052)</f>
        <v>0.052</v>
      </c>
      <c r="AE76" s="20"/>
    </row>
    <row r="77" ht="14.25" customHeight="1">
      <c r="A77" s="17" t="s">
        <v>266</v>
      </c>
      <c r="B77" s="17" t="s">
        <v>267</v>
      </c>
      <c r="C77" s="18">
        <v>8.0</v>
      </c>
      <c r="D77" s="17" t="s">
        <v>98</v>
      </c>
      <c r="E77" s="17" t="s">
        <v>117</v>
      </c>
      <c r="F77" s="18">
        <v>433.0</v>
      </c>
      <c r="G77" s="18">
        <v>350.0</v>
      </c>
      <c r="H77" s="18">
        <v>238.0</v>
      </c>
      <c r="I77" s="19">
        <v>0.68</v>
      </c>
      <c r="J77" s="18">
        <v>3048.0</v>
      </c>
      <c r="K77" s="18">
        <v>8.7</v>
      </c>
      <c r="L77" s="18">
        <v>18.0</v>
      </c>
      <c r="M77" s="18">
        <v>8.0</v>
      </c>
      <c r="N77" s="18">
        <v>23.0</v>
      </c>
      <c r="O77" s="18">
        <v>12.0</v>
      </c>
      <c r="P77" s="20">
        <f t="shared" si="1"/>
        <v>4.140613646</v>
      </c>
      <c r="Q77" s="20">
        <f t="shared" si="2"/>
        <v>2.362518729</v>
      </c>
      <c r="R77" s="24"/>
      <c r="S77" s="20">
        <v>4.140613645661498</v>
      </c>
      <c r="T77" s="22">
        <v>1.04</v>
      </c>
      <c r="W77" s="25">
        <v>0.95</v>
      </c>
      <c r="X77" s="22">
        <f t="shared" si="8"/>
        <v>0.7149828422</v>
      </c>
      <c r="Y77" s="20">
        <f t="shared" si="4"/>
        <v>45.54119759</v>
      </c>
      <c r="Z77" s="20">
        <f t="shared" si="6"/>
        <v>43.17867886</v>
      </c>
      <c r="AA77" s="20"/>
      <c r="AB77" s="20">
        <f>IFERROR(__xludf.DUMMYFUNCTION("iferror(PERCENTRANK.INC(FILTER($X$2:$X$423, $U$2:$U$423&lt;3.75), $X77), 1)"),0.784)</f>
        <v>0.784</v>
      </c>
      <c r="AC77" s="20">
        <f>IFERROR(__xludf.DUMMYFUNCTION("iferror(PERCENTRANK.INC(FILTER($X$2:$X$423, $U$2:$U$423&lt;4.25), $X77), 1)"),0.76)</f>
        <v>0.76</v>
      </c>
      <c r="AD77" s="20">
        <f>IFERROR(__xludf.DUMMYFUNCTION("iferror(PERCENTRANK.INC(FILTER($X$2:$X$423, $U$2:$U$423&gt;=4.1), $X77), 0.01)"),0.051)</f>
        <v>0.051</v>
      </c>
      <c r="AE77" s="20"/>
    </row>
    <row r="78" ht="14.25" customHeight="1">
      <c r="A78" s="17" t="s">
        <v>268</v>
      </c>
      <c r="B78" s="17" t="s">
        <v>269</v>
      </c>
      <c r="C78" s="18">
        <v>16.0</v>
      </c>
      <c r="D78" s="17" t="s">
        <v>98</v>
      </c>
      <c r="E78" s="17" t="s">
        <v>108</v>
      </c>
      <c r="F78" s="18">
        <v>463.0</v>
      </c>
      <c r="G78" s="18">
        <v>392.0</v>
      </c>
      <c r="H78" s="18">
        <v>234.0</v>
      </c>
      <c r="I78" s="19">
        <v>0.597</v>
      </c>
      <c r="J78" s="18">
        <v>3215.0</v>
      </c>
      <c r="K78" s="18">
        <v>8.2</v>
      </c>
      <c r="L78" s="18">
        <v>20.0</v>
      </c>
      <c r="M78" s="18">
        <v>10.0</v>
      </c>
      <c r="N78" s="18">
        <v>39.0</v>
      </c>
      <c r="O78" s="18">
        <v>12.0</v>
      </c>
      <c r="P78" s="20">
        <f t="shared" si="1"/>
        <v>4.015455943</v>
      </c>
      <c r="Q78" s="20">
        <f t="shared" si="2"/>
        <v>2.303168951</v>
      </c>
      <c r="R78" s="24"/>
      <c r="S78" s="20">
        <v>4.0154559427425385</v>
      </c>
      <c r="T78" s="22">
        <v>0.68</v>
      </c>
      <c r="U78" s="30"/>
      <c r="V78" s="30"/>
      <c r="W78" s="18">
        <v>1.0</v>
      </c>
      <c r="X78" s="22">
        <f t="shared" si="8"/>
        <v>0.6742024718</v>
      </c>
      <c r="Y78" s="20">
        <f t="shared" si="4"/>
        <v>45.03694574</v>
      </c>
      <c r="Z78" s="20">
        <f t="shared" si="6"/>
        <v>42.73377679</v>
      </c>
      <c r="AA78" s="20"/>
      <c r="AB78" s="20">
        <f>IFERROR(__xludf.DUMMYFUNCTION("iferror(PERCENTRANK.INC(FILTER($X$2:$X$423, $U$2:$U$423&lt;3.75), $X78), 1)"),0.763)</f>
        <v>0.763</v>
      </c>
      <c r="AC78" s="20">
        <f>IFERROR(__xludf.DUMMYFUNCTION("iferror(PERCENTRANK.INC(FILTER($X$2:$X$423, $U$2:$U$423&lt;4.25), $X78), 1)"),0.74)</f>
        <v>0.74</v>
      </c>
      <c r="AD78" s="20">
        <f>IFERROR(__xludf.DUMMYFUNCTION("iferror(PERCENTRANK.INC(FILTER($X$2:$X$423, $U$2:$U$423&gt;=4.1), $X78), 0.01)"),0.05)</f>
        <v>0.05</v>
      </c>
      <c r="AE78" s="20"/>
    </row>
    <row r="79" ht="14.25" customHeight="1">
      <c r="A79" s="17" t="s">
        <v>270</v>
      </c>
      <c r="B79" s="17" t="s">
        <v>271</v>
      </c>
      <c r="C79" s="18">
        <v>11.0</v>
      </c>
      <c r="D79" s="17" t="s">
        <v>98</v>
      </c>
      <c r="E79" s="17" t="s">
        <v>172</v>
      </c>
      <c r="F79" s="18">
        <v>412.0</v>
      </c>
      <c r="G79" s="18">
        <v>366.0</v>
      </c>
      <c r="H79" s="18">
        <v>213.0</v>
      </c>
      <c r="I79" s="19">
        <v>0.582</v>
      </c>
      <c r="J79" s="18">
        <v>2483.0</v>
      </c>
      <c r="K79" s="18">
        <v>6.8</v>
      </c>
      <c r="L79" s="18">
        <v>26.0</v>
      </c>
      <c r="M79" s="18">
        <v>10.0</v>
      </c>
      <c r="N79" s="18">
        <v>15.0</v>
      </c>
      <c r="O79" s="18">
        <v>10.0</v>
      </c>
      <c r="P79" s="20">
        <f t="shared" si="1"/>
        <v>4.00420831</v>
      </c>
      <c r="Q79" s="20">
        <f t="shared" si="2"/>
        <v>2.297835324</v>
      </c>
      <c r="R79" s="24"/>
      <c r="S79" s="20">
        <v>4.004208309512441</v>
      </c>
      <c r="T79" s="22">
        <v>2.1</v>
      </c>
      <c r="W79" s="25">
        <v>0.9</v>
      </c>
      <c r="X79" s="22">
        <f t="shared" si="8"/>
        <v>0.8555681218</v>
      </c>
      <c r="Y79" s="20">
        <f t="shared" si="4"/>
        <v>47.27954345</v>
      </c>
      <c r="Z79" s="20">
        <f t="shared" si="6"/>
        <v>44.98170813</v>
      </c>
      <c r="AA79" s="20"/>
      <c r="AB79" s="20">
        <f>IFERROR(__xludf.DUMMYFUNCTION("iferror(PERCENTRANK.INC(FILTER($X$2:$X$423, $U$2:$U$423&lt;3.75), $X79), 1)"),0.858)</f>
        <v>0.858</v>
      </c>
      <c r="AC79" s="20">
        <f>IFERROR(__xludf.DUMMYFUNCTION("iferror(PERCENTRANK.INC(FILTER($X$2:$X$423, $U$2:$U$423&lt;4.25), $X79), 1)"),0.833)</f>
        <v>0.833</v>
      </c>
      <c r="AD79" s="20">
        <f>IFERROR(__xludf.DUMMYFUNCTION("iferror(PERCENTRANK.INC(FILTER($X$2:$X$423, $U$2:$U$423&gt;=4.1), $X79), 0.01)"),0.053)</f>
        <v>0.053</v>
      </c>
      <c r="AE79" s="20"/>
    </row>
    <row r="80" ht="14.25" customHeight="1">
      <c r="A80" s="17" t="s">
        <v>272</v>
      </c>
      <c r="B80" s="17" t="s">
        <v>273</v>
      </c>
      <c r="C80" s="18">
        <v>9.0</v>
      </c>
      <c r="D80" s="17" t="s">
        <v>98</v>
      </c>
      <c r="E80" s="17" t="s">
        <v>179</v>
      </c>
      <c r="F80" s="18">
        <v>483.0</v>
      </c>
      <c r="G80" s="18">
        <v>397.0</v>
      </c>
      <c r="H80" s="18">
        <v>236.0</v>
      </c>
      <c r="I80" s="19">
        <v>0.595</v>
      </c>
      <c r="J80" s="18">
        <v>2769.0</v>
      </c>
      <c r="K80" s="18">
        <v>7.0</v>
      </c>
      <c r="L80" s="18">
        <v>19.0</v>
      </c>
      <c r="M80" s="18">
        <v>7.0</v>
      </c>
      <c r="N80" s="18">
        <v>27.0</v>
      </c>
      <c r="O80" s="18">
        <v>13.0</v>
      </c>
      <c r="P80" s="20">
        <f t="shared" si="1"/>
        <v>3.997267905</v>
      </c>
      <c r="Q80" s="20">
        <f t="shared" si="2"/>
        <v>2.294544184</v>
      </c>
      <c r="R80" s="24"/>
      <c r="S80" s="20">
        <v>3.9972679053303506</v>
      </c>
      <c r="T80" s="28">
        <v>-10.0</v>
      </c>
      <c r="W80" s="25">
        <v>0.9</v>
      </c>
      <c r="X80" s="22">
        <f t="shared" ref="X80:X112" si="9">IFERROR((U80*0.7+T80*0.15+S80*0.15*W85),0)</f>
        <v>-0.9603688328</v>
      </c>
      <c r="Y80" s="20">
        <f t="shared" si="4"/>
        <v>24.82536835</v>
      </c>
      <c r="Z80" s="20">
        <f t="shared" si="6"/>
        <v>22.53082416</v>
      </c>
      <c r="AA80" s="20"/>
      <c r="AB80" s="20">
        <f>IFERROR(__xludf.DUMMYFUNCTION("iferror(PERCENTRANK.INC(FILTER($X$2:$X$423, $U$2:$U$423&lt;3.75), $X80), 1)"),0.015)</f>
        <v>0.015</v>
      </c>
      <c r="AC80" s="20">
        <f>IFERROR(__xludf.DUMMYFUNCTION("iferror(PERCENTRANK.INC(FILTER($X$2:$X$423, $U$2:$U$423&lt;4.25), $X80), 1)"),0.015)</f>
        <v>0.015</v>
      </c>
      <c r="AD80" s="20">
        <f>IFERROR(__xludf.DUMMYFUNCTION("iferror(PERCENTRANK.INC(FILTER($X$2:$X$423, $U$2:$U$423&gt;=4.1), $X80), 0.01)"),0.01)</f>
        <v>0.01</v>
      </c>
      <c r="AE80" s="20"/>
    </row>
    <row r="81" ht="14.25" customHeight="1">
      <c r="A81" s="17" t="s">
        <v>274</v>
      </c>
      <c r="B81" s="17" t="s">
        <v>275</v>
      </c>
      <c r="C81" s="18">
        <v>4.0</v>
      </c>
      <c r="D81" s="17" t="s">
        <v>98</v>
      </c>
      <c r="E81" s="17" t="s">
        <v>155</v>
      </c>
      <c r="F81" s="18">
        <v>502.0</v>
      </c>
      <c r="G81" s="18">
        <v>432.0</v>
      </c>
      <c r="H81" s="18">
        <v>282.0</v>
      </c>
      <c r="I81" s="19">
        <v>0.653</v>
      </c>
      <c r="J81" s="18">
        <v>3128.0</v>
      </c>
      <c r="K81" s="18">
        <v>7.2</v>
      </c>
      <c r="L81" s="18">
        <v>22.0</v>
      </c>
      <c r="M81" s="18">
        <v>10.0</v>
      </c>
      <c r="N81" s="18">
        <v>27.0</v>
      </c>
      <c r="O81" s="18">
        <v>14.0</v>
      </c>
      <c r="P81" s="20">
        <f t="shared" si="1"/>
        <v>4.075260214</v>
      </c>
      <c r="Q81" s="20">
        <f t="shared" si="2"/>
        <v>2.331528134</v>
      </c>
      <c r="R81" s="29"/>
      <c r="S81" s="20">
        <v>4.075260213516305</v>
      </c>
      <c r="T81" s="22">
        <v>1.48</v>
      </c>
      <c r="U81" s="31"/>
      <c r="V81" s="30"/>
      <c r="W81" s="18">
        <v>0.9</v>
      </c>
      <c r="X81" s="22">
        <f t="shared" si="9"/>
        <v>0.8027245804</v>
      </c>
      <c r="Y81" s="20">
        <f t="shared" si="4"/>
        <v>46.62612973</v>
      </c>
      <c r="Z81" s="20">
        <f t="shared" si="6"/>
        <v>44.29460159</v>
      </c>
      <c r="AA81" s="20"/>
      <c r="AB81" s="20">
        <f>IFERROR(__xludf.DUMMYFUNCTION("iferror(PERCENTRANK.INC(FILTER($X$2:$X$423, $U$2:$U$423&lt;3.75), $X81), 1)"),0.83)</f>
        <v>0.83</v>
      </c>
      <c r="AC81" s="20">
        <f>IFERROR(__xludf.DUMMYFUNCTION("iferror(PERCENTRANK.INC(FILTER($X$2:$X$423, $U$2:$U$423&lt;4.25), $X81), 1)"),0.805)</f>
        <v>0.805</v>
      </c>
      <c r="AD81" s="20">
        <f>IFERROR(__xludf.DUMMYFUNCTION("iferror(PERCENTRANK.INC(FILTER($X$2:$X$423, $U$2:$U$423&gt;=4.1), $X81), 0.01)"),0.052)</f>
        <v>0.052</v>
      </c>
      <c r="AE81" s="20"/>
    </row>
    <row r="82" ht="14.25" customHeight="1">
      <c r="A82" s="17" t="s">
        <v>276</v>
      </c>
      <c r="B82" s="17" t="s">
        <v>277</v>
      </c>
      <c r="C82" s="18">
        <v>12.0</v>
      </c>
      <c r="D82" s="17" t="s">
        <v>98</v>
      </c>
      <c r="E82" s="17" t="s">
        <v>132</v>
      </c>
      <c r="F82" s="18">
        <v>457.0</v>
      </c>
      <c r="G82" s="18">
        <v>398.0</v>
      </c>
      <c r="H82" s="18">
        <v>257.0</v>
      </c>
      <c r="I82" s="19">
        <v>0.646</v>
      </c>
      <c r="J82" s="18">
        <v>2866.0</v>
      </c>
      <c r="K82" s="18">
        <v>7.2</v>
      </c>
      <c r="L82" s="18">
        <v>21.0</v>
      </c>
      <c r="M82" s="18">
        <v>9.0</v>
      </c>
      <c r="N82" s="18">
        <v>23.0</v>
      </c>
      <c r="O82" s="18">
        <v>12.0</v>
      </c>
      <c r="P82" s="20">
        <f t="shared" si="1"/>
        <v>3.950873169</v>
      </c>
      <c r="Q82" s="20">
        <f t="shared" si="2"/>
        <v>2.272543802</v>
      </c>
      <c r="R82" s="24"/>
      <c r="S82" s="20">
        <v>3.9508731694138084</v>
      </c>
      <c r="T82" s="22">
        <v>2.66</v>
      </c>
      <c r="W82" s="25">
        <v>0.95</v>
      </c>
      <c r="X82" s="22">
        <f t="shared" si="9"/>
        <v>0.9619994266</v>
      </c>
      <c r="Y82" s="20">
        <f t="shared" si="4"/>
        <v>48.59557326</v>
      </c>
      <c r="Z82" s="20">
        <f t="shared" si="6"/>
        <v>46.32302945</v>
      </c>
      <c r="AA82" s="20"/>
      <c r="AB82" s="20">
        <f>IFERROR(__xludf.DUMMYFUNCTION("iferror(PERCENTRANK.INC(FILTER($X$2:$X$423, $U$2:$U$423&lt;3.75), $X82), 1)"),0.923)</f>
        <v>0.923</v>
      </c>
      <c r="AC82" s="20">
        <f>IFERROR(__xludf.DUMMYFUNCTION("iferror(PERCENTRANK.INC(FILTER($X$2:$X$423, $U$2:$U$423&lt;4.25), $X82), 1)"),0.895)</f>
        <v>0.895</v>
      </c>
      <c r="AD82" s="20">
        <f>IFERROR(__xludf.DUMMYFUNCTION("iferror(PERCENTRANK.INC(FILTER($X$2:$X$423, $U$2:$U$423&gt;=4.1), $X82), 0.01)"),0.055)</f>
        <v>0.055</v>
      </c>
      <c r="AE82" s="20"/>
    </row>
    <row r="83" ht="14.25" customHeight="1">
      <c r="A83" s="17" t="s">
        <v>278</v>
      </c>
      <c r="B83" s="17" t="s">
        <v>279</v>
      </c>
      <c r="C83" s="18">
        <v>1.0</v>
      </c>
      <c r="D83" s="17" t="s">
        <v>98</v>
      </c>
      <c r="E83" s="17" t="s">
        <v>127</v>
      </c>
      <c r="F83" s="18">
        <v>296.0</v>
      </c>
      <c r="G83" s="18">
        <v>277.0</v>
      </c>
      <c r="H83" s="18">
        <v>169.0</v>
      </c>
      <c r="I83" s="19">
        <v>0.61</v>
      </c>
      <c r="J83" s="18">
        <v>2401.0</v>
      </c>
      <c r="K83" s="18">
        <v>8.7</v>
      </c>
      <c r="L83" s="18">
        <v>18.0</v>
      </c>
      <c r="M83" s="18">
        <v>6.0</v>
      </c>
      <c r="N83" s="18">
        <v>8.0</v>
      </c>
      <c r="O83" s="18">
        <v>9.0</v>
      </c>
      <c r="P83" s="20">
        <f t="shared" si="1"/>
        <v>4.050050193</v>
      </c>
      <c r="Q83" s="20">
        <f t="shared" si="2"/>
        <v>2.319573543</v>
      </c>
      <c r="R83" s="24"/>
      <c r="S83" s="20">
        <v>4.05005019318958</v>
      </c>
      <c r="T83" s="22">
        <v>0.86</v>
      </c>
      <c r="W83" s="25">
        <v>0.9</v>
      </c>
      <c r="X83" s="22">
        <f t="shared" si="9"/>
        <v>0.6757567761</v>
      </c>
      <c r="Y83" s="20">
        <f t="shared" si="4"/>
        <v>45.05616481</v>
      </c>
      <c r="Z83" s="20">
        <f t="shared" si="6"/>
        <v>42.73659126</v>
      </c>
      <c r="AA83" s="20"/>
      <c r="AB83" s="20">
        <f>IFERROR(__xludf.DUMMYFUNCTION("iferror(PERCENTRANK.INC(FILTER($X$2:$X$423, $U$2:$U$423&lt;3.75), $X83), 1)"),0.765)</f>
        <v>0.765</v>
      </c>
      <c r="AC83" s="20">
        <f>IFERROR(__xludf.DUMMYFUNCTION("iferror(PERCENTRANK.INC(FILTER($X$2:$X$423, $U$2:$U$423&lt;4.25), $X83), 1)"),0.743)</f>
        <v>0.743</v>
      </c>
      <c r="AD83" s="20">
        <f>IFERROR(__xludf.DUMMYFUNCTION("iferror(PERCENTRANK.INC(FILTER($X$2:$X$423, $U$2:$U$423&gt;=4.1), $X83), 0.01)"),0.05)</f>
        <v>0.05</v>
      </c>
      <c r="AE83" s="20"/>
    </row>
    <row r="84" ht="14.25" customHeight="1">
      <c r="A84" s="17" t="s">
        <v>280</v>
      </c>
      <c r="B84" s="17" t="s">
        <v>281</v>
      </c>
      <c r="C84" s="18">
        <v>2.0</v>
      </c>
      <c r="D84" s="17" t="s">
        <v>98</v>
      </c>
      <c r="E84" s="17" t="s">
        <v>210</v>
      </c>
      <c r="F84" s="18">
        <v>346.0</v>
      </c>
      <c r="G84" s="18">
        <v>313.0</v>
      </c>
      <c r="H84" s="18">
        <v>173.0</v>
      </c>
      <c r="I84" s="19">
        <v>0.553</v>
      </c>
      <c r="J84" s="18">
        <v>2082.0</v>
      </c>
      <c r="K84" s="18">
        <v>6.7</v>
      </c>
      <c r="L84" s="18">
        <v>26.0</v>
      </c>
      <c r="M84" s="18">
        <v>8.0</v>
      </c>
      <c r="N84" s="18">
        <v>17.0</v>
      </c>
      <c r="O84" s="18">
        <v>15.0</v>
      </c>
      <c r="P84" s="20">
        <f t="shared" si="1"/>
        <v>4.039999394</v>
      </c>
      <c r="Q84" s="20">
        <f t="shared" si="2"/>
        <v>2.314807454</v>
      </c>
      <c r="R84" s="29"/>
      <c r="S84" s="20">
        <v>4.039999393876157</v>
      </c>
      <c r="T84" s="22">
        <v>1.53</v>
      </c>
      <c r="U84" s="31"/>
      <c r="V84" s="30"/>
      <c r="W84" s="18">
        <v>0.9</v>
      </c>
      <c r="X84" s="22">
        <f t="shared" si="9"/>
        <v>0.7748999182</v>
      </c>
      <c r="Y84" s="20">
        <f t="shared" si="4"/>
        <v>46.28207602</v>
      </c>
      <c r="Z84" s="20">
        <f t="shared" si="6"/>
        <v>43.96726856</v>
      </c>
      <c r="AA84" s="20"/>
      <c r="AB84" s="20">
        <f>IFERROR(__xludf.DUMMYFUNCTION("iferror(PERCENTRANK.INC(FILTER($X$2:$X$423, $U$2:$U$423&lt;3.75), $X84), 1)"),0.814)</f>
        <v>0.814</v>
      </c>
      <c r="AC84" s="20">
        <f>IFERROR(__xludf.DUMMYFUNCTION("iferror(PERCENTRANK.INC(FILTER($X$2:$X$423, $U$2:$U$423&lt;4.25), $X84), 1)"),0.79)</f>
        <v>0.79</v>
      </c>
      <c r="AD84" s="20">
        <f>IFERROR(__xludf.DUMMYFUNCTION("iferror(PERCENTRANK.INC(FILTER($X$2:$X$423, $U$2:$U$423&gt;=4.1), $X84), 0.01)"),0.052)</f>
        <v>0.052</v>
      </c>
      <c r="AE84" s="20"/>
    </row>
    <row r="85" ht="14.25" customHeight="1">
      <c r="A85" s="17" t="s">
        <v>282</v>
      </c>
      <c r="B85" s="17" t="s">
        <v>283</v>
      </c>
      <c r="C85" s="18">
        <v>2.0</v>
      </c>
      <c r="D85" s="17" t="s">
        <v>98</v>
      </c>
      <c r="E85" s="17" t="s">
        <v>124</v>
      </c>
      <c r="F85" s="18">
        <v>282.0</v>
      </c>
      <c r="G85" s="18">
        <v>252.0</v>
      </c>
      <c r="H85" s="18">
        <v>156.0</v>
      </c>
      <c r="I85" s="19">
        <v>0.619</v>
      </c>
      <c r="J85" s="18">
        <v>2125.0</v>
      </c>
      <c r="K85" s="18">
        <v>8.4</v>
      </c>
      <c r="L85" s="18">
        <v>17.0</v>
      </c>
      <c r="M85" s="18">
        <v>4.0</v>
      </c>
      <c r="N85" s="18">
        <v>16.0</v>
      </c>
      <c r="O85" s="18">
        <v>10.0</v>
      </c>
      <c r="P85" s="20">
        <f t="shared" si="1"/>
        <v>4.03184938</v>
      </c>
      <c r="Q85" s="20">
        <f t="shared" si="2"/>
        <v>2.310942718</v>
      </c>
      <c r="R85" s="29"/>
      <c r="S85" s="20">
        <v>4.031849379601486</v>
      </c>
      <c r="T85" s="22">
        <v>1.01</v>
      </c>
      <c r="U85" s="31"/>
      <c r="V85" s="30"/>
      <c r="W85" s="18">
        <v>0.9</v>
      </c>
      <c r="X85" s="22">
        <f t="shared" si="9"/>
        <v>0.7260385366</v>
      </c>
      <c r="Y85" s="20">
        <f t="shared" si="4"/>
        <v>45.67790195</v>
      </c>
      <c r="Z85" s="20">
        <f t="shared" si="6"/>
        <v>43.36695923</v>
      </c>
      <c r="AA85" s="20"/>
      <c r="AB85" s="20">
        <f>IFERROR(__xludf.DUMMYFUNCTION("iferror(PERCENTRANK.INC(FILTER($X$2:$X$423, $U$2:$U$423&lt;3.75), $X85), 1)"),0.789)</f>
        <v>0.789</v>
      </c>
      <c r="AC85" s="20">
        <f>IFERROR(__xludf.DUMMYFUNCTION("iferror(PERCENTRANK.INC(FILTER($X$2:$X$423, $U$2:$U$423&lt;4.25), $X85), 1)"),0.765)</f>
        <v>0.765</v>
      </c>
      <c r="AD85" s="20">
        <f>IFERROR(__xludf.DUMMYFUNCTION("iferror(PERCENTRANK.INC(FILTER($X$2:$X$423, $U$2:$U$423&gt;=4.1), $X85), 0.01)"),0.051)</f>
        <v>0.051</v>
      </c>
      <c r="AE85" s="20"/>
    </row>
    <row r="86" ht="14.25" customHeight="1">
      <c r="A86" s="17" t="s">
        <v>284</v>
      </c>
      <c r="B86" s="17" t="s">
        <v>285</v>
      </c>
      <c r="C86" s="18">
        <v>12.0</v>
      </c>
      <c r="D86" s="17" t="s">
        <v>98</v>
      </c>
      <c r="E86" s="17" t="s">
        <v>117</v>
      </c>
      <c r="F86" s="18">
        <v>463.0</v>
      </c>
      <c r="G86" s="18">
        <v>384.0</v>
      </c>
      <c r="H86" s="18">
        <v>231.0</v>
      </c>
      <c r="I86" s="19">
        <v>0.602</v>
      </c>
      <c r="J86" s="18">
        <v>2769.0</v>
      </c>
      <c r="K86" s="18">
        <v>7.2</v>
      </c>
      <c r="L86" s="18">
        <v>19.0</v>
      </c>
      <c r="M86" s="18">
        <v>8.0</v>
      </c>
      <c r="N86" s="18">
        <v>29.0</v>
      </c>
      <c r="O86" s="18">
        <v>11.0</v>
      </c>
      <c r="P86" s="20">
        <f t="shared" si="1"/>
        <v>3.821862344</v>
      </c>
      <c r="Q86" s="20">
        <f t="shared" si="2"/>
        <v>2.211366874</v>
      </c>
      <c r="R86" s="24"/>
      <c r="S86" s="20">
        <v>3.821862344132469</v>
      </c>
      <c r="T86" s="22">
        <v>-1.33</v>
      </c>
      <c r="U86" s="30"/>
      <c r="V86" s="30"/>
      <c r="W86" s="18">
        <v>0.95</v>
      </c>
      <c r="X86" s="22">
        <f t="shared" si="9"/>
        <v>0.345115384</v>
      </c>
      <c r="Y86" s="20">
        <f t="shared" si="4"/>
        <v>40.96776312</v>
      </c>
      <c r="Z86" s="20">
        <f t="shared" si="6"/>
        <v>38.75639624</v>
      </c>
      <c r="AA86" s="20"/>
      <c r="AB86" s="20">
        <f>IFERROR(__xludf.DUMMYFUNCTION("iferror(PERCENTRANK.INC(FILTER($X$2:$X$423, $U$2:$U$423&lt;3.75), $X86), 1)"),0.572)</f>
        <v>0.572</v>
      </c>
      <c r="AC86" s="20">
        <f>IFERROR(__xludf.DUMMYFUNCTION("iferror(PERCENTRANK.INC(FILTER($X$2:$X$423, $U$2:$U$423&lt;4.25), $X86), 1)"),0.555)</f>
        <v>0.555</v>
      </c>
      <c r="AD86" s="20">
        <f>IFERROR(__xludf.DUMMYFUNCTION("iferror(PERCENTRANK.INC(FILTER($X$2:$X$423, $U$2:$U$423&gt;=4.1), $X86), 0.01)"),0.045)</f>
        <v>0.045</v>
      </c>
      <c r="AE86" s="20"/>
    </row>
    <row r="87" ht="14.25" customHeight="1">
      <c r="A87" s="17" t="s">
        <v>286</v>
      </c>
      <c r="B87" s="17" t="s">
        <v>287</v>
      </c>
      <c r="C87" s="18">
        <v>14.0</v>
      </c>
      <c r="D87" s="17" t="s">
        <v>98</v>
      </c>
      <c r="E87" s="17" t="s">
        <v>117</v>
      </c>
      <c r="F87" s="18">
        <v>345.0</v>
      </c>
      <c r="G87" s="18">
        <v>315.0</v>
      </c>
      <c r="H87" s="18">
        <v>189.0</v>
      </c>
      <c r="I87" s="19">
        <v>0.6</v>
      </c>
      <c r="J87" s="18">
        <v>2473.0</v>
      </c>
      <c r="K87" s="18">
        <v>7.8</v>
      </c>
      <c r="L87" s="18">
        <v>20.0</v>
      </c>
      <c r="M87" s="18">
        <v>7.0</v>
      </c>
      <c r="N87" s="18">
        <v>16.0</v>
      </c>
      <c r="O87" s="18">
        <v>8.0</v>
      </c>
      <c r="P87" s="20">
        <f t="shared" si="1"/>
        <v>4.007905728</v>
      </c>
      <c r="Q87" s="20">
        <f t="shared" si="2"/>
        <v>2.299588639</v>
      </c>
      <c r="R87" s="24"/>
      <c r="S87" s="20">
        <v>4.007905728088337</v>
      </c>
      <c r="T87" s="22">
        <v>1.15</v>
      </c>
      <c r="U87" s="30"/>
      <c r="V87" s="30"/>
      <c r="W87" s="18">
        <v>0.95</v>
      </c>
      <c r="X87" s="22">
        <f t="shared" si="9"/>
        <v>0.7135672733</v>
      </c>
      <c r="Y87" s="20">
        <f t="shared" si="4"/>
        <v>45.52369399</v>
      </c>
      <c r="Z87" s="20">
        <f t="shared" si="6"/>
        <v>43.22410535</v>
      </c>
      <c r="AA87" s="20"/>
      <c r="AB87" s="20">
        <f>IFERROR(__xludf.DUMMYFUNCTION("iferror(PERCENTRANK.INC(FILTER($X$2:$X$423, $U$2:$U$423&lt;3.75), $X87), 1)"),0.778)</f>
        <v>0.778</v>
      </c>
      <c r="AC87" s="20">
        <f>IFERROR(__xludf.DUMMYFUNCTION("iferror(PERCENTRANK.INC(FILTER($X$2:$X$423, $U$2:$U$423&lt;4.25), $X87), 1)"),0.755)</f>
        <v>0.755</v>
      </c>
      <c r="AD87" s="20">
        <f>IFERROR(__xludf.DUMMYFUNCTION("iferror(PERCENTRANK.INC(FILTER($X$2:$X$423, $U$2:$U$423&gt;=4.1), $X87), 0.01)"),0.051)</f>
        <v>0.051</v>
      </c>
      <c r="AE87" s="20"/>
    </row>
    <row r="88" ht="14.25" customHeight="1">
      <c r="A88" s="17" t="s">
        <v>288</v>
      </c>
      <c r="B88" s="17" t="s">
        <v>289</v>
      </c>
      <c r="C88" s="18">
        <v>7.0</v>
      </c>
      <c r="D88" s="17" t="s">
        <v>98</v>
      </c>
      <c r="E88" s="17" t="s">
        <v>172</v>
      </c>
      <c r="F88" s="18">
        <v>245.0</v>
      </c>
      <c r="G88" s="18">
        <v>201.0</v>
      </c>
      <c r="H88" s="18">
        <v>131.0</v>
      </c>
      <c r="I88" s="19">
        <v>0.652</v>
      </c>
      <c r="J88" s="18">
        <v>1708.0</v>
      </c>
      <c r="K88" s="18">
        <v>8.5</v>
      </c>
      <c r="L88" s="18">
        <v>14.0</v>
      </c>
      <c r="M88" s="18">
        <v>2.0</v>
      </c>
      <c r="N88" s="18">
        <v>16.0</v>
      </c>
      <c r="O88" s="18">
        <v>3.0</v>
      </c>
      <c r="P88" s="20">
        <f t="shared" si="1"/>
        <v>3.763717579</v>
      </c>
      <c r="Q88" s="20">
        <f t="shared" si="2"/>
        <v>2.183794628</v>
      </c>
      <c r="R88" s="24"/>
      <c r="S88" s="20">
        <v>3.7637175790435577</v>
      </c>
      <c r="T88" s="22">
        <v>1.27</v>
      </c>
      <c r="U88" s="30"/>
      <c r="V88" s="30"/>
      <c r="W88" s="18">
        <v>0.9</v>
      </c>
      <c r="X88" s="22">
        <f t="shared" si="9"/>
        <v>0.726829755</v>
      </c>
      <c r="Y88" s="20">
        <f t="shared" si="4"/>
        <v>45.68768542</v>
      </c>
      <c r="Z88" s="20">
        <f t="shared" si="6"/>
        <v>43.50389079</v>
      </c>
      <c r="AA88" s="20"/>
      <c r="AB88" s="20">
        <f>IFERROR(__xludf.DUMMYFUNCTION("iferror(PERCENTRANK.INC(FILTER($X$2:$X$423, $U$2:$U$423&lt;3.75), $X88), 1)"),0.794)</f>
        <v>0.794</v>
      </c>
      <c r="AC88" s="20">
        <f>IFERROR(__xludf.DUMMYFUNCTION("iferror(PERCENTRANK.INC(FILTER($X$2:$X$423, $U$2:$U$423&lt;4.25), $X88), 1)"),0.77)</f>
        <v>0.77</v>
      </c>
      <c r="AD88" s="20">
        <f>IFERROR(__xludf.DUMMYFUNCTION("iferror(PERCENTRANK.INC(FILTER($X$2:$X$423, $U$2:$U$423&gt;=4.1), $X88), 0.01)"),0.051)</f>
        <v>0.051</v>
      </c>
      <c r="AE88" s="20"/>
    </row>
    <row r="89" ht="14.25" customHeight="1">
      <c r="A89" s="17" t="s">
        <v>290</v>
      </c>
      <c r="B89" s="17" t="s">
        <v>291</v>
      </c>
      <c r="C89" s="18">
        <v>4.0</v>
      </c>
      <c r="D89" s="17" t="s">
        <v>98</v>
      </c>
      <c r="E89" s="17" t="s">
        <v>138</v>
      </c>
      <c r="F89" s="18">
        <v>259.0</v>
      </c>
      <c r="G89" s="18">
        <v>245.0</v>
      </c>
      <c r="H89" s="18">
        <v>154.0</v>
      </c>
      <c r="I89" s="19">
        <v>0.629</v>
      </c>
      <c r="J89" s="18">
        <v>2197.0</v>
      </c>
      <c r="K89" s="18">
        <v>9.0</v>
      </c>
      <c r="L89" s="18">
        <v>18.0</v>
      </c>
      <c r="M89" s="18">
        <v>6.0</v>
      </c>
      <c r="N89" s="18">
        <v>2.0</v>
      </c>
      <c r="O89" s="18">
        <v>7.0</v>
      </c>
      <c r="P89" s="20">
        <f t="shared" si="1"/>
        <v>3.951423849</v>
      </c>
      <c r="Q89" s="20">
        <f t="shared" si="2"/>
        <v>2.272804935</v>
      </c>
      <c r="R89" s="29"/>
      <c r="S89" s="20">
        <v>3.951423849420849</v>
      </c>
      <c r="T89" s="22">
        <v>1.52</v>
      </c>
      <c r="U89" s="31"/>
      <c r="V89" s="30"/>
      <c r="W89" s="18">
        <v>0.9</v>
      </c>
      <c r="X89" s="22">
        <f t="shared" si="9"/>
        <v>0.7910778985</v>
      </c>
      <c r="Y89" s="20">
        <f t="shared" si="4"/>
        <v>46.48211777</v>
      </c>
      <c r="Z89" s="20">
        <f t="shared" si="6"/>
        <v>44.20931283</v>
      </c>
      <c r="AA89" s="20"/>
      <c r="AB89" s="20">
        <f>IFERROR(__xludf.DUMMYFUNCTION("iferror(PERCENTRANK.INC(FILTER($X$2:$X$423, $U$2:$U$423&lt;3.75), $X89), 1)"),0.817)</f>
        <v>0.817</v>
      </c>
      <c r="AC89" s="20">
        <f>IFERROR(__xludf.DUMMYFUNCTION("iferror(PERCENTRANK.INC(FILTER($X$2:$X$423, $U$2:$U$423&lt;4.25), $X89), 1)"),0.793)</f>
        <v>0.793</v>
      </c>
      <c r="AD89" s="20">
        <f>IFERROR(__xludf.DUMMYFUNCTION("iferror(PERCENTRANK.INC(FILTER($X$2:$X$423, $U$2:$U$423&gt;=4.1), $X89), 0.01)"),0.052)</f>
        <v>0.052</v>
      </c>
      <c r="AE89" s="20"/>
    </row>
    <row r="90" ht="14.25" customHeight="1">
      <c r="A90" s="17" t="s">
        <v>292</v>
      </c>
      <c r="B90" s="17" t="s">
        <v>293</v>
      </c>
      <c r="C90" s="18">
        <v>7.0</v>
      </c>
      <c r="D90" s="17" t="s">
        <v>98</v>
      </c>
      <c r="E90" s="17" t="s">
        <v>117</v>
      </c>
      <c r="F90" s="18">
        <v>317.0</v>
      </c>
      <c r="G90" s="18">
        <v>277.0</v>
      </c>
      <c r="H90" s="18">
        <v>175.0</v>
      </c>
      <c r="I90" s="19">
        <v>0.632</v>
      </c>
      <c r="J90" s="18">
        <v>2099.0</v>
      </c>
      <c r="K90" s="18">
        <v>7.6</v>
      </c>
      <c r="L90" s="18">
        <v>17.0</v>
      </c>
      <c r="M90" s="18">
        <v>5.0</v>
      </c>
      <c r="N90" s="18">
        <v>9.0</v>
      </c>
      <c r="O90" s="18">
        <v>8.0</v>
      </c>
      <c r="P90" s="20">
        <f t="shared" si="1"/>
        <v>3.73612814</v>
      </c>
      <c r="Q90" s="20">
        <f t="shared" si="2"/>
        <v>2.170711717</v>
      </c>
      <c r="R90" s="24"/>
      <c r="S90" s="20">
        <v>3.7361281396667767</v>
      </c>
      <c r="T90" s="22">
        <v>2.12</v>
      </c>
      <c r="U90" s="30"/>
      <c r="V90" s="30"/>
      <c r="W90" s="18">
        <v>0.95</v>
      </c>
      <c r="X90" s="22">
        <f t="shared" si="9"/>
        <v>0.8223772989</v>
      </c>
      <c r="Y90" s="20">
        <f t="shared" si="4"/>
        <v>46.86913683</v>
      </c>
      <c r="Z90" s="20">
        <f t="shared" si="6"/>
        <v>44.69842511</v>
      </c>
      <c r="AA90" s="20"/>
      <c r="AB90" s="20">
        <f>IFERROR(__xludf.DUMMYFUNCTION("iferror(PERCENTRANK.INC(FILTER($X$2:$X$423, $U$2:$U$423&lt;3.75), $X90), 1)"),0.838)</f>
        <v>0.838</v>
      </c>
      <c r="AC90" s="20">
        <f>IFERROR(__xludf.DUMMYFUNCTION("iferror(PERCENTRANK.INC(FILTER($X$2:$X$423, $U$2:$U$423&lt;4.25), $X90), 1)"),0.813)</f>
        <v>0.813</v>
      </c>
      <c r="AD90" s="20">
        <f>IFERROR(__xludf.DUMMYFUNCTION("iferror(PERCENTRANK.INC(FILTER($X$2:$X$423, $U$2:$U$423&gt;=4.1), $X90), 0.01)"),0.053)</f>
        <v>0.053</v>
      </c>
      <c r="AE90" s="20"/>
    </row>
    <row r="91" ht="14.25" customHeight="1">
      <c r="A91" s="17" t="s">
        <v>294</v>
      </c>
      <c r="B91" s="17" t="s">
        <v>295</v>
      </c>
      <c r="C91" s="18">
        <v>12.0</v>
      </c>
      <c r="D91" s="17" t="s">
        <v>98</v>
      </c>
      <c r="E91" s="17" t="s">
        <v>158</v>
      </c>
      <c r="F91" s="18">
        <v>386.0</v>
      </c>
      <c r="G91" s="18">
        <v>352.0</v>
      </c>
      <c r="H91" s="18">
        <v>212.0</v>
      </c>
      <c r="I91" s="19">
        <v>0.602</v>
      </c>
      <c r="J91" s="18">
        <v>2753.0</v>
      </c>
      <c r="K91" s="18">
        <v>7.8</v>
      </c>
      <c r="L91" s="18">
        <v>14.0</v>
      </c>
      <c r="M91" s="18">
        <v>6.0</v>
      </c>
      <c r="N91" s="18">
        <v>7.0</v>
      </c>
      <c r="O91" s="18">
        <v>17.0</v>
      </c>
      <c r="P91" s="20">
        <f t="shared" si="1"/>
        <v>3.721842921</v>
      </c>
      <c r="Q91" s="20">
        <f t="shared" si="2"/>
        <v>2.163937667</v>
      </c>
      <c r="R91" s="29"/>
      <c r="S91" s="20">
        <v>3.7218429213377293</v>
      </c>
      <c r="T91" s="22">
        <v>0.92</v>
      </c>
      <c r="U91" s="31"/>
      <c r="V91" s="30"/>
      <c r="W91" s="18">
        <v>0.95</v>
      </c>
      <c r="X91" s="22">
        <f t="shared" si="9"/>
        <v>0.6683626163</v>
      </c>
      <c r="Y91" s="20">
        <f t="shared" si="4"/>
        <v>44.96473555</v>
      </c>
      <c r="Z91" s="20">
        <f t="shared" si="6"/>
        <v>42.80079789</v>
      </c>
      <c r="AA91" s="20"/>
      <c r="AB91" s="20">
        <f>IFERROR(__xludf.DUMMYFUNCTION("iferror(PERCENTRANK.INC(FILTER($X$2:$X$423, $U$2:$U$423&lt;3.75), $X91), 1)"),0.76)</f>
        <v>0.76</v>
      </c>
      <c r="AC91" s="20">
        <f>IFERROR(__xludf.DUMMYFUNCTION("iferror(PERCENTRANK.INC(FILTER($X$2:$X$423, $U$2:$U$423&lt;4.25), $X91), 1)"),0.738)</f>
        <v>0.738</v>
      </c>
      <c r="AD91" s="20">
        <f>IFERROR(__xludf.DUMMYFUNCTION("iferror(PERCENTRANK.INC(FILTER($X$2:$X$423, $U$2:$U$423&gt;=4.1), $X91), 0.01)"),0.05)</f>
        <v>0.05</v>
      </c>
      <c r="AE91" s="20"/>
    </row>
    <row r="92" ht="14.25" customHeight="1">
      <c r="A92" s="17" t="s">
        <v>296</v>
      </c>
      <c r="B92" s="17" t="s">
        <v>297</v>
      </c>
      <c r="C92" s="18">
        <v>15.0</v>
      </c>
      <c r="D92" s="17" t="s">
        <v>98</v>
      </c>
      <c r="E92" s="17" t="s">
        <v>114</v>
      </c>
      <c r="F92" s="18">
        <v>305.0</v>
      </c>
      <c r="G92" s="18">
        <v>284.0</v>
      </c>
      <c r="H92" s="18">
        <v>184.0</v>
      </c>
      <c r="I92" s="19">
        <v>0.648</v>
      </c>
      <c r="J92" s="18">
        <v>2151.0</v>
      </c>
      <c r="K92" s="18">
        <v>7.6</v>
      </c>
      <c r="L92" s="18">
        <v>18.0</v>
      </c>
      <c r="M92" s="18">
        <v>6.0</v>
      </c>
      <c r="N92" s="18">
        <v>15.0</v>
      </c>
      <c r="O92" s="18">
        <v>15.0</v>
      </c>
      <c r="P92" s="20">
        <f t="shared" si="1"/>
        <v>3.657902151</v>
      </c>
      <c r="Q92" s="20">
        <f t="shared" si="2"/>
        <v>2.133616956</v>
      </c>
      <c r="R92" s="24"/>
      <c r="S92" s="20">
        <v>3.6579021510043868</v>
      </c>
      <c r="T92" s="22">
        <v>-0.51</v>
      </c>
      <c r="U92" s="30"/>
      <c r="V92" s="30"/>
      <c r="W92" s="18">
        <v>0.9</v>
      </c>
      <c r="X92" s="22">
        <f t="shared" si="9"/>
        <v>0.4721853227</v>
      </c>
      <c r="Y92" s="20">
        <f t="shared" si="4"/>
        <v>42.53899093</v>
      </c>
      <c r="Z92" s="20">
        <f t="shared" si="6"/>
        <v>40.40537398</v>
      </c>
      <c r="AA92" s="20"/>
      <c r="AB92" s="20">
        <f>IFERROR(__xludf.DUMMYFUNCTION("iferror(PERCENTRANK.INC(FILTER($X$2:$X$423, $U$2:$U$423&lt;3.75), $X92), 1)"),0.637)</f>
        <v>0.637</v>
      </c>
      <c r="AC92" s="20">
        <f>IFERROR(__xludf.DUMMYFUNCTION("iferror(PERCENTRANK.INC(FILTER($X$2:$X$423, $U$2:$U$423&lt;4.25), $X92), 1)"),0.618)</f>
        <v>0.618</v>
      </c>
      <c r="AD92" s="20">
        <f>IFERROR(__xludf.DUMMYFUNCTION("iferror(PERCENTRANK.INC(FILTER($X$2:$X$423, $U$2:$U$423&gt;=4.1), $X92), 0.01)"),0.047)</f>
        <v>0.047</v>
      </c>
      <c r="AE92" s="20"/>
    </row>
    <row r="93" ht="14.25" customHeight="1">
      <c r="A93" s="17" t="s">
        <v>298</v>
      </c>
      <c r="B93" s="17" t="s">
        <v>299</v>
      </c>
      <c r="C93" s="18">
        <v>4.0</v>
      </c>
      <c r="D93" s="17" t="s">
        <v>98</v>
      </c>
      <c r="E93" s="17" t="s">
        <v>147</v>
      </c>
      <c r="F93" s="18">
        <v>364.0</v>
      </c>
      <c r="G93" s="18">
        <v>343.0</v>
      </c>
      <c r="H93" s="18">
        <v>216.0</v>
      </c>
      <c r="I93" s="19">
        <v>0.63</v>
      </c>
      <c r="J93" s="18">
        <v>2607.0</v>
      </c>
      <c r="K93" s="18">
        <v>7.6</v>
      </c>
      <c r="L93" s="18">
        <v>21.0</v>
      </c>
      <c r="M93" s="18">
        <v>9.0</v>
      </c>
      <c r="N93" s="18">
        <v>9.0</v>
      </c>
      <c r="O93" s="18">
        <v>8.0</v>
      </c>
      <c r="P93" s="20">
        <f t="shared" si="1"/>
        <v>3.830625833</v>
      </c>
      <c r="Q93" s="20">
        <f t="shared" si="2"/>
        <v>2.21552252</v>
      </c>
      <c r="R93" s="29"/>
      <c r="S93" s="20">
        <v>3.830625833146446</v>
      </c>
      <c r="T93" s="22">
        <v>1.31</v>
      </c>
      <c r="U93" s="31"/>
      <c r="V93" s="30"/>
      <c r="W93" s="18">
        <v>0.95</v>
      </c>
      <c r="X93" s="22">
        <f t="shared" si="9"/>
        <v>0.7136344875</v>
      </c>
      <c r="Y93" s="20">
        <f t="shared" si="4"/>
        <v>45.5245251</v>
      </c>
      <c r="Z93" s="20">
        <f t="shared" si="6"/>
        <v>43.30900258</v>
      </c>
      <c r="AA93" s="20"/>
      <c r="AB93" s="20">
        <f>IFERROR(__xludf.DUMMYFUNCTION("iferror(PERCENTRANK.INC(FILTER($X$2:$X$423, $U$2:$U$423&lt;3.75), $X93), 1)"),0.781)</f>
        <v>0.781</v>
      </c>
      <c r="AC93" s="20">
        <f>IFERROR(__xludf.DUMMYFUNCTION("iferror(PERCENTRANK.INC(FILTER($X$2:$X$423, $U$2:$U$423&lt;4.25), $X93), 1)"),0.758)</f>
        <v>0.758</v>
      </c>
      <c r="AD93" s="20">
        <f>IFERROR(__xludf.DUMMYFUNCTION("iferror(PERCENTRANK.INC(FILTER($X$2:$X$423, $U$2:$U$423&gt;=4.1), $X93), 0.01)"),0.051)</f>
        <v>0.051</v>
      </c>
      <c r="AE93" s="20"/>
    </row>
    <row r="94" ht="14.25" customHeight="1">
      <c r="A94" s="17" t="s">
        <v>300</v>
      </c>
      <c r="B94" s="17" t="s">
        <v>301</v>
      </c>
      <c r="C94" s="18">
        <v>12.0</v>
      </c>
      <c r="D94" s="17" t="s">
        <v>98</v>
      </c>
      <c r="E94" s="17" t="s">
        <v>144</v>
      </c>
      <c r="F94" s="18">
        <v>438.0</v>
      </c>
      <c r="G94" s="18">
        <v>363.0</v>
      </c>
      <c r="H94" s="18">
        <v>225.0</v>
      </c>
      <c r="I94" s="19">
        <v>0.62</v>
      </c>
      <c r="J94" s="18">
        <v>2930.0</v>
      </c>
      <c r="K94" s="18">
        <v>8.1</v>
      </c>
      <c r="L94" s="18">
        <v>24.0</v>
      </c>
      <c r="M94" s="18">
        <v>13.0</v>
      </c>
      <c r="N94" s="18">
        <v>41.0</v>
      </c>
      <c r="O94" s="18">
        <v>16.0</v>
      </c>
      <c r="P94" s="20">
        <f t="shared" si="1"/>
        <v>3.633470986</v>
      </c>
      <c r="Q94" s="20">
        <f t="shared" si="2"/>
        <v>2.122031699</v>
      </c>
      <c r="R94" s="29"/>
      <c r="S94" s="20">
        <v>3.6334709860749466</v>
      </c>
      <c r="T94" s="22">
        <v>5.18</v>
      </c>
      <c r="U94" s="31"/>
      <c r="V94" s="30"/>
      <c r="W94" s="18">
        <v>0.95</v>
      </c>
      <c r="X94" s="22">
        <f t="shared" si="9"/>
        <v>1.322020648</v>
      </c>
      <c r="Y94" s="20">
        <f t="shared" si="4"/>
        <v>53.04725839</v>
      </c>
      <c r="Z94" s="20">
        <f t="shared" si="6"/>
        <v>50.92522669</v>
      </c>
      <c r="AA94" s="20"/>
      <c r="AB94" s="20">
        <f>IFERROR(__xludf.DUMMYFUNCTION("iferror(PERCENTRANK.INC(FILTER($X$2:$X$423, $U$2:$U$423&lt;3.75), $X94), 1)"),0.956)</f>
        <v>0.956</v>
      </c>
      <c r="AC94" s="20">
        <f>IFERROR(__xludf.DUMMYFUNCTION("iferror(PERCENTRANK.INC(FILTER($X$2:$X$423, $U$2:$U$423&lt;4.25), $X94), 1)"),0.928)</f>
        <v>0.928</v>
      </c>
      <c r="AD94" s="20">
        <f>IFERROR(__xludf.DUMMYFUNCTION("iferror(PERCENTRANK.INC(FILTER($X$2:$X$423, $U$2:$U$423&gt;=4.1), $X94), 0.01)"),0.061)</f>
        <v>0.061</v>
      </c>
      <c r="AE94" s="20"/>
    </row>
    <row r="95" ht="14.25" customHeight="1">
      <c r="A95" s="17" t="s">
        <v>302</v>
      </c>
      <c r="B95" s="17" t="s">
        <v>303</v>
      </c>
      <c r="C95" s="18">
        <v>15.0</v>
      </c>
      <c r="D95" s="17" t="s">
        <v>98</v>
      </c>
      <c r="E95" s="17" t="s">
        <v>105</v>
      </c>
      <c r="F95" s="18">
        <v>352.0</v>
      </c>
      <c r="G95" s="18">
        <v>324.0</v>
      </c>
      <c r="H95" s="18">
        <v>190.0</v>
      </c>
      <c r="I95" s="19">
        <v>0.586</v>
      </c>
      <c r="J95" s="18">
        <v>2084.0</v>
      </c>
      <c r="K95" s="18">
        <v>6.4</v>
      </c>
      <c r="L95" s="18">
        <v>16.0</v>
      </c>
      <c r="M95" s="18">
        <v>3.0</v>
      </c>
      <c r="N95" s="18">
        <v>17.0</v>
      </c>
      <c r="O95" s="18">
        <v>8.0</v>
      </c>
      <c r="P95" s="20">
        <f t="shared" si="1"/>
        <v>3.819253459</v>
      </c>
      <c r="Q95" s="20">
        <f t="shared" si="2"/>
        <v>2.21012974</v>
      </c>
      <c r="R95" s="24"/>
      <c r="S95" s="20">
        <v>3.819253459034792</v>
      </c>
      <c r="T95" s="22">
        <v>2.29</v>
      </c>
      <c r="W95" s="25">
        <v>0.9</v>
      </c>
      <c r="X95" s="22">
        <f t="shared" si="9"/>
        <v>0.8877436179</v>
      </c>
      <c r="Y95" s="20">
        <f t="shared" si="4"/>
        <v>47.67739549</v>
      </c>
      <c r="Z95" s="20">
        <f t="shared" si="6"/>
        <v>45.46726575</v>
      </c>
      <c r="AA95" s="20"/>
      <c r="AB95" s="20">
        <f>IFERROR(__xludf.DUMMYFUNCTION("iferror(PERCENTRANK.INC(FILTER($X$2:$X$423, $U$2:$U$423&lt;3.75), $X95), 1)"),0.889)</f>
        <v>0.889</v>
      </c>
      <c r="AC95" s="20">
        <f>IFERROR(__xludf.DUMMYFUNCTION("iferror(PERCENTRANK.INC(FILTER($X$2:$X$423, $U$2:$U$423&lt;4.25), $X95), 1)"),0.863)</f>
        <v>0.863</v>
      </c>
      <c r="AD95" s="20">
        <f>IFERROR(__xludf.DUMMYFUNCTION("iferror(PERCENTRANK.INC(FILTER($X$2:$X$423, $U$2:$U$423&gt;=4.1), $X95), 0.01)"),0.054)</f>
        <v>0.054</v>
      </c>
      <c r="AE95" s="20"/>
    </row>
    <row r="96" ht="14.25" customHeight="1">
      <c r="A96" s="17" t="s">
        <v>304</v>
      </c>
      <c r="B96" s="17" t="s">
        <v>305</v>
      </c>
      <c r="C96" s="18">
        <v>5.0</v>
      </c>
      <c r="D96" s="17" t="s">
        <v>98</v>
      </c>
      <c r="E96" s="17" t="s">
        <v>132</v>
      </c>
      <c r="F96" s="18">
        <v>441.0</v>
      </c>
      <c r="G96" s="18">
        <v>417.0</v>
      </c>
      <c r="H96" s="18">
        <v>235.0</v>
      </c>
      <c r="I96" s="19">
        <v>0.564</v>
      </c>
      <c r="J96" s="18">
        <v>3091.0</v>
      </c>
      <c r="K96" s="18">
        <v>7.4</v>
      </c>
      <c r="L96" s="18">
        <v>17.0</v>
      </c>
      <c r="M96" s="18">
        <v>9.0</v>
      </c>
      <c r="N96" s="18">
        <v>6.0</v>
      </c>
      <c r="O96" s="18">
        <v>20.0</v>
      </c>
      <c r="P96" s="20">
        <f t="shared" si="1"/>
        <v>3.700773253</v>
      </c>
      <c r="Q96" s="20">
        <f t="shared" si="2"/>
        <v>2.153946431</v>
      </c>
      <c r="R96" s="24"/>
      <c r="S96" s="20">
        <v>3.700773253266775</v>
      </c>
      <c r="T96" s="22">
        <v>1.97</v>
      </c>
      <c r="U96" s="30"/>
      <c r="V96" s="30"/>
      <c r="W96" s="18">
        <v>0.95</v>
      </c>
      <c r="X96" s="22">
        <f t="shared" si="9"/>
        <v>0.7951043892</v>
      </c>
      <c r="Y96" s="20">
        <f t="shared" si="4"/>
        <v>46.53190558</v>
      </c>
      <c r="Z96" s="20">
        <f t="shared" si="6"/>
        <v>44.37795915</v>
      </c>
      <c r="AA96" s="20"/>
      <c r="AB96" s="20">
        <f>IFERROR(__xludf.DUMMYFUNCTION("iferror(PERCENTRANK.INC(FILTER($X$2:$X$423, $U$2:$U$423&lt;3.75), $X96), 1)"),0.822)</f>
        <v>0.822</v>
      </c>
      <c r="AC96" s="20">
        <f>IFERROR(__xludf.DUMMYFUNCTION("iferror(PERCENTRANK.INC(FILTER($X$2:$X$423, $U$2:$U$423&lt;4.25), $X96), 1)"),0.798)</f>
        <v>0.798</v>
      </c>
      <c r="AD96" s="20">
        <f>IFERROR(__xludf.DUMMYFUNCTION("iferror(PERCENTRANK.INC(FILTER($X$2:$X$423, $U$2:$U$423&gt;=4.1), $X96), 0.01)"),0.052)</f>
        <v>0.052</v>
      </c>
      <c r="AE96" s="20"/>
    </row>
    <row r="97" ht="14.25" customHeight="1">
      <c r="A97" s="17" t="s">
        <v>306</v>
      </c>
      <c r="B97" s="17" t="s">
        <v>307</v>
      </c>
      <c r="C97" s="18">
        <v>47.0</v>
      </c>
      <c r="D97" s="17" t="s">
        <v>98</v>
      </c>
      <c r="E97" s="17" t="s">
        <v>99</v>
      </c>
      <c r="F97" s="18">
        <v>390.0</v>
      </c>
      <c r="G97" s="18">
        <v>345.0</v>
      </c>
      <c r="H97" s="18">
        <v>213.0</v>
      </c>
      <c r="I97" s="19">
        <v>0.617</v>
      </c>
      <c r="J97" s="18">
        <v>2616.0</v>
      </c>
      <c r="K97" s="18">
        <v>7.6</v>
      </c>
      <c r="L97" s="18">
        <v>14.0</v>
      </c>
      <c r="M97" s="18">
        <v>6.0</v>
      </c>
      <c r="N97" s="18">
        <v>15.0</v>
      </c>
      <c r="O97" s="18">
        <v>15.0</v>
      </c>
      <c r="P97" s="20">
        <f t="shared" si="1"/>
        <v>3.567874853</v>
      </c>
      <c r="Q97" s="20">
        <f t="shared" si="2"/>
        <v>2.090926015</v>
      </c>
      <c r="R97" s="24"/>
      <c r="S97" s="20">
        <v>3.5678748528428095</v>
      </c>
      <c r="T97" s="22">
        <v>1.01</v>
      </c>
      <c r="W97" s="25">
        <v>1.0</v>
      </c>
      <c r="X97" s="22">
        <f t="shared" si="9"/>
        <v>0.6331631051</v>
      </c>
      <c r="Y97" s="20">
        <f t="shared" si="4"/>
        <v>44.52949138</v>
      </c>
      <c r="Z97" s="20">
        <f t="shared" si="6"/>
        <v>42.43856536</v>
      </c>
      <c r="AA97" s="20"/>
      <c r="AB97" s="20">
        <f>IFERROR(__xludf.DUMMYFUNCTION("iferror(PERCENTRANK.INC(FILTER($X$2:$X$423, $U$2:$U$423&lt;3.75), $X97), 1)"),0.742)</f>
        <v>0.742</v>
      </c>
      <c r="AC97" s="20">
        <f>IFERROR(__xludf.DUMMYFUNCTION("iferror(PERCENTRANK.INC(FILTER($X$2:$X$423, $U$2:$U$423&lt;4.25), $X97), 1)"),0.72)</f>
        <v>0.72</v>
      </c>
      <c r="AD97" s="20">
        <f>IFERROR(__xludf.DUMMYFUNCTION("iferror(PERCENTRANK.INC(FILTER($X$2:$X$423, $U$2:$U$423&gt;=4.1), $X97), 0.01)"),0.05)</f>
        <v>0.05</v>
      </c>
      <c r="AE97" s="20"/>
    </row>
    <row r="98" ht="14.25" customHeight="1">
      <c r="A98" s="17" t="s">
        <v>308</v>
      </c>
      <c r="B98" s="17" t="s">
        <v>309</v>
      </c>
      <c r="C98" s="18">
        <v>11.0</v>
      </c>
      <c r="D98" s="17" t="s">
        <v>98</v>
      </c>
      <c r="E98" s="17" t="s">
        <v>179</v>
      </c>
      <c r="F98" s="18">
        <v>394.0</v>
      </c>
      <c r="G98" s="18">
        <v>293.0</v>
      </c>
      <c r="H98" s="18">
        <v>159.0</v>
      </c>
      <c r="I98" s="19">
        <v>0.543</v>
      </c>
      <c r="J98" s="18">
        <v>2343.0</v>
      </c>
      <c r="K98" s="18">
        <v>8.0</v>
      </c>
      <c r="L98" s="18">
        <v>18.0</v>
      </c>
      <c r="M98" s="18">
        <v>8.0</v>
      </c>
      <c r="N98" s="18">
        <v>37.0</v>
      </c>
      <c r="O98" s="18">
        <v>8.0</v>
      </c>
      <c r="P98" s="20">
        <f t="shared" si="1"/>
        <v>3.442449367</v>
      </c>
      <c r="Q98" s="20">
        <f t="shared" si="2"/>
        <v>2.031449254</v>
      </c>
      <c r="R98" s="24"/>
      <c r="S98" s="20">
        <v>3.4424493671454055</v>
      </c>
      <c r="T98" s="22">
        <v>9.61</v>
      </c>
      <c r="U98" s="16">
        <v>4.59</v>
      </c>
      <c r="V98" s="16">
        <v>4.44</v>
      </c>
      <c r="W98" s="25">
        <v>0.9</v>
      </c>
      <c r="X98" s="22">
        <f t="shared" si="9"/>
        <v>5.119230665</v>
      </c>
      <c r="Y98" s="20">
        <f t="shared" si="4"/>
        <v>100</v>
      </c>
      <c r="Z98" s="20">
        <f t="shared" si="6"/>
        <v>97.96855075</v>
      </c>
      <c r="AA98" s="20"/>
      <c r="AB98" s="20">
        <f>IFERROR(__xludf.DUMMYFUNCTION("iferror(PERCENTRANK.INC(FILTER($X$2:$X$423, $U$2:$U$423&lt;3.75), $X98), 1)"),1.0)</f>
        <v>1</v>
      </c>
      <c r="AC98" s="20">
        <f>IFERROR(__xludf.DUMMYFUNCTION("iferror(PERCENTRANK.INC(FILTER($X$2:$X$423, $U$2:$U$423&lt;4.25), $X98), 1)"),1.0)</f>
        <v>1</v>
      </c>
      <c r="AD98" s="20">
        <f>IFERROR(__xludf.DUMMYFUNCTION("iferror(PERCENTRANK.INC(FILTER($X$2:$X$423, $U$2:$U$423&gt;=4.1), $X98), 0.01)"),1.0)</f>
        <v>1</v>
      </c>
      <c r="AE98" s="20"/>
    </row>
    <row r="99" ht="14.25" customHeight="1">
      <c r="A99" s="17" t="s">
        <v>310</v>
      </c>
      <c r="B99" s="17" t="s">
        <v>311</v>
      </c>
      <c r="C99" s="18">
        <v>7.0</v>
      </c>
      <c r="D99" s="17" t="s">
        <v>98</v>
      </c>
      <c r="E99" s="17" t="s">
        <v>108</v>
      </c>
      <c r="F99" s="18">
        <v>519.0</v>
      </c>
      <c r="G99" s="18">
        <v>484.0</v>
      </c>
      <c r="H99" s="18">
        <v>273.0</v>
      </c>
      <c r="I99" s="19">
        <v>0.564</v>
      </c>
      <c r="J99" s="18">
        <v>2963.0</v>
      </c>
      <c r="K99" s="18">
        <v>6.1</v>
      </c>
      <c r="L99" s="18">
        <v>17.0</v>
      </c>
      <c r="M99" s="18">
        <v>9.0</v>
      </c>
      <c r="N99" s="18">
        <v>9.0</v>
      </c>
      <c r="O99" s="18">
        <v>13.0</v>
      </c>
      <c r="P99" s="20">
        <f t="shared" si="1"/>
        <v>3.429519356</v>
      </c>
      <c r="Q99" s="20">
        <f t="shared" si="2"/>
        <v>2.025317844</v>
      </c>
      <c r="R99" s="24"/>
      <c r="S99" s="20">
        <v>3.429519356231787</v>
      </c>
      <c r="T99" s="22">
        <v>7.24</v>
      </c>
      <c r="W99" s="25">
        <v>1.0</v>
      </c>
      <c r="X99" s="22">
        <f t="shared" si="9"/>
        <v>1.548985113</v>
      </c>
      <c r="Y99" s="20">
        <f t="shared" si="4"/>
        <v>55.85368833</v>
      </c>
      <c r="Z99" s="20">
        <f t="shared" si="6"/>
        <v>53.82837049</v>
      </c>
      <c r="AA99" s="20"/>
      <c r="AB99" s="20">
        <f>IFERROR(__xludf.DUMMYFUNCTION("iferror(PERCENTRANK.INC(FILTER($X$2:$X$423, $U$2:$U$423&lt;3.75), $X99), 1)"),0.972)</f>
        <v>0.972</v>
      </c>
      <c r="AC99" s="20">
        <f>IFERROR(__xludf.DUMMYFUNCTION("iferror(PERCENTRANK.INC(FILTER($X$2:$X$423, $U$2:$U$423&lt;4.25), $X99), 1)"),0.943)</f>
        <v>0.943</v>
      </c>
      <c r="AD99" s="20">
        <f>IFERROR(__xludf.DUMMYFUNCTION("iferror(PERCENTRANK.INC(FILTER($X$2:$X$423, $U$2:$U$423&gt;=4.1), $X99), 0.01)"),0.064)</f>
        <v>0.064</v>
      </c>
      <c r="AE99" s="20"/>
    </row>
    <row r="100" ht="14.25" customHeight="1">
      <c r="A100" s="17" t="s">
        <v>312</v>
      </c>
      <c r="B100" s="17" t="s">
        <v>313</v>
      </c>
      <c r="C100" s="18">
        <v>2.0</v>
      </c>
      <c r="D100" s="17" t="s">
        <v>98</v>
      </c>
      <c r="E100" s="17" t="s">
        <v>158</v>
      </c>
      <c r="F100" s="18">
        <v>443.0</v>
      </c>
      <c r="G100" s="18">
        <v>363.0</v>
      </c>
      <c r="H100" s="18">
        <v>242.0</v>
      </c>
      <c r="I100" s="19">
        <v>0.667</v>
      </c>
      <c r="J100" s="18">
        <v>2601.0</v>
      </c>
      <c r="K100" s="18">
        <v>7.2</v>
      </c>
      <c r="L100" s="18">
        <v>15.0</v>
      </c>
      <c r="M100" s="18">
        <v>6.0</v>
      </c>
      <c r="N100" s="18">
        <v>29.0</v>
      </c>
      <c r="O100" s="18">
        <v>14.0</v>
      </c>
      <c r="P100" s="20">
        <f t="shared" si="1"/>
        <v>3.597152252</v>
      </c>
      <c r="Q100" s="20">
        <f t="shared" si="2"/>
        <v>2.104809356</v>
      </c>
      <c r="R100" s="29"/>
      <c r="S100" s="20">
        <v>3.5971522515593035</v>
      </c>
      <c r="T100" s="22">
        <v>1.09</v>
      </c>
      <c r="U100" s="31"/>
      <c r="V100" s="30"/>
      <c r="W100" s="18">
        <v>0.95</v>
      </c>
      <c r="X100" s="22">
        <f t="shared" si="9"/>
        <v>0.649115554</v>
      </c>
      <c r="Y100" s="20">
        <f t="shared" si="4"/>
        <v>44.72674441</v>
      </c>
      <c r="Z100" s="20">
        <f t="shared" si="6"/>
        <v>42.62193506</v>
      </c>
      <c r="AA100" s="20"/>
      <c r="AB100" s="20">
        <f>IFERROR(__xludf.DUMMYFUNCTION("iferror(PERCENTRANK.INC(FILTER($X$2:$X$423, $U$2:$U$423&lt;3.75), $X100), 1)"),0.753)</f>
        <v>0.753</v>
      </c>
      <c r="AC100" s="20">
        <f>IFERROR(__xludf.DUMMYFUNCTION("iferror(PERCENTRANK.INC(FILTER($X$2:$X$423, $U$2:$U$423&lt;4.25), $X100), 1)"),0.73)</f>
        <v>0.73</v>
      </c>
      <c r="AD100" s="20">
        <f>IFERROR(__xludf.DUMMYFUNCTION("iferror(PERCENTRANK.INC(FILTER($X$2:$X$423, $U$2:$U$423&gt;=4.1), $X100), 0.01)"),0.05)</f>
        <v>0.05</v>
      </c>
      <c r="AE100" s="20"/>
    </row>
    <row r="101" ht="14.25" customHeight="1">
      <c r="A101" s="17" t="s">
        <v>314</v>
      </c>
      <c r="B101" s="17" t="s">
        <v>315</v>
      </c>
      <c r="C101" s="18">
        <v>13.0</v>
      </c>
      <c r="D101" s="17" t="s">
        <v>98</v>
      </c>
      <c r="E101" s="17" t="s">
        <v>179</v>
      </c>
      <c r="F101" s="18">
        <v>392.0</v>
      </c>
      <c r="G101" s="18">
        <v>339.0</v>
      </c>
      <c r="H101" s="18">
        <v>192.0</v>
      </c>
      <c r="I101" s="19">
        <v>0.566</v>
      </c>
      <c r="J101" s="18">
        <v>2425.0</v>
      </c>
      <c r="K101" s="18">
        <v>7.2</v>
      </c>
      <c r="L101" s="18">
        <v>16.0</v>
      </c>
      <c r="M101" s="18">
        <v>6.0</v>
      </c>
      <c r="N101" s="18">
        <v>20.0</v>
      </c>
      <c r="O101" s="18">
        <v>14.0</v>
      </c>
      <c r="P101" s="20">
        <f t="shared" si="1"/>
        <v>3.587903244</v>
      </c>
      <c r="Q101" s="20">
        <f t="shared" si="2"/>
        <v>2.100423477</v>
      </c>
      <c r="R101" s="24"/>
      <c r="S101" s="20">
        <v>3.587903243754139</v>
      </c>
      <c r="T101" s="22">
        <v>0.56</v>
      </c>
      <c r="W101" s="25">
        <v>0.9</v>
      </c>
      <c r="X101" s="22">
        <f t="shared" si="9"/>
        <v>0.5683669379</v>
      </c>
      <c r="Y101" s="20">
        <f t="shared" si="4"/>
        <v>43.72828268</v>
      </c>
      <c r="Z101" s="20">
        <f t="shared" si="6"/>
        <v>41.6278592</v>
      </c>
      <c r="AA101" s="20"/>
      <c r="AB101" s="20">
        <f>IFERROR(__xludf.DUMMYFUNCTION("iferror(PERCENTRANK.INC(FILTER($X$2:$X$423, $U$2:$U$423&lt;3.75), $X101), 1)"),0.701)</f>
        <v>0.701</v>
      </c>
      <c r="AC101" s="20">
        <f>IFERROR(__xludf.DUMMYFUNCTION("iferror(PERCENTRANK.INC(FILTER($X$2:$X$423, $U$2:$U$423&lt;4.25), $X101), 1)"),0.68)</f>
        <v>0.68</v>
      </c>
      <c r="AD101" s="20">
        <f>IFERROR(__xludf.DUMMYFUNCTION("iferror(PERCENTRANK.INC(FILTER($X$2:$X$423, $U$2:$U$423&gt;=4.1), $X101), 0.01)"),0.049)</f>
        <v>0.049</v>
      </c>
      <c r="AE101" s="20"/>
    </row>
    <row r="102" ht="14.25" customHeight="1">
      <c r="A102" s="17" t="s">
        <v>316</v>
      </c>
      <c r="B102" s="17" t="s">
        <v>317</v>
      </c>
      <c r="C102" s="18">
        <v>9.0</v>
      </c>
      <c r="D102" s="17" t="s">
        <v>98</v>
      </c>
      <c r="E102" s="17" t="s">
        <v>124</v>
      </c>
      <c r="F102" s="18">
        <v>305.0</v>
      </c>
      <c r="G102" s="18">
        <v>256.0</v>
      </c>
      <c r="H102" s="18">
        <v>161.0</v>
      </c>
      <c r="I102" s="19">
        <v>0.629</v>
      </c>
      <c r="J102" s="18">
        <v>1987.0</v>
      </c>
      <c r="K102" s="18">
        <v>7.8</v>
      </c>
      <c r="L102" s="18">
        <v>13.0</v>
      </c>
      <c r="M102" s="18">
        <v>3.0</v>
      </c>
      <c r="N102" s="18">
        <v>20.0</v>
      </c>
      <c r="O102" s="18">
        <v>4.0</v>
      </c>
      <c r="P102" s="20">
        <f t="shared" si="1"/>
        <v>3.56792923</v>
      </c>
      <c r="Q102" s="20">
        <f t="shared" si="2"/>
        <v>2.0909518</v>
      </c>
      <c r="R102" s="24"/>
      <c r="S102" s="20">
        <v>3.5679292295081972</v>
      </c>
      <c r="T102" s="22">
        <v>1.42</v>
      </c>
      <c r="W102" s="25">
        <v>0.9</v>
      </c>
      <c r="X102" s="22">
        <f t="shared" si="9"/>
        <v>0.7481893844</v>
      </c>
      <c r="Y102" s="20">
        <f t="shared" si="4"/>
        <v>45.95179858</v>
      </c>
      <c r="Z102" s="20">
        <f t="shared" si="6"/>
        <v>43.86084678</v>
      </c>
      <c r="AA102" s="20"/>
      <c r="AB102" s="20">
        <f>IFERROR(__xludf.DUMMYFUNCTION("iferror(PERCENTRANK.INC(FILTER($X$2:$X$423, $U$2:$U$423&lt;3.75), $X102), 1)"),0.802)</f>
        <v>0.802</v>
      </c>
      <c r="AC102" s="20">
        <f>IFERROR(__xludf.DUMMYFUNCTION("iferror(PERCENTRANK.INC(FILTER($X$2:$X$423, $U$2:$U$423&lt;4.25), $X102), 1)"),0.778)</f>
        <v>0.778</v>
      </c>
      <c r="AD102" s="20">
        <f>IFERROR(__xludf.DUMMYFUNCTION("iferror(PERCENTRANK.INC(FILTER($X$2:$X$423, $U$2:$U$423&gt;=4.1), $X102), 0.01)"),0.052)</f>
        <v>0.052</v>
      </c>
      <c r="AE102" s="20"/>
    </row>
    <row r="103" ht="14.25" customHeight="1">
      <c r="A103" s="17" t="s">
        <v>318</v>
      </c>
      <c r="B103" s="17" t="s">
        <v>319</v>
      </c>
      <c r="C103" s="18">
        <v>15.0</v>
      </c>
      <c r="D103" s="17" t="s">
        <v>98</v>
      </c>
      <c r="E103" s="17" t="s">
        <v>127</v>
      </c>
      <c r="F103" s="18">
        <v>346.0</v>
      </c>
      <c r="G103" s="18">
        <v>320.0</v>
      </c>
      <c r="H103" s="18">
        <v>174.0</v>
      </c>
      <c r="I103" s="19">
        <v>0.544</v>
      </c>
      <c r="J103" s="18">
        <v>2171.0</v>
      </c>
      <c r="K103" s="18">
        <v>6.8</v>
      </c>
      <c r="L103" s="18">
        <v>18.0</v>
      </c>
      <c r="M103" s="18">
        <v>7.0</v>
      </c>
      <c r="N103" s="18">
        <v>15.0</v>
      </c>
      <c r="O103" s="18">
        <v>9.0</v>
      </c>
      <c r="P103" s="20">
        <f t="shared" si="1"/>
        <v>3.386755399</v>
      </c>
      <c r="Q103" s="20">
        <f t="shared" si="2"/>
        <v>2.005039177</v>
      </c>
      <c r="R103" s="24"/>
      <c r="S103" s="20">
        <v>3.3867553988439307</v>
      </c>
      <c r="T103" s="22">
        <v>1.3</v>
      </c>
      <c r="U103" s="30"/>
      <c r="V103" s="30"/>
      <c r="W103" s="18">
        <v>0.9</v>
      </c>
      <c r="X103" s="22">
        <f t="shared" si="9"/>
        <v>0.7030133098</v>
      </c>
      <c r="Y103" s="20">
        <f t="shared" si="4"/>
        <v>45.39319357</v>
      </c>
      <c r="Z103" s="20">
        <f t="shared" si="6"/>
        <v>43.38815439</v>
      </c>
      <c r="AA103" s="20"/>
      <c r="AB103" s="20">
        <f>IFERROR(__xludf.DUMMYFUNCTION("iferror(PERCENTRANK.INC(FILTER($X$2:$X$423, $U$2:$U$423&lt;3.75), $X103), 1)"),0.773)</f>
        <v>0.773</v>
      </c>
      <c r="AC103" s="20">
        <f>IFERROR(__xludf.DUMMYFUNCTION("iferror(PERCENTRANK.INC(FILTER($X$2:$X$423, $U$2:$U$423&lt;4.25), $X103), 1)"),0.75)</f>
        <v>0.75</v>
      </c>
      <c r="AD103" s="20">
        <f>IFERROR(__xludf.DUMMYFUNCTION("iferror(PERCENTRANK.INC(FILTER($X$2:$X$423, $U$2:$U$423&gt;=4.1), $X103), 0.01)"),0.051)</f>
        <v>0.051</v>
      </c>
      <c r="AE103" s="20"/>
    </row>
    <row r="104" ht="14.25" customHeight="1">
      <c r="A104" s="17" t="s">
        <v>320</v>
      </c>
      <c r="B104" s="17" t="s">
        <v>321</v>
      </c>
      <c r="C104" s="18">
        <v>2.0</v>
      </c>
      <c r="D104" s="17" t="s">
        <v>98</v>
      </c>
      <c r="E104" s="17" t="s">
        <v>102</v>
      </c>
      <c r="F104" s="18">
        <v>338.0</v>
      </c>
      <c r="G104" s="18">
        <v>299.0</v>
      </c>
      <c r="H104" s="18">
        <v>189.0</v>
      </c>
      <c r="I104" s="19">
        <v>0.632</v>
      </c>
      <c r="J104" s="18">
        <v>2306.0</v>
      </c>
      <c r="K104" s="18">
        <v>7.7</v>
      </c>
      <c r="L104" s="18">
        <v>20.0</v>
      </c>
      <c r="M104" s="18">
        <v>9.0</v>
      </c>
      <c r="N104" s="18">
        <v>12.0</v>
      </c>
      <c r="O104" s="18">
        <v>14.0</v>
      </c>
      <c r="P104" s="20">
        <f t="shared" si="1"/>
        <v>3.454262847</v>
      </c>
      <c r="Q104" s="20">
        <f t="shared" si="2"/>
        <v>2.037051206</v>
      </c>
      <c r="R104" s="24"/>
      <c r="S104" s="20">
        <v>3.454262847440185</v>
      </c>
      <c r="T104" s="22">
        <v>2.63</v>
      </c>
      <c r="W104" s="25">
        <v>0.9</v>
      </c>
      <c r="X104" s="22">
        <f t="shared" si="9"/>
        <v>0.9126394271</v>
      </c>
      <c r="Y104" s="20">
        <f t="shared" si="4"/>
        <v>47.98523374</v>
      </c>
      <c r="Z104" s="20">
        <f t="shared" si="6"/>
        <v>45.94818254</v>
      </c>
      <c r="AA104" s="20"/>
      <c r="AB104" s="20">
        <f>IFERROR(__xludf.DUMMYFUNCTION("iferror(PERCENTRANK.INC(FILTER($X$2:$X$423, $U$2:$U$423&lt;3.75), $X104), 1)"),0.91)</f>
        <v>0.91</v>
      </c>
      <c r="AC104" s="20">
        <f>IFERROR(__xludf.DUMMYFUNCTION("iferror(PERCENTRANK.INC(FILTER($X$2:$X$423, $U$2:$U$423&lt;4.25), $X104), 1)"),0.883)</f>
        <v>0.883</v>
      </c>
      <c r="AD104" s="20">
        <f>IFERROR(__xludf.DUMMYFUNCTION("iferror(PERCENTRANK.INC(FILTER($X$2:$X$423, $U$2:$U$423&gt;=4.1), $X104), 0.01)"),0.054)</f>
        <v>0.054</v>
      </c>
      <c r="AE104" s="20"/>
    </row>
    <row r="105" ht="14.25" customHeight="1">
      <c r="A105" s="17" t="s">
        <v>322</v>
      </c>
      <c r="B105" s="17" t="s">
        <v>323</v>
      </c>
      <c r="C105" s="18">
        <v>1.0</v>
      </c>
      <c r="D105" s="17" t="s">
        <v>98</v>
      </c>
      <c r="E105" s="17" t="s">
        <v>189</v>
      </c>
      <c r="F105" s="18">
        <v>439.0</v>
      </c>
      <c r="G105" s="18">
        <v>427.0</v>
      </c>
      <c r="H105" s="18">
        <v>238.0</v>
      </c>
      <c r="I105" s="19">
        <v>0.557</v>
      </c>
      <c r="J105" s="18">
        <v>3116.0</v>
      </c>
      <c r="K105" s="18">
        <v>7.3</v>
      </c>
      <c r="L105" s="18">
        <v>15.0</v>
      </c>
      <c r="M105" s="18">
        <v>9.0</v>
      </c>
      <c r="N105" s="18">
        <v>2.0</v>
      </c>
      <c r="O105" s="18">
        <v>11.0</v>
      </c>
      <c r="P105" s="20">
        <f t="shared" si="1"/>
        <v>3.493534292</v>
      </c>
      <c r="Q105" s="20">
        <f t="shared" si="2"/>
        <v>2.055673724</v>
      </c>
      <c r="R105" s="24"/>
      <c r="S105" s="20">
        <v>3.4935342920465398</v>
      </c>
      <c r="T105" s="22">
        <v>1.82</v>
      </c>
      <c r="W105" s="25">
        <v>0.9</v>
      </c>
      <c r="X105" s="22">
        <f t="shared" si="9"/>
        <v>0.7708286366</v>
      </c>
      <c r="Y105" s="20">
        <f t="shared" si="4"/>
        <v>46.23173437</v>
      </c>
      <c r="Z105" s="20">
        <f t="shared" si="6"/>
        <v>44.17606064</v>
      </c>
      <c r="AA105" s="20"/>
      <c r="AB105" s="20">
        <f>IFERROR(__xludf.DUMMYFUNCTION("iferror(PERCENTRANK.INC(FILTER($X$2:$X$423, $U$2:$U$423&lt;3.75), $X105), 1)"),0.812)</f>
        <v>0.812</v>
      </c>
      <c r="AC105" s="20">
        <f>IFERROR(__xludf.DUMMYFUNCTION("iferror(PERCENTRANK.INC(FILTER($X$2:$X$423, $U$2:$U$423&lt;4.25), $X105), 1)"),0.788)</f>
        <v>0.788</v>
      </c>
      <c r="AD105" s="20">
        <f>IFERROR(__xludf.DUMMYFUNCTION("iferror(PERCENTRANK.INC(FILTER($X$2:$X$423, $U$2:$U$423&gt;=4.1), $X105), 0.01)"),0.052)</f>
        <v>0.052</v>
      </c>
      <c r="AE105" s="20"/>
    </row>
    <row r="106" ht="14.25" customHeight="1">
      <c r="A106" s="17" t="s">
        <v>324</v>
      </c>
      <c r="B106" s="17" t="s">
        <v>325</v>
      </c>
      <c r="C106" s="18">
        <v>10.0</v>
      </c>
      <c r="D106" s="17" t="s">
        <v>98</v>
      </c>
      <c r="E106" s="17" t="s">
        <v>155</v>
      </c>
      <c r="F106" s="18">
        <v>358.0</v>
      </c>
      <c r="G106" s="18">
        <v>309.0</v>
      </c>
      <c r="H106" s="18">
        <v>200.0</v>
      </c>
      <c r="I106" s="19">
        <v>0.647</v>
      </c>
      <c r="J106" s="18">
        <v>2444.0</v>
      </c>
      <c r="K106" s="18">
        <v>7.9</v>
      </c>
      <c r="L106" s="18">
        <v>12.0</v>
      </c>
      <c r="M106" s="18">
        <v>5.0</v>
      </c>
      <c r="N106" s="18">
        <v>28.0</v>
      </c>
      <c r="O106" s="18">
        <v>10.0</v>
      </c>
      <c r="P106" s="20">
        <f t="shared" si="1"/>
        <v>3.401626742</v>
      </c>
      <c r="Q106" s="20">
        <f t="shared" si="2"/>
        <v>2.012091167</v>
      </c>
      <c r="R106" s="29"/>
      <c r="S106" s="20">
        <v>3.4016267418596664</v>
      </c>
      <c r="T106" s="22">
        <v>0.79</v>
      </c>
      <c r="U106" s="31"/>
      <c r="V106" s="30"/>
      <c r="W106" s="18">
        <v>0.9</v>
      </c>
      <c r="X106" s="22">
        <f t="shared" si="9"/>
        <v>0.6287440113</v>
      </c>
      <c r="Y106" s="20">
        <f t="shared" si="4"/>
        <v>44.474849</v>
      </c>
      <c r="Z106" s="20">
        <f t="shared" si="6"/>
        <v>42.46275784</v>
      </c>
      <c r="AA106" s="20"/>
      <c r="AB106" s="20">
        <f>IFERROR(__xludf.DUMMYFUNCTION("iferror(PERCENTRANK.INC(FILTER($X$2:$X$423, $U$2:$U$423&lt;3.75), $X106), 1)"),0.74)</f>
        <v>0.74</v>
      </c>
      <c r="AC106" s="20">
        <f>IFERROR(__xludf.DUMMYFUNCTION("iferror(PERCENTRANK.INC(FILTER($X$2:$X$423, $U$2:$U$423&lt;4.25), $X106), 1)"),0.718)</f>
        <v>0.718</v>
      </c>
      <c r="AD106" s="20">
        <f>IFERROR(__xludf.DUMMYFUNCTION("iferror(PERCENTRANK.INC(FILTER($X$2:$X$423, $U$2:$U$423&gt;=4.1), $X106), 0.01)"),0.05)</f>
        <v>0.05</v>
      </c>
      <c r="AE106" s="20"/>
    </row>
    <row r="107" ht="14.25" customHeight="1">
      <c r="A107" s="17" t="s">
        <v>326</v>
      </c>
      <c r="B107" s="17" t="s">
        <v>327</v>
      </c>
      <c r="C107" s="18">
        <v>3.0</v>
      </c>
      <c r="D107" s="17" t="s">
        <v>98</v>
      </c>
      <c r="E107" s="17" t="s">
        <v>135</v>
      </c>
      <c r="F107" s="18">
        <v>531.0</v>
      </c>
      <c r="G107" s="18">
        <v>481.0</v>
      </c>
      <c r="H107" s="18">
        <v>295.0</v>
      </c>
      <c r="I107" s="19">
        <v>0.613</v>
      </c>
      <c r="J107" s="18">
        <v>3177.0</v>
      </c>
      <c r="K107" s="18">
        <v>6.6</v>
      </c>
      <c r="L107" s="18">
        <v>17.0</v>
      </c>
      <c r="M107" s="18">
        <v>10.0</v>
      </c>
      <c r="N107" s="18">
        <v>30.0</v>
      </c>
      <c r="O107" s="18">
        <v>17.0</v>
      </c>
      <c r="P107" s="20">
        <f t="shared" si="1"/>
        <v>3.425119397</v>
      </c>
      <c r="Q107" s="20">
        <f t="shared" si="2"/>
        <v>2.023231383</v>
      </c>
      <c r="R107" s="24"/>
      <c r="S107" s="20">
        <v>3.425119396584329</v>
      </c>
      <c r="T107" s="22">
        <v>-1.25</v>
      </c>
      <c r="W107" s="25">
        <v>1.0</v>
      </c>
      <c r="X107" s="22">
        <f t="shared" si="9"/>
        <v>0.2748911185</v>
      </c>
      <c r="Y107" s="20">
        <f t="shared" si="4"/>
        <v>40.09943564</v>
      </c>
      <c r="Z107" s="20">
        <f t="shared" si="6"/>
        <v>38.07620426</v>
      </c>
      <c r="AA107" s="20"/>
      <c r="AB107" s="20">
        <f>IFERROR(__xludf.DUMMYFUNCTION("iferror(PERCENTRANK.INC(FILTER($X$2:$X$423, $U$2:$U$423&lt;3.75), $X107), 1)"),0.531)</f>
        <v>0.531</v>
      </c>
      <c r="AC107" s="20">
        <f>IFERROR(__xludf.DUMMYFUNCTION("iferror(PERCENTRANK.INC(FILTER($X$2:$X$423, $U$2:$U$423&lt;4.25), $X107), 1)"),0.515)</f>
        <v>0.515</v>
      </c>
      <c r="AD107" s="20">
        <f>IFERROR(__xludf.DUMMYFUNCTION("iferror(PERCENTRANK.INC(FILTER($X$2:$X$423, $U$2:$U$423&gt;=4.1), $X107), 0.01)"),0.044)</f>
        <v>0.044</v>
      </c>
      <c r="AE107" s="20"/>
    </row>
    <row r="108" ht="14.25" customHeight="1">
      <c r="A108" s="17" t="s">
        <v>328</v>
      </c>
      <c r="B108" s="17" t="s">
        <v>329</v>
      </c>
      <c r="C108" s="18">
        <v>2.0</v>
      </c>
      <c r="D108" s="17" t="s">
        <v>98</v>
      </c>
      <c r="E108" s="17" t="s">
        <v>99</v>
      </c>
      <c r="F108" s="18">
        <v>391.0</v>
      </c>
      <c r="G108" s="18">
        <v>356.0</v>
      </c>
      <c r="H108" s="18">
        <v>209.0</v>
      </c>
      <c r="I108" s="19">
        <v>0.587</v>
      </c>
      <c r="J108" s="18">
        <v>2425.0</v>
      </c>
      <c r="K108" s="18">
        <v>6.8</v>
      </c>
      <c r="L108" s="18">
        <v>18.0</v>
      </c>
      <c r="M108" s="18">
        <v>8.0</v>
      </c>
      <c r="N108" s="18">
        <v>10.0</v>
      </c>
      <c r="O108" s="18">
        <v>18.0</v>
      </c>
      <c r="P108" s="20">
        <f t="shared" si="1"/>
        <v>3.390084114</v>
      </c>
      <c r="Q108" s="20">
        <f t="shared" si="2"/>
        <v>2.006617653</v>
      </c>
      <c r="R108" s="24"/>
      <c r="S108" s="20">
        <v>3.3900841142274203</v>
      </c>
      <c r="T108" s="22">
        <v>1.36</v>
      </c>
      <c r="U108" s="30"/>
      <c r="V108" s="30"/>
      <c r="W108" s="18">
        <v>1.0</v>
      </c>
      <c r="X108" s="22">
        <f t="shared" si="9"/>
        <v>0.6616613554</v>
      </c>
      <c r="Y108" s="20">
        <f t="shared" si="4"/>
        <v>44.88187404</v>
      </c>
      <c r="Z108" s="20">
        <f t="shared" si="6"/>
        <v>42.87525639</v>
      </c>
      <c r="AA108" s="20"/>
      <c r="AB108" s="20">
        <f>IFERROR(__xludf.DUMMYFUNCTION("iferror(PERCENTRANK.INC(FILTER($X$2:$X$423, $U$2:$U$423&lt;3.75), $X108), 1)"),0.758)</f>
        <v>0.758</v>
      </c>
      <c r="AC108" s="20">
        <f>IFERROR(__xludf.DUMMYFUNCTION("iferror(PERCENTRANK.INC(FILTER($X$2:$X$423, $U$2:$U$423&lt;4.25), $X108), 1)"),0.735)</f>
        <v>0.735</v>
      </c>
      <c r="AD108" s="20">
        <f>IFERROR(__xludf.DUMMYFUNCTION("iferror(PERCENTRANK.INC(FILTER($X$2:$X$423, $U$2:$U$423&gt;=4.1), $X108), 0.01)"),0.05)</f>
        <v>0.05</v>
      </c>
      <c r="AE108" s="20"/>
    </row>
    <row r="109" ht="14.25" customHeight="1">
      <c r="A109" s="17" t="s">
        <v>330</v>
      </c>
      <c r="B109" s="17" t="s">
        <v>331</v>
      </c>
      <c r="C109" s="18">
        <v>10.0</v>
      </c>
      <c r="D109" s="17" t="s">
        <v>98</v>
      </c>
      <c r="E109" s="17" t="s">
        <v>182</v>
      </c>
      <c r="F109" s="18">
        <v>417.0</v>
      </c>
      <c r="G109" s="18">
        <v>346.0</v>
      </c>
      <c r="H109" s="18">
        <v>208.0</v>
      </c>
      <c r="I109" s="19">
        <v>0.601</v>
      </c>
      <c r="J109" s="18">
        <v>2827.0</v>
      </c>
      <c r="K109" s="18">
        <v>8.2</v>
      </c>
      <c r="L109" s="18">
        <v>19.0</v>
      </c>
      <c r="M109" s="18">
        <v>12.0</v>
      </c>
      <c r="N109" s="18">
        <v>27.0</v>
      </c>
      <c r="O109" s="18">
        <v>22.0</v>
      </c>
      <c r="P109" s="20">
        <f t="shared" si="1"/>
        <v>3.178191747</v>
      </c>
      <c r="Q109" s="20">
        <f t="shared" si="2"/>
        <v>1.9061383</v>
      </c>
      <c r="R109" s="24"/>
      <c r="S109" s="20">
        <v>3.178191746538029</v>
      </c>
      <c r="T109" s="22">
        <v>1.19</v>
      </c>
      <c r="U109" s="30"/>
      <c r="V109" s="30"/>
      <c r="W109" s="18">
        <v>1.0</v>
      </c>
      <c r="X109" s="22">
        <f t="shared" si="9"/>
        <v>0.6075558858</v>
      </c>
      <c r="Y109" s="20">
        <f t="shared" si="4"/>
        <v>44.21285649</v>
      </c>
      <c r="Z109" s="20">
        <f t="shared" si="6"/>
        <v>42.30671819</v>
      </c>
      <c r="AA109" s="20"/>
      <c r="AB109" s="20">
        <f>IFERROR(__xludf.DUMMYFUNCTION("iferror(PERCENTRANK.INC(FILTER($X$2:$X$423, $U$2:$U$423&lt;3.75), $X109), 1)"),0.732)</f>
        <v>0.732</v>
      </c>
      <c r="AC109" s="20">
        <f>IFERROR(__xludf.DUMMYFUNCTION("iferror(PERCENTRANK.INC(FILTER($X$2:$X$423, $U$2:$U$423&lt;4.25), $X109), 1)"),0.71)</f>
        <v>0.71</v>
      </c>
      <c r="AD109" s="20">
        <f>IFERROR(__xludf.DUMMYFUNCTION("iferror(PERCENTRANK.INC(FILTER($X$2:$X$423, $U$2:$U$423&gt;=4.1), $X109), 0.01)"),0.049)</f>
        <v>0.049</v>
      </c>
      <c r="AE109" s="20"/>
    </row>
    <row r="110" ht="14.25" customHeight="1">
      <c r="A110" s="17" t="s">
        <v>332</v>
      </c>
      <c r="B110" s="17" t="s">
        <v>333</v>
      </c>
      <c r="C110" s="18">
        <v>1.0</v>
      </c>
      <c r="D110" s="17" t="s">
        <v>98</v>
      </c>
      <c r="E110" s="17" t="s">
        <v>147</v>
      </c>
      <c r="F110" s="18">
        <v>466.0</v>
      </c>
      <c r="G110" s="18">
        <v>432.0</v>
      </c>
      <c r="H110" s="18">
        <v>254.0</v>
      </c>
      <c r="I110" s="19">
        <v>0.588</v>
      </c>
      <c r="J110" s="18">
        <v>2910.0</v>
      </c>
      <c r="K110" s="18">
        <v>6.7</v>
      </c>
      <c r="L110" s="18">
        <v>18.0</v>
      </c>
      <c r="M110" s="18">
        <v>11.0</v>
      </c>
      <c r="N110" s="18">
        <v>12.0</v>
      </c>
      <c r="O110" s="18">
        <v>16.0</v>
      </c>
      <c r="P110" s="20">
        <f t="shared" si="1"/>
        <v>3.174735297</v>
      </c>
      <c r="Q110" s="20">
        <f t="shared" si="2"/>
        <v>1.904499252</v>
      </c>
      <c r="R110" s="29"/>
      <c r="S110" s="20">
        <v>3.174735297408997</v>
      </c>
      <c r="T110" s="22">
        <v>1.09</v>
      </c>
      <c r="U110" s="31"/>
      <c r="V110" s="30"/>
      <c r="W110" s="18">
        <v>0.95</v>
      </c>
      <c r="X110" s="22">
        <f t="shared" si="9"/>
        <v>0.5920892652</v>
      </c>
      <c r="Y110" s="20">
        <f t="shared" si="4"/>
        <v>44.02161075</v>
      </c>
      <c r="Z110" s="20">
        <f t="shared" si="6"/>
        <v>42.1171115</v>
      </c>
      <c r="AA110" s="20"/>
      <c r="AB110" s="20">
        <f>IFERROR(__xludf.DUMMYFUNCTION("iferror(PERCENTRANK.INC(FILTER($X$2:$X$423, $U$2:$U$423&lt;3.75), $X110), 1)"),0.714)</f>
        <v>0.714</v>
      </c>
      <c r="AC110" s="20">
        <f>IFERROR(__xludf.DUMMYFUNCTION("iferror(PERCENTRANK.INC(FILTER($X$2:$X$423, $U$2:$U$423&lt;4.25), $X110), 1)"),0.693)</f>
        <v>0.693</v>
      </c>
      <c r="AD110" s="20">
        <f>IFERROR(__xludf.DUMMYFUNCTION("iferror(PERCENTRANK.INC(FILTER($X$2:$X$423, $U$2:$U$423&gt;=4.1), $X110), 0.01)"),0.049)</f>
        <v>0.049</v>
      </c>
      <c r="AE110" s="20"/>
    </row>
    <row r="111" ht="14.25" customHeight="1">
      <c r="A111" s="17" t="s">
        <v>334</v>
      </c>
      <c r="B111" s="17" t="s">
        <v>335</v>
      </c>
      <c r="C111" s="18">
        <v>7.0</v>
      </c>
      <c r="D111" s="17" t="s">
        <v>98</v>
      </c>
      <c r="E111" s="17" t="s">
        <v>135</v>
      </c>
      <c r="F111" s="18">
        <v>409.0</v>
      </c>
      <c r="G111" s="18">
        <v>377.0</v>
      </c>
      <c r="H111" s="18">
        <v>237.0</v>
      </c>
      <c r="I111" s="19">
        <v>0.629</v>
      </c>
      <c r="J111" s="18">
        <v>2678.0</v>
      </c>
      <c r="K111" s="18">
        <v>7.1</v>
      </c>
      <c r="L111" s="18">
        <v>14.0</v>
      </c>
      <c r="M111" s="18">
        <v>7.0</v>
      </c>
      <c r="N111" s="18">
        <v>20.0</v>
      </c>
      <c r="O111" s="18">
        <v>19.0</v>
      </c>
      <c r="P111" s="20">
        <f t="shared" si="1"/>
        <v>3.331584942</v>
      </c>
      <c r="Q111" s="20">
        <f t="shared" si="2"/>
        <v>1.978877348</v>
      </c>
      <c r="R111" s="29"/>
      <c r="S111" s="20">
        <v>3.331584942111509</v>
      </c>
      <c r="T111" s="22">
        <v>0.33</v>
      </c>
      <c r="W111" s="25">
        <v>1.0</v>
      </c>
      <c r="X111" s="22">
        <f t="shared" si="9"/>
        <v>0.5242508543</v>
      </c>
      <c r="Y111" s="20">
        <f t="shared" si="4"/>
        <v>43.18278452</v>
      </c>
      <c r="Z111" s="20">
        <f t="shared" si="6"/>
        <v>41.20390717</v>
      </c>
      <c r="AA111" s="20"/>
      <c r="AB111" s="20">
        <f>IFERROR(__xludf.DUMMYFUNCTION("iferror(PERCENTRANK.INC(FILTER($X$2:$X$423, $U$2:$U$423&lt;3.75), $X111), 1)"),0.67)</f>
        <v>0.67</v>
      </c>
      <c r="AC111" s="20">
        <f>IFERROR(__xludf.DUMMYFUNCTION("iferror(PERCENTRANK.INC(FILTER($X$2:$X$423, $U$2:$U$423&lt;4.25), $X111), 1)"),0.65)</f>
        <v>0.65</v>
      </c>
      <c r="AD111" s="20">
        <f>IFERROR(__xludf.DUMMYFUNCTION("iferror(PERCENTRANK.INC(FILTER($X$2:$X$423, $U$2:$U$423&gt;=4.1), $X111), 0.01)"),0.048)</f>
        <v>0.048</v>
      </c>
      <c r="AE111" s="20"/>
    </row>
    <row r="112" ht="14.25" customHeight="1">
      <c r="A112" s="17" t="s">
        <v>336</v>
      </c>
      <c r="B112" s="17" t="s">
        <v>337</v>
      </c>
      <c r="C112" s="18">
        <v>11.0</v>
      </c>
      <c r="D112" s="17" t="s">
        <v>98</v>
      </c>
      <c r="E112" s="17" t="s">
        <v>138</v>
      </c>
      <c r="F112" s="18">
        <v>398.0</v>
      </c>
      <c r="G112" s="18">
        <v>364.0</v>
      </c>
      <c r="H112" s="18">
        <v>228.0</v>
      </c>
      <c r="I112" s="19">
        <v>0.626</v>
      </c>
      <c r="J112" s="18">
        <v>2274.0</v>
      </c>
      <c r="K112" s="18">
        <v>6.3</v>
      </c>
      <c r="L112" s="18">
        <v>16.0</v>
      </c>
      <c r="M112" s="18">
        <v>7.0</v>
      </c>
      <c r="N112" s="18">
        <v>16.0</v>
      </c>
      <c r="O112" s="18">
        <v>12.0</v>
      </c>
      <c r="P112" s="20">
        <f t="shared" si="1"/>
        <v>3.159007369</v>
      </c>
      <c r="Q112" s="20">
        <f t="shared" si="2"/>
        <v>1.897041069</v>
      </c>
      <c r="R112" s="24"/>
      <c r="S112" s="20">
        <v>3.1590073686012476</v>
      </c>
      <c r="T112" s="22">
        <v>-0.44</v>
      </c>
      <c r="U112" s="30"/>
      <c r="V112" s="30"/>
      <c r="W112" s="18">
        <v>0.9</v>
      </c>
      <c r="X112" s="22">
        <f t="shared" si="9"/>
        <v>0.38415855</v>
      </c>
      <c r="Y112" s="20">
        <f t="shared" si="4"/>
        <v>41.45053433</v>
      </c>
      <c r="Z112" s="20">
        <f t="shared" si="6"/>
        <v>39.55349326</v>
      </c>
      <c r="AA112" s="20"/>
      <c r="AB112" s="20">
        <f>IFERROR(__xludf.DUMMYFUNCTION("iferror(PERCENTRANK.INC(FILTER($X$2:$X$423, $U$2:$U$423&lt;3.75), $X112), 1)"),0.59)</f>
        <v>0.59</v>
      </c>
      <c r="AC112" s="20">
        <f>IFERROR(__xludf.DUMMYFUNCTION("iferror(PERCENTRANK.INC(FILTER($X$2:$X$423, $U$2:$U$423&lt;4.25), $X112), 1)"),0.573)</f>
        <v>0.573</v>
      </c>
      <c r="AD112" s="20">
        <f>IFERROR(__xludf.DUMMYFUNCTION("iferror(PERCENTRANK.INC(FILTER($X$2:$X$423, $U$2:$U$423&gt;=4.1), $X112), 0.01)"),0.046)</f>
        <v>0.046</v>
      </c>
      <c r="AE112" s="20"/>
    </row>
    <row r="113" ht="14.25" customHeight="1">
      <c r="A113" s="17" t="s">
        <v>338</v>
      </c>
      <c r="B113" s="17" t="s">
        <v>339</v>
      </c>
      <c r="C113" s="18">
        <v>8.0</v>
      </c>
      <c r="D113" s="17" t="s">
        <v>98</v>
      </c>
      <c r="E113" s="17" t="s">
        <v>105</v>
      </c>
      <c r="F113" s="18">
        <v>366.0</v>
      </c>
      <c r="G113" s="18">
        <v>301.0</v>
      </c>
      <c r="H113" s="18">
        <v>209.0</v>
      </c>
      <c r="I113" s="19">
        <v>0.694</v>
      </c>
      <c r="J113" s="18">
        <v>2044.0</v>
      </c>
      <c r="K113" s="18">
        <v>6.8</v>
      </c>
      <c r="L113" s="18">
        <v>10.0</v>
      </c>
      <c r="M113" s="18">
        <v>2.0</v>
      </c>
      <c r="N113" s="18">
        <v>24.0</v>
      </c>
      <c r="O113" s="18">
        <v>8.0</v>
      </c>
      <c r="P113" s="20">
        <f t="shared" si="1"/>
        <v>3.305221771</v>
      </c>
      <c r="Q113" s="20">
        <f t="shared" si="2"/>
        <v>1.966375933</v>
      </c>
      <c r="R113" s="24"/>
      <c r="S113" s="20">
        <v>3.3052217710364356</v>
      </c>
      <c r="T113" s="22">
        <v>0.86</v>
      </c>
      <c r="U113" s="30"/>
      <c r="V113" s="30"/>
      <c r="W113" s="18">
        <v>0.9</v>
      </c>
      <c r="X113" s="22">
        <f>IFERROR((U113*0.7+T113*0.15+S113*0.15*#REF!),0)</f>
        <v>0</v>
      </c>
      <c r="Y113" s="20">
        <f t="shared" si="4"/>
        <v>36.7003896</v>
      </c>
      <c r="Z113" s="20">
        <f t="shared" si="6"/>
        <v>34.73401367</v>
      </c>
      <c r="AA113" s="20"/>
      <c r="AB113" s="20">
        <f>IFERROR(__xludf.DUMMYFUNCTION("iferror(PERCENTRANK.INC(FILTER($X$2:$X$423, $U$2:$U$423&lt;3.75), $X113), 1)"),0.26)</f>
        <v>0.26</v>
      </c>
      <c r="AC113" s="20">
        <f>IFERROR(__xludf.DUMMYFUNCTION("iferror(PERCENTRANK.INC(FILTER($X$2:$X$423, $U$2:$U$423&lt;4.25), $X113), 1)"),0.253)</f>
        <v>0.253</v>
      </c>
      <c r="AD113" s="20">
        <f>IFERROR(__xludf.DUMMYFUNCTION("iferror(PERCENTRANK.INC(FILTER($X$2:$X$423, $U$2:$U$423&gt;=4.1), $X113), 0.01)"),0.0)</f>
        <v>0</v>
      </c>
      <c r="AE113" s="20"/>
    </row>
    <row r="114" ht="14.25" customHeight="1">
      <c r="A114" s="17" t="s">
        <v>340</v>
      </c>
      <c r="B114" s="17" t="s">
        <v>341</v>
      </c>
      <c r="C114" s="18">
        <v>2.0</v>
      </c>
      <c r="D114" s="17" t="s">
        <v>98</v>
      </c>
      <c r="E114" s="17" t="s">
        <v>114</v>
      </c>
      <c r="F114" s="18">
        <v>393.0</v>
      </c>
      <c r="G114" s="18">
        <v>318.0</v>
      </c>
      <c r="H114" s="18">
        <v>213.0</v>
      </c>
      <c r="I114" s="19">
        <v>0.67</v>
      </c>
      <c r="J114" s="18">
        <v>2174.0</v>
      </c>
      <c r="K114" s="18">
        <v>6.8</v>
      </c>
      <c r="L114" s="18">
        <v>16.0</v>
      </c>
      <c r="M114" s="18">
        <v>7.0</v>
      </c>
      <c r="N114" s="18">
        <v>25.0</v>
      </c>
      <c r="O114" s="18">
        <v>10.0</v>
      </c>
      <c r="P114" s="20">
        <f t="shared" si="1"/>
        <v>3.127119536</v>
      </c>
      <c r="Q114" s="20">
        <f t="shared" si="2"/>
        <v>1.88191986</v>
      </c>
      <c r="R114" s="24"/>
      <c r="S114" s="20">
        <v>3.127119535743434</v>
      </c>
      <c r="T114" s="22">
        <v>3.72</v>
      </c>
      <c r="W114" s="25">
        <v>0.9</v>
      </c>
      <c r="X114" s="22">
        <f t="shared" ref="X114:X117" si="10">IFERROR((U114*0.7+T114*0.15+S114*0.15*W118),0)</f>
        <v>1.02706793</v>
      </c>
      <c r="Y114" s="20">
        <f t="shared" si="4"/>
        <v>49.40014941</v>
      </c>
      <c r="Z114" s="20">
        <f t="shared" si="6"/>
        <v>47.51822955</v>
      </c>
      <c r="AA114" s="20"/>
      <c r="AB114" s="20">
        <f>IFERROR(__xludf.DUMMYFUNCTION("iferror(PERCENTRANK.INC(FILTER($X$2:$X$423, $U$2:$U$423&lt;3.75), $X114), 1)"),0.941)</f>
        <v>0.941</v>
      </c>
      <c r="AC114" s="20">
        <f>IFERROR(__xludf.DUMMYFUNCTION("iferror(PERCENTRANK.INC(FILTER($X$2:$X$423, $U$2:$U$423&lt;4.25), $X114), 1)"),0.913)</f>
        <v>0.913</v>
      </c>
      <c r="AD114" s="20">
        <f>IFERROR(__xludf.DUMMYFUNCTION("iferror(PERCENTRANK.INC(FILTER($X$2:$X$423, $U$2:$U$423&gt;=4.1), $X114), 0.01)"),0.056)</f>
        <v>0.056</v>
      </c>
      <c r="AE114" s="20"/>
    </row>
    <row r="115" ht="14.25" customHeight="1">
      <c r="A115" s="17" t="s">
        <v>342</v>
      </c>
      <c r="B115" s="17" t="s">
        <v>343</v>
      </c>
      <c r="C115" s="18">
        <v>10.0</v>
      </c>
      <c r="D115" s="17" t="s">
        <v>98</v>
      </c>
      <c r="E115" s="17" t="s">
        <v>105</v>
      </c>
      <c r="F115" s="18">
        <v>184.0</v>
      </c>
      <c r="G115" s="18">
        <v>148.0</v>
      </c>
      <c r="H115" s="18">
        <v>86.0</v>
      </c>
      <c r="I115" s="19">
        <v>0.581</v>
      </c>
      <c r="J115" s="18">
        <v>1306.0</v>
      </c>
      <c r="K115" s="18">
        <v>8.8</v>
      </c>
      <c r="L115" s="18">
        <v>10.0</v>
      </c>
      <c r="M115" s="18">
        <v>1.0</v>
      </c>
      <c r="N115" s="18">
        <v>8.0</v>
      </c>
      <c r="O115" s="18">
        <v>4.0</v>
      </c>
      <c r="P115" s="20">
        <f t="shared" si="1"/>
        <v>3.215767118</v>
      </c>
      <c r="Q115" s="20">
        <f t="shared" si="2"/>
        <v>1.92395654</v>
      </c>
      <c r="R115" s="24"/>
      <c r="S115" s="20">
        <v>3.215767117508813</v>
      </c>
      <c r="T115" s="22">
        <v>1.58</v>
      </c>
      <c r="U115" s="30"/>
      <c r="V115" s="30"/>
      <c r="W115" s="18">
        <v>0.9</v>
      </c>
      <c r="X115" s="22">
        <f t="shared" si="10"/>
        <v>0.7193650676</v>
      </c>
      <c r="Y115" s="20">
        <f t="shared" si="4"/>
        <v>45.59538409</v>
      </c>
      <c r="Z115" s="20">
        <f t="shared" si="6"/>
        <v>43.67142755</v>
      </c>
      <c r="AA115" s="20"/>
      <c r="AB115" s="20">
        <f>IFERROR(__xludf.DUMMYFUNCTION("iferror(PERCENTRANK.INC(FILTER($X$2:$X$423, $U$2:$U$423&lt;3.75), $X115), 1)"),0.786)</f>
        <v>0.786</v>
      </c>
      <c r="AC115" s="20">
        <f>IFERROR(__xludf.DUMMYFUNCTION("iferror(PERCENTRANK.INC(FILTER($X$2:$X$423, $U$2:$U$423&lt;4.25), $X115), 1)"),0.763)</f>
        <v>0.763</v>
      </c>
      <c r="AD115" s="20">
        <f>IFERROR(__xludf.DUMMYFUNCTION("iferror(PERCENTRANK.INC(FILTER($X$2:$X$423, $U$2:$U$423&gt;=4.1), $X115), 0.01)"),0.051)</f>
        <v>0.051</v>
      </c>
      <c r="AE115" s="20"/>
    </row>
    <row r="116" ht="14.25" customHeight="1">
      <c r="A116" s="17" t="s">
        <v>344</v>
      </c>
      <c r="B116" s="17" t="s">
        <v>345</v>
      </c>
      <c r="C116" s="18">
        <v>11.0</v>
      </c>
      <c r="D116" s="17" t="s">
        <v>98</v>
      </c>
      <c r="E116" s="17" t="s">
        <v>144</v>
      </c>
      <c r="F116" s="18">
        <v>433.0</v>
      </c>
      <c r="G116" s="18">
        <v>379.0</v>
      </c>
      <c r="H116" s="18">
        <v>225.0</v>
      </c>
      <c r="I116" s="19">
        <v>0.594</v>
      </c>
      <c r="J116" s="18">
        <v>2218.0</v>
      </c>
      <c r="K116" s="18">
        <v>5.8</v>
      </c>
      <c r="L116" s="18">
        <v>16.0</v>
      </c>
      <c r="M116" s="18">
        <v>7.0</v>
      </c>
      <c r="N116" s="18">
        <v>22.0</v>
      </c>
      <c r="O116" s="18">
        <v>6.0</v>
      </c>
      <c r="P116" s="20">
        <f t="shared" si="1"/>
        <v>3.047084778</v>
      </c>
      <c r="Q116" s="20">
        <f t="shared" si="2"/>
        <v>1.843967381</v>
      </c>
      <c r="R116" s="24"/>
      <c r="S116" s="20">
        <v>3.0470847782605257</v>
      </c>
      <c r="T116" s="22">
        <v>-0.85</v>
      </c>
      <c r="U116" s="30"/>
      <c r="V116" s="30"/>
      <c r="W116" s="18">
        <v>0.95</v>
      </c>
      <c r="X116" s="22">
        <f t="shared" si="10"/>
        <v>0.2838564451</v>
      </c>
      <c r="Y116" s="20">
        <f t="shared" si="4"/>
        <v>40.21029247</v>
      </c>
      <c r="Z116" s="20">
        <f t="shared" si="6"/>
        <v>38.36632509</v>
      </c>
      <c r="AA116" s="20"/>
      <c r="AB116" s="20">
        <f>IFERROR(__xludf.DUMMYFUNCTION("iferror(PERCENTRANK.INC(FILTER($X$2:$X$423, $U$2:$U$423&lt;3.75), $X116), 1)"),0.536)</f>
        <v>0.536</v>
      </c>
      <c r="AC116" s="20">
        <f>IFERROR(__xludf.DUMMYFUNCTION("iferror(PERCENTRANK.INC(FILTER($X$2:$X$423, $U$2:$U$423&lt;4.25), $X116), 1)"),0.52)</f>
        <v>0.52</v>
      </c>
      <c r="AD116" s="20">
        <f>IFERROR(__xludf.DUMMYFUNCTION("iferror(PERCENTRANK.INC(FILTER($X$2:$X$423, $U$2:$U$423&gt;=4.1), $X116), 0.01)"),0.044)</f>
        <v>0.044</v>
      </c>
      <c r="AE116" s="20"/>
    </row>
    <row r="117" ht="14.25" customHeight="1">
      <c r="A117" s="17" t="s">
        <v>346</v>
      </c>
      <c r="B117" s="17" t="s">
        <v>347</v>
      </c>
      <c r="C117" s="18">
        <v>8.0</v>
      </c>
      <c r="D117" s="17" t="s">
        <v>98</v>
      </c>
      <c r="E117" s="17" t="s">
        <v>117</v>
      </c>
      <c r="F117" s="18">
        <v>227.0</v>
      </c>
      <c r="G117" s="18">
        <v>202.0</v>
      </c>
      <c r="H117" s="18">
        <v>128.0</v>
      </c>
      <c r="I117" s="19">
        <v>0.634</v>
      </c>
      <c r="J117" s="18">
        <v>1337.0</v>
      </c>
      <c r="K117" s="18">
        <v>6.6</v>
      </c>
      <c r="L117" s="18">
        <v>13.0</v>
      </c>
      <c r="M117" s="18">
        <v>2.0</v>
      </c>
      <c r="N117" s="18">
        <v>8.0</v>
      </c>
      <c r="O117" s="18">
        <v>3.0</v>
      </c>
      <c r="P117" s="20">
        <f t="shared" si="1"/>
        <v>3.110914521</v>
      </c>
      <c r="Q117" s="20">
        <f t="shared" si="2"/>
        <v>1.874235443</v>
      </c>
      <c r="R117" s="24"/>
      <c r="S117" s="20">
        <v>3.110914521132289</v>
      </c>
      <c r="T117" s="22">
        <v>1.37</v>
      </c>
      <c r="W117" s="25">
        <v>0.95</v>
      </c>
      <c r="X117" s="22">
        <f t="shared" si="10"/>
        <v>0.6488053193</v>
      </c>
      <c r="Y117" s="20">
        <f t="shared" si="4"/>
        <v>44.72290834</v>
      </c>
      <c r="Z117" s="20">
        <f t="shared" si="6"/>
        <v>42.8486729</v>
      </c>
      <c r="AA117" s="20"/>
      <c r="AB117" s="20">
        <f>IFERROR(__xludf.DUMMYFUNCTION("iferror(PERCENTRANK.INC(FILTER($X$2:$X$423, $U$2:$U$423&lt;3.75), $X117), 1)"),0.75)</f>
        <v>0.75</v>
      </c>
      <c r="AC117" s="20">
        <f>IFERROR(__xludf.DUMMYFUNCTION("iferror(PERCENTRANK.INC(FILTER($X$2:$X$423, $U$2:$U$423&lt;4.25), $X117), 1)"),0.728)</f>
        <v>0.728</v>
      </c>
      <c r="AD117" s="20">
        <f>IFERROR(__xludf.DUMMYFUNCTION("iferror(PERCENTRANK.INC(FILTER($X$2:$X$423, $U$2:$U$423&gt;=4.1), $X117), 0.01)"),0.05)</f>
        <v>0.05</v>
      </c>
      <c r="AE117" s="20"/>
    </row>
    <row r="118" ht="14.25" customHeight="1">
      <c r="A118" s="17" t="s">
        <v>348</v>
      </c>
      <c r="B118" s="17" t="s">
        <v>349</v>
      </c>
      <c r="C118" s="18">
        <v>5.0</v>
      </c>
      <c r="D118" s="17" t="s">
        <v>98</v>
      </c>
      <c r="E118" s="17" t="s">
        <v>108</v>
      </c>
      <c r="F118" s="18">
        <v>407.0</v>
      </c>
      <c r="G118" s="18">
        <v>381.0</v>
      </c>
      <c r="H118" s="18">
        <v>229.0</v>
      </c>
      <c r="I118" s="19">
        <v>0.601</v>
      </c>
      <c r="J118" s="18">
        <v>2240.0</v>
      </c>
      <c r="K118" s="18">
        <v>5.9</v>
      </c>
      <c r="L118" s="18">
        <v>16.0</v>
      </c>
      <c r="M118" s="18">
        <v>7.0</v>
      </c>
      <c r="N118" s="18">
        <v>21.0</v>
      </c>
      <c r="O118" s="18">
        <v>9.0</v>
      </c>
      <c r="P118" s="20">
        <f t="shared" si="1"/>
        <v>3.071712311</v>
      </c>
      <c r="Q118" s="20">
        <f t="shared" si="2"/>
        <v>1.855645756</v>
      </c>
      <c r="R118" s="24"/>
      <c r="S118" s="20">
        <v>3.071712310607673</v>
      </c>
      <c r="T118" s="22">
        <v>1.89</v>
      </c>
      <c r="W118" s="25">
        <v>1.0</v>
      </c>
      <c r="X118" s="22">
        <f t="shared" ref="X118:X127" si="11">IFERROR((U118*0.7+T118*0.15+S118*0.15*W123),0)</f>
        <v>0.6981811619</v>
      </c>
      <c r="Y118" s="20">
        <f t="shared" si="4"/>
        <v>45.33344375</v>
      </c>
      <c r="Z118" s="20">
        <f t="shared" si="6"/>
        <v>43.477798</v>
      </c>
      <c r="AA118" s="20"/>
      <c r="AB118" s="20">
        <f>IFERROR(__xludf.DUMMYFUNCTION("iferror(PERCENTRANK.INC(FILTER($X$2:$X$423, $U$2:$U$423&lt;3.75), $X118), 1)"),0.771)</f>
        <v>0.771</v>
      </c>
      <c r="AC118" s="20">
        <f>IFERROR(__xludf.DUMMYFUNCTION("iferror(PERCENTRANK.INC(FILTER($X$2:$X$423, $U$2:$U$423&lt;4.25), $X118), 1)"),0.748)</f>
        <v>0.748</v>
      </c>
      <c r="AD118" s="20">
        <f>IFERROR(__xludf.DUMMYFUNCTION("iferror(PERCENTRANK.INC(FILTER($X$2:$X$423, $U$2:$U$423&gt;=4.1), $X118), 0.01)"),0.051)</f>
        <v>0.051</v>
      </c>
      <c r="AE118" s="20"/>
    </row>
    <row r="119" ht="14.25" customHeight="1">
      <c r="A119" s="17" t="s">
        <v>350</v>
      </c>
      <c r="B119" s="17" t="s">
        <v>351</v>
      </c>
      <c r="C119" s="18">
        <v>9.0</v>
      </c>
      <c r="D119" s="17" t="s">
        <v>98</v>
      </c>
      <c r="E119" s="17" t="s">
        <v>135</v>
      </c>
      <c r="F119" s="18">
        <v>330.0</v>
      </c>
      <c r="G119" s="18">
        <v>295.0</v>
      </c>
      <c r="H119" s="18">
        <v>193.0</v>
      </c>
      <c r="I119" s="19">
        <v>0.654</v>
      </c>
      <c r="J119" s="18">
        <v>2053.0</v>
      </c>
      <c r="K119" s="18">
        <v>7.0</v>
      </c>
      <c r="L119" s="18">
        <v>12.0</v>
      </c>
      <c r="M119" s="18">
        <v>5.0</v>
      </c>
      <c r="N119" s="18">
        <v>16.0</v>
      </c>
      <c r="O119" s="18">
        <v>10.0</v>
      </c>
      <c r="P119" s="20">
        <f t="shared" si="1"/>
        <v>2.991374507</v>
      </c>
      <c r="Q119" s="20">
        <f t="shared" si="2"/>
        <v>1.817549573</v>
      </c>
      <c r="R119" s="24"/>
      <c r="S119" s="20">
        <v>2.991374507447355</v>
      </c>
      <c r="T119" s="22">
        <v>1.13</v>
      </c>
      <c r="U119" s="30"/>
      <c r="V119" s="30"/>
      <c r="W119" s="18">
        <v>1.0</v>
      </c>
      <c r="X119" s="22">
        <f t="shared" si="11"/>
        <v>0.5733355585</v>
      </c>
      <c r="Y119" s="20">
        <f t="shared" si="4"/>
        <v>43.78971999</v>
      </c>
      <c r="Z119" s="20">
        <f t="shared" si="6"/>
        <v>41.97217041</v>
      </c>
      <c r="AA119" s="20"/>
      <c r="AB119" s="20">
        <f>IFERROR(__xludf.DUMMYFUNCTION("iferror(PERCENTRANK.INC(FILTER($X$2:$X$423, $U$2:$U$423&lt;3.75), $X119), 1)"),0.706)</f>
        <v>0.706</v>
      </c>
      <c r="AC119" s="20">
        <f>IFERROR(__xludf.DUMMYFUNCTION("iferror(PERCENTRANK.INC(FILTER($X$2:$X$423, $U$2:$U$423&lt;4.25), $X119), 1)"),0.685)</f>
        <v>0.685</v>
      </c>
      <c r="AD119" s="20">
        <f>IFERROR(__xludf.DUMMYFUNCTION("iferror(PERCENTRANK.INC(FILTER($X$2:$X$423, $U$2:$U$423&gt;=4.1), $X119), 0.01)"),0.049)</f>
        <v>0.049</v>
      </c>
      <c r="AE119" s="20"/>
    </row>
    <row r="120" ht="14.25" customHeight="1">
      <c r="A120" s="17" t="s">
        <v>352</v>
      </c>
      <c r="B120" s="17" t="s">
        <v>353</v>
      </c>
      <c r="C120" s="18">
        <v>5.0</v>
      </c>
      <c r="D120" s="17" t="s">
        <v>98</v>
      </c>
      <c r="E120" s="17" t="s">
        <v>105</v>
      </c>
      <c r="F120" s="18">
        <v>360.0</v>
      </c>
      <c r="G120" s="18">
        <v>321.0</v>
      </c>
      <c r="H120" s="18">
        <v>172.0</v>
      </c>
      <c r="I120" s="19">
        <v>0.536</v>
      </c>
      <c r="J120" s="18">
        <v>2322.0</v>
      </c>
      <c r="K120" s="18">
        <v>7.2</v>
      </c>
      <c r="L120" s="18">
        <v>12.0</v>
      </c>
      <c r="M120" s="18">
        <v>6.0</v>
      </c>
      <c r="N120" s="18">
        <v>22.0</v>
      </c>
      <c r="O120" s="18">
        <v>11.0</v>
      </c>
      <c r="P120" s="20">
        <f t="shared" si="1"/>
        <v>3.020826559</v>
      </c>
      <c r="Q120" s="20">
        <f t="shared" si="2"/>
        <v>1.831515734</v>
      </c>
      <c r="R120" s="24"/>
      <c r="S120" s="20">
        <v>3.0208265586708207</v>
      </c>
      <c r="T120" s="22">
        <v>-2.41</v>
      </c>
      <c r="W120" s="25">
        <v>0.9</v>
      </c>
      <c r="X120" s="22">
        <f t="shared" si="11"/>
        <v>0.04631158542</v>
      </c>
      <c r="Y120" s="20">
        <f t="shared" si="4"/>
        <v>37.27303528</v>
      </c>
      <c r="Z120" s="20">
        <f t="shared" si="6"/>
        <v>35.44151955</v>
      </c>
      <c r="AA120" s="20"/>
      <c r="AB120" s="20">
        <f>IFERROR(__xludf.DUMMYFUNCTION("iferror(PERCENTRANK.INC(FILTER($X$2:$X$423, $U$2:$U$423&lt;3.75), $X120), 1)"),0.32)</f>
        <v>0.32</v>
      </c>
      <c r="AC120" s="20">
        <f>IFERROR(__xludf.DUMMYFUNCTION("iferror(PERCENTRANK.INC(FILTER($X$2:$X$423, $U$2:$U$423&lt;4.25), $X120), 1)"),0.31)</f>
        <v>0.31</v>
      </c>
      <c r="AD120" s="20">
        <f>IFERROR(__xludf.DUMMYFUNCTION("iferror(PERCENTRANK.INC(FILTER($X$2:$X$423, $U$2:$U$423&gt;=4.1), $X120), 0.01)"),0.041)</f>
        <v>0.041</v>
      </c>
      <c r="AE120" s="20"/>
    </row>
    <row r="121" ht="14.25" customHeight="1">
      <c r="A121" s="17" t="s">
        <v>354</v>
      </c>
      <c r="B121" s="17" t="s">
        <v>355</v>
      </c>
      <c r="C121" s="18">
        <v>1.0</v>
      </c>
      <c r="D121" s="17" t="s">
        <v>98</v>
      </c>
      <c r="E121" s="17" t="s">
        <v>117</v>
      </c>
      <c r="F121" s="18">
        <v>578.0</v>
      </c>
      <c r="G121" s="18">
        <v>504.0</v>
      </c>
      <c r="H121" s="18">
        <v>320.0</v>
      </c>
      <c r="I121" s="19">
        <v>0.635</v>
      </c>
      <c r="J121" s="18">
        <v>3143.0</v>
      </c>
      <c r="K121" s="18">
        <v>6.2</v>
      </c>
      <c r="L121" s="18">
        <v>16.0</v>
      </c>
      <c r="M121" s="18">
        <v>11.0</v>
      </c>
      <c r="N121" s="18">
        <v>32.0</v>
      </c>
      <c r="O121" s="18">
        <v>20.0</v>
      </c>
      <c r="P121" s="20">
        <f t="shared" si="1"/>
        <v>3.019735646</v>
      </c>
      <c r="Q121" s="20">
        <f t="shared" si="2"/>
        <v>1.830998424</v>
      </c>
      <c r="R121" s="24"/>
      <c r="S121" s="20">
        <v>3.0197356464546607</v>
      </c>
      <c r="T121" s="22">
        <v>-3.15</v>
      </c>
      <c r="U121" s="30"/>
      <c r="V121" s="30"/>
      <c r="W121" s="18">
        <v>0.95</v>
      </c>
      <c r="X121" s="22">
        <f t="shared" si="11"/>
        <v>-0.06483568773</v>
      </c>
      <c r="Y121" s="20">
        <f t="shared" si="4"/>
        <v>35.89869223</v>
      </c>
      <c r="Z121" s="20">
        <f t="shared" si="6"/>
        <v>34.06769381</v>
      </c>
      <c r="AA121" s="20"/>
      <c r="AB121" s="20">
        <f>IFERROR(__xludf.DUMMYFUNCTION("iferror(PERCENTRANK.INC(FILTER($X$2:$X$423, $U$2:$U$423&lt;3.75), $X121), 1)"),0.204)</f>
        <v>0.204</v>
      </c>
      <c r="AC121" s="20">
        <f>IFERROR(__xludf.DUMMYFUNCTION("iferror(PERCENTRANK.INC(FILTER($X$2:$X$423, $U$2:$U$423&lt;4.25), $X121), 1)"),0.198)</f>
        <v>0.198</v>
      </c>
      <c r="AD121" s="20">
        <f>IFERROR(__xludf.DUMMYFUNCTION("iferror(PERCENTRANK.INC(FILTER($X$2:$X$423, $U$2:$U$423&gt;=4.1), $X121), 0.01)"),0.01)</f>
        <v>0.01</v>
      </c>
      <c r="AE121" s="20"/>
    </row>
    <row r="122" ht="14.25" customHeight="1">
      <c r="A122" s="17" t="s">
        <v>356</v>
      </c>
      <c r="B122" s="17" t="s">
        <v>357</v>
      </c>
      <c r="C122" s="18">
        <v>5.0</v>
      </c>
      <c r="D122" s="17" t="s">
        <v>98</v>
      </c>
      <c r="E122" s="17" t="s">
        <v>121</v>
      </c>
      <c r="F122" s="18">
        <v>326.0</v>
      </c>
      <c r="G122" s="18">
        <v>291.0</v>
      </c>
      <c r="H122" s="18">
        <v>157.0</v>
      </c>
      <c r="I122" s="19">
        <v>0.539</v>
      </c>
      <c r="J122" s="18">
        <v>2092.0</v>
      </c>
      <c r="K122" s="18">
        <v>7.2</v>
      </c>
      <c r="L122" s="18">
        <v>13.0</v>
      </c>
      <c r="M122" s="18">
        <v>6.0</v>
      </c>
      <c r="N122" s="18">
        <v>22.0</v>
      </c>
      <c r="O122" s="18">
        <v>13.0</v>
      </c>
      <c r="P122" s="20">
        <f t="shared" si="1"/>
        <v>2.942149506</v>
      </c>
      <c r="Q122" s="20">
        <f t="shared" si="2"/>
        <v>1.794207079</v>
      </c>
      <c r="R122" s="24"/>
      <c r="S122" s="20">
        <v>2.942149505808193</v>
      </c>
      <c r="T122" s="22">
        <v>0.54</v>
      </c>
      <c r="U122" s="30"/>
      <c r="V122" s="30"/>
      <c r="W122" s="18">
        <v>0.9</v>
      </c>
      <c r="X122" s="22">
        <f t="shared" si="11"/>
        <v>0.5223224259</v>
      </c>
      <c r="Y122" s="20">
        <f t="shared" si="4"/>
        <v>43.15893938</v>
      </c>
      <c r="Z122" s="20">
        <f t="shared" si="6"/>
        <v>41.3647323</v>
      </c>
      <c r="AA122" s="20"/>
      <c r="AB122" s="20">
        <f>IFERROR(__xludf.DUMMYFUNCTION("iferror(PERCENTRANK.INC(FILTER($X$2:$X$423, $U$2:$U$423&lt;3.75), $X122), 1)"),0.668)</f>
        <v>0.668</v>
      </c>
      <c r="AC122" s="20">
        <f>IFERROR(__xludf.DUMMYFUNCTION("iferror(PERCENTRANK.INC(FILTER($X$2:$X$423, $U$2:$U$423&lt;4.25), $X122), 1)"),0.648)</f>
        <v>0.648</v>
      </c>
      <c r="AD122" s="20">
        <f>IFERROR(__xludf.DUMMYFUNCTION("iferror(PERCENTRANK.INC(FILTER($X$2:$X$423, $U$2:$U$423&gt;=4.1), $X122), 0.01)"),0.048)</f>
        <v>0.048</v>
      </c>
      <c r="AE122" s="20"/>
    </row>
    <row r="123" ht="14.25" customHeight="1">
      <c r="A123" s="17" t="s">
        <v>358</v>
      </c>
      <c r="B123" s="17" t="s">
        <v>191</v>
      </c>
      <c r="C123" s="18">
        <v>3.0</v>
      </c>
      <c r="D123" s="17" t="s">
        <v>98</v>
      </c>
      <c r="E123" s="17" t="s">
        <v>155</v>
      </c>
      <c r="F123" s="18">
        <v>83.0</v>
      </c>
      <c r="G123" s="18">
        <v>74.0</v>
      </c>
      <c r="H123" s="18">
        <v>49.0</v>
      </c>
      <c r="I123" s="19">
        <v>0.662</v>
      </c>
      <c r="J123" s="18">
        <v>791.0</v>
      </c>
      <c r="K123" s="18">
        <v>10.7</v>
      </c>
      <c r="L123" s="18">
        <v>8.0</v>
      </c>
      <c r="M123" s="18">
        <v>1.0</v>
      </c>
      <c r="N123" s="18">
        <v>2.0</v>
      </c>
      <c r="O123" s="18">
        <v>2.0</v>
      </c>
      <c r="P123" s="20">
        <f t="shared" si="1"/>
        <v>2.849715993</v>
      </c>
      <c r="Q123" s="20">
        <f t="shared" si="2"/>
        <v>1.75037511</v>
      </c>
      <c r="R123" s="29"/>
      <c r="S123" s="20">
        <v>2.8497159928362095</v>
      </c>
      <c r="T123" s="22">
        <v>1.09</v>
      </c>
      <c r="U123" s="31"/>
      <c r="V123" s="30"/>
      <c r="W123" s="18">
        <v>0.9</v>
      </c>
      <c r="X123" s="22">
        <f t="shared" si="11"/>
        <v>0.548211659</v>
      </c>
      <c r="Y123" s="20">
        <f t="shared" si="4"/>
        <v>43.47906138</v>
      </c>
      <c r="Z123" s="20">
        <f t="shared" si="6"/>
        <v>41.72868627</v>
      </c>
      <c r="AA123" s="20"/>
      <c r="AB123" s="20">
        <f>IFERROR(__xludf.DUMMYFUNCTION("iferror(PERCENTRANK.INC(FILTER($X$2:$X$423, $U$2:$U$423&lt;3.75), $X123), 1)"),0.686)</f>
        <v>0.686</v>
      </c>
      <c r="AC123" s="20">
        <f>IFERROR(__xludf.DUMMYFUNCTION("iferror(PERCENTRANK.INC(FILTER($X$2:$X$423, $U$2:$U$423&lt;4.25), $X123), 1)"),0.665)</f>
        <v>0.665</v>
      </c>
      <c r="AD123" s="20">
        <f>IFERROR(__xludf.DUMMYFUNCTION("iferror(PERCENTRANK.INC(FILTER($X$2:$X$423, $U$2:$U$423&gt;=4.1), $X123), 0.01)"),0.049)</f>
        <v>0.049</v>
      </c>
      <c r="AE123" s="20"/>
    </row>
    <row r="124" ht="14.25" customHeight="1">
      <c r="A124" s="17" t="s">
        <v>359</v>
      </c>
      <c r="B124" s="17" t="s">
        <v>360</v>
      </c>
      <c r="C124" s="18">
        <v>3.0</v>
      </c>
      <c r="D124" s="17" t="s">
        <v>98</v>
      </c>
      <c r="E124" s="17" t="s">
        <v>189</v>
      </c>
      <c r="F124" s="18">
        <v>326.0</v>
      </c>
      <c r="G124" s="18">
        <v>273.0</v>
      </c>
      <c r="H124" s="18">
        <v>159.0</v>
      </c>
      <c r="I124" s="19">
        <v>0.582</v>
      </c>
      <c r="J124" s="18">
        <v>1966.0</v>
      </c>
      <c r="K124" s="18">
        <v>7.2</v>
      </c>
      <c r="L124" s="18">
        <v>14.0</v>
      </c>
      <c r="M124" s="18">
        <v>6.0</v>
      </c>
      <c r="N124" s="18">
        <v>9.0</v>
      </c>
      <c r="O124" s="18">
        <v>14.0</v>
      </c>
      <c r="P124" s="20">
        <f t="shared" si="1"/>
        <v>2.996240997</v>
      </c>
      <c r="Q124" s="20">
        <f t="shared" si="2"/>
        <v>1.819857262</v>
      </c>
      <c r="R124" s="24"/>
      <c r="S124" s="20">
        <v>2.9962409970111685</v>
      </c>
      <c r="T124" s="22">
        <v>2.97</v>
      </c>
      <c r="U124" s="30"/>
      <c r="V124" s="30"/>
      <c r="W124" s="18">
        <v>0.9</v>
      </c>
      <c r="X124" s="22">
        <f t="shared" si="11"/>
        <v>0.8949361496</v>
      </c>
      <c r="Y124" s="20">
        <f t="shared" si="4"/>
        <v>47.7663316</v>
      </c>
      <c r="Z124" s="20">
        <f t="shared" si="6"/>
        <v>45.94647434</v>
      </c>
      <c r="AA124" s="20"/>
      <c r="AB124" s="20">
        <f>IFERROR(__xludf.DUMMYFUNCTION("iferror(PERCENTRANK.INC(FILTER($X$2:$X$423, $U$2:$U$423&lt;3.75), $X124), 1)"),0.892)</f>
        <v>0.892</v>
      </c>
      <c r="AC124" s="20">
        <f>IFERROR(__xludf.DUMMYFUNCTION("iferror(PERCENTRANK.INC(FILTER($X$2:$X$423, $U$2:$U$423&lt;4.25), $X124), 1)"),0.865)</f>
        <v>0.865</v>
      </c>
      <c r="AD124" s="20">
        <f>IFERROR(__xludf.DUMMYFUNCTION("iferror(PERCENTRANK.INC(FILTER($X$2:$X$423, $U$2:$U$423&gt;=4.1), $X124), 0.01)"),0.054)</f>
        <v>0.054</v>
      </c>
      <c r="AE124" s="20"/>
    </row>
    <row r="125" ht="14.25" customHeight="1">
      <c r="A125" s="17" t="s">
        <v>361</v>
      </c>
      <c r="B125" s="17" t="s">
        <v>362</v>
      </c>
      <c r="C125" s="18">
        <v>4.0</v>
      </c>
      <c r="D125" s="17" t="s">
        <v>98</v>
      </c>
      <c r="E125" s="17" t="s">
        <v>243</v>
      </c>
      <c r="F125" s="18">
        <v>343.0</v>
      </c>
      <c r="G125" s="18">
        <v>291.0</v>
      </c>
      <c r="H125" s="18">
        <v>171.0</v>
      </c>
      <c r="I125" s="19">
        <v>0.588</v>
      </c>
      <c r="J125" s="18">
        <v>2137.0</v>
      </c>
      <c r="K125" s="18">
        <v>7.3</v>
      </c>
      <c r="L125" s="18">
        <v>15.0</v>
      </c>
      <c r="M125" s="18">
        <v>8.0</v>
      </c>
      <c r="N125" s="18">
        <v>21.0</v>
      </c>
      <c r="O125" s="18">
        <v>13.0</v>
      </c>
      <c r="P125" s="20">
        <f t="shared" si="1"/>
        <v>2.838752679</v>
      </c>
      <c r="Q125" s="20">
        <f t="shared" si="2"/>
        <v>1.745176307</v>
      </c>
      <c r="R125" s="29"/>
      <c r="S125" s="20">
        <v>2.838752678588962</v>
      </c>
      <c r="T125" s="22">
        <v>6.39</v>
      </c>
      <c r="U125" s="31"/>
      <c r="V125" s="30"/>
      <c r="W125" s="18">
        <v>0.9</v>
      </c>
      <c r="X125" s="22">
        <f t="shared" si="11"/>
        <v>1.341731612</v>
      </c>
      <c r="Y125" s="20">
        <f t="shared" si="4"/>
        <v>53.2909857</v>
      </c>
      <c r="Z125" s="20">
        <f t="shared" si="6"/>
        <v>51.54580939</v>
      </c>
      <c r="AA125" s="20"/>
      <c r="AB125" s="20">
        <f>IFERROR(__xludf.DUMMYFUNCTION("iferror(PERCENTRANK.INC(FILTER($X$2:$X$423, $U$2:$U$423&lt;3.75), $X125), 1)"),0.959)</f>
        <v>0.959</v>
      </c>
      <c r="AC125" s="20">
        <f>IFERROR(__xludf.DUMMYFUNCTION("iferror(PERCENTRANK.INC(FILTER($X$2:$X$423, $U$2:$U$423&lt;4.25), $X125), 1)"),0.93)</f>
        <v>0.93</v>
      </c>
      <c r="AD125" s="20">
        <f>IFERROR(__xludf.DUMMYFUNCTION("iferror(PERCENTRANK.INC(FILTER($X$2:$X$423, $U$2:$U$423&gt;=4.1), $X125), 0.01)"),0.061)</f>
        <v>0.061</v>
      </c>
      <c r="AE125" s="20"/>
    </row>
    <row r="126" ht="14.25" customHeight="1">
      <c r="A126" s="17" t="s">
        <v>363</v>
      </c>
      <c r="B126" s="17" t="s">
        <v>137</v>
      </c>
      <c r="C126" s="18">
        <v>15.0</v>
      </c>
      <c r="D126" s="17" t="s">
        <v>98</v>
      </c>
      <c r="E126" s="17" t="s">
        <v>138</v>
      </c>
      <c r="F126" s="18">
        <v>177.0</v>
      </c>
      <c r="G126" s="18">
        <v>155.0</v>
      </c>
      <c r="H126" s="18">
        <v>92.0</v>
      </c>
      <c r="I126" s="19">
        <v>0.594</v>
      </c>
      <c r="J126" s="18">
        <v>1183.0</v>
      </c>
      <c r="K126" s="18">
        <v>7.6</v>
      </c>
      <c r="L126" s="18">
        <v>11.0</v>
      </c>
      <c r="M126" s="18">
        <v>2.0</v>
      </c>
      <c r="N126" s="18">
        <v>5.0</v>
      </c>
      <c r="O126" s="18">
        <v>4.0</v>
      </c>
      <c r="P126" s="20">
        <f t="shared" si="1"/>
        <v>2.885664251</v>
      </c>
      <c r="Q126" s="20">
        <f t="shared" si="2"/>
        <v>1.767421773</v>
      </c>
      <c r="R126" s="29"/>
      <c r="S126" s="20">
        <v>2.885664251139056</v>
      </c>
      <c r="T126" s="22">
        <v>0.91</v>
      </c>
      <c r="U126" s="31"/>
      <c r="V126" s="30"/>
      <c r="W126" s="18">
        <v>0.9</v>
      </c>
      <c r="X126" s="22">
        <f t="shared" si="11"/>
        <v>0.5260646739</v>
      </c>
      <c r="Y126" s="20">
        <f t="shared" si="4"/>
        <v>43.20521251</v>
      </c>
      <c r="Z126" s="20">
        <f t="shared" si="6"/>
        <v>41.43779074</v>
      </c>
      <c r="AA126" s="20"/>
      <c r="AB126" s="20">
        <f>IFERROR(__xludf.DUMMYFUNCTION("iferror(PERCENTRANK.INC(FILTER($X$2:$X$423, $U$2:$U$423&lt;3.75), $X126), 1)"),0.675)</f>
        <v>0.675</v>
      </c>
      <c r="AC126" s="20">
        <f>IFERROR(__xludf.DUMMYFUNCTION("iferror(PERCENTRANK.INC(FILTER($X$2:$X$423, $U$2:$U$423&lt;4.25), $X126), 1)"),0.655)</f>
        <v>0.655</v>
      </c>
      <c r="AD126" s="20">
        <f>IFERROR(__xludf.DUMMYFUNCTION("iferror(PERCENTRANK.INC(FILTER($X$2:$X$423, $U$2:$U$423&gt;=4.1), $X126), 0.01)"),0.048)</f>
        <v>0.048</v>
      </c>
      <c r="AE126" s="20"/>
    </row>
    <row r="127" ht="14.25" customHeight="1">
      <c r="A127" s="17" t="s">
        <v>364</v>
      </c>
      <c r="B127" s="17" t="s">
        <v>365</v>
      </c>
      <c r="C127" s="18">
        <v>10.0</v>
      </c>
      <c r="D127" s="17" t="s">
        <v>98</v>
      </c>
      <c r="E127" s="17" t="s">
        <v>99</v>
      </c>
      <c r="F127" s="18">
        <v>310.0</v>
      </c>
      <c r="G127" s="18">
        <v>261.0</v>
      </c>
      <c r="H127" s="18">
        <v>154.0</v>
      </c>
      <c r="I127" s="19">
        <v>0.59</v>
      </c>
      <c r="J127" s="18">
        <v>1840.0</v>
      </c>
      <c r="K127" s="18">
        <v>7.0</v>
      </c>
      <c r="L127" s="18">
        <v>10.0</v>
      </c>
      <c r="M127" s="18">
        <v>3.0</v>
      </c>
      <c r="N127" s="18">
        <v>20.0</v>
      </c>
      <c r="O127" s="18">
        <v>12.0</v>
      </c>
      <c r="P127" s="20">
        <f t="shared" si="1"/>
        <v>2.954832262</v>
      </c>
      <c r="Q127" s="20">
        <f t="shared" si="2"/>
        <v>1.800221241</v>
      </c>
      <c r="R127" s="24"/>
      <c r="S127" s="20">
        <v>2.95483226177234</v>
      </c>
      <c r="T127" s="22">
        <v>-0.36</v>
      </c>
      <c r="U127" s="16">
        <v>4.49</v>
      </c>
      <c r="V127" s="16">
        <v>-4.1</v>
      </c>
      <c r="W127" s="25">
        <v>1.0</v>
      </c>
      <c r="X127" s="22">
        <f t="shared" si="11"/>
        <v>3.487902355</v>
      </c>
      <c r="Y127" s="20">
        <f t="shared" si="4"/>
        <v>79.82852245</v>
      </c>
      <c r="Z127" s="20">
        <f t="shared" si="6"/>
        <v>78.02830121</v>
      </c>
      <c r="AA127" s="20"/>
      <c r="AB127" s="20">
        <f>IFERROR(__xludf.DUMMYFUNCTION("iferror(PERCENTRANK.INC(FILTER($X$2:$X$423, $U$2:$U$423&lt;3.75), $X127), 1)"),0.995)</f>
        <v>0.995</v>
      </c>
      <c r="AC127" s="20">
        <f>IFERROR(__xludf.DUMMYFUNCTION("iferror(PERCENTRANK.INC(FILTER($X$2:$X$423, $U$2:$U$423&lt;4.25), $X127), 1)"),0.988)</f>
        <v>0.988</v>
      </c>
      <c r="AD127" s="20">
        <f>IFERROR(__xludf.DUMMYFUNCTION("iferror(PERCENTRANK.INC(FILTER($X$2:$X$423, $U$2:$U$423&gt;=4.1), $X127), 0.01)"),0.36)</f>
        <v>0.36</v>
      </c>
      <c r="AE127" s="20"/>
    </row>
    <row r="128" ht="14.25" customHeight="1">
      <c r="A128" s="17" t="s">
        <v>366</v>
      </c>
      <c r="B128" s="17" t="s">
        <v>367</v>
      </c>
      <c r="C128" s="18">
        <v>11.0</v>
      </c>
      <c r="D128" s="17" t="s">
        <v>98</v>
      </c>
      <c r="E128" s="17" t="s">
        <v>179</v>
      </c>
      <c r="F128" s="18">
        <v>393.0</v>
      </c>
      <c r="G128" s="18">
        <v>360.0</v>
      </c>
      <c r="H128" s="18">
        <v>208.0</v>
      </c>
      <c r="I128" s="19">
        <v>0.578</v>
      </c>
      <c r="J128" s="18">
        <v>2326.0</v>
      </c>
      <c r="K128" s="18">
        <v>6.5</v>
      </c>
      <c r="L128" s="18">
        <v>17.0</v>
      </c>
      <c r="M128" s="18">
        <v>9.0</v>
      </c>
      <c r="N128" s="18">
        <v>17.0</v>
      </c>
      <c r="O128" s="18">
        <v>13.0</v>
      </c>
      <c r="P128" s="20">
        <f t="shared" si="1"/>
        <v>2.942700114</v>
      </c>
      <c r="Q128" s="20">
        <f t="shared" si="2"/>
        <v>1.794468177</v>
      </c>
      <c r="R128" s="29"/>
      <c r="S128" s="20">
        <v>2.9427001136556403</v>
      </c>
      <c r="T128" s="22">
        <v>-1.11</v>
      </c>
      <c r="U128" s="31"/>
      <c r="V128" s="30"/>
      <c r="W128" s="18">
        <v>0.9</v>
      </c>
      <c r="X128" s="22">
        <f>IFERROR((U128*0.7+T128*0.15+S128*0.15*#REF!),0)</f>
        <v>0</v>
      </c>
      <c r="Y128" s="20">
        <f t="shared" si="4"/>
        <v>36.7003896</v>
      </c>
      <c r="Z128" s="20">
        <f t="shared" si="6"/>
        <v>34.90592143</v>
      </c>
      <c r="AA128" s="20"/>
      <c r="AB128" s="20">
        <f>IFERROR(__xludf.DUMMYFUNCTION("iferror(PERCENTRANK.INC(FILTER($X$2:$X$423, $U$2:$U$423&lt;3.75), $X128), 1)"),0.26)</f>
        <v>0.26</v>
      </c>
      <c r="AC128" s="20">
        <f>IFERROR(__xludf.DUMMYFUNCTION("iferror(PERCENTRANK.INC(FILTER($X$2:$X$423, $U$2:$U$423&lt;4.25), $X128), 1)"),0.253)</f>
        <v>0.253</v>
      </c>
      <c r="AD128" s="20">
        <f>IFERROR(__xludf.DUMMYFUNCTION("iferror(PERCENTRANK.INC(FILTER($X$2:$X$423, $U$2:$U$423&gt;=4.1), $X128), 0.01)"),0.0)</f>
        <v>0</v>
      </c>
      <c r="AE128" s="20"/>
    </row>
    <row r="129" ht="14.25" customHeight="1">
      <c r="A129" s="17" t="s">
        <v>368</v>
      </c>
      <c r="B129" s="17" t="s">
        <v>369</v>
      </c>
      <c r="C129" s="18">
        <v>9.0</v>
      </c>
      <c r="D129" s="17" t="s">
        <v>98</v>
      </c>
      <c r="E129" s="17" t="s">
        <v>135</v>
      </c>
      <c r="F129" s="18">
        <v>183.0</v>
      </c>
      <c r="G129" s="18">
        <v>164.0</v>
      </c>
      <c r="H129" s="18">
        <v>101.0</v>
      </c>
      <c r="I129" s="19">
        <v>0.616</v>
      </c>
      <c r="J129" s="18">
        <v>1333.0</v>
      </c>
      <c r="K129" s="18">
        <v>8.1</v>
      </c>
      <c r="L129" s="18">
        <v>10.0</v>
      </c>
      <c r="M129" s="18">
        <v>2.0</v>
      </c>
      <c r="N129" s="18">
        <v>13.0</v>
      </c>
      <c r="O129" s="18">
        <v>5.0</v>
      </c>
      <c r="P129" s="20">
        <f t="shared" si="1"/>
        <v>2.909283505</v>
      </c>
      <c r="Q129" s="20">
        <f t="shared" si="2"/>
        <v>1.778622022</v>
      </c>
      <c r="R129" s="24"/>
      <c r="S129" s="20">
        <v>2.9092835047314405</v>
      </c>
      <c r="T129" s="22">
        <v>3.9</v>
      </c>
      <c r="U129" s="30"/>
      <c r="V129" s="30"/>
      <c r="W129" s="18">
        <v>1.0</v>
      </c>
      <c r="X129" s="22">
        <f t="shared" ref="X129:X132" si="12">IFERROR((U129*0.7+T129*0.15+S129*0.15*W133),0)</f>
        <v>0.9777532731</v>
      </c>
      <c r="Y129" s="20">
        <f t="shared" si="4"/>
        <v>48.79037056</v>
      </c>
      <c r="Z129" s="20">
        <f t="shared" si="6"/>
        <v>47.01174854</v>
      </c>
      <c r="AA129" s="20"/>
      <c r="AB129" s="20">
        <f>IFERROR(__xludf.DUMMYFUNCTION("iferror(PERCENTRANK.INC(FILTER($X$2:$X$423, $U$2:$U$423&lt;3.75), $X129), 1)"),0.933)</f>
        <v>0.933</v>
      </c>
      <c r="AC129" s="20">
        <f>IFERROR(__xludf.DUMMYFUNCTION("iferror(PERCENTRANK.INC(FILTER($X$2:$X$423, $U$2:$U$423&lt;4.25), $X129), 1)"),0.905)</f>
        <v>0.905</v>
      </c>
      <c r="AD129" s="20">
        <f>IFERROR(__xludf.DUMMYFUNCTION("iferror(PERCENTRANK.INC(FILTER($X$2:$X$423, $U$2:$U$423&gt;=4.1), $X129), 0.01)"),0.055)</f>
        <v>0.055</v>
      </c>
      <c r="AE129" s="20"/>
    </row>
    <row r="130" ht="14.25" customHeight="1">
      <c r="A130" s="17" t="s">
        <v>370</v>
      </c>
      <c r="B130" s="17" t="s">
        <v>371</v>
      </c>
      <c r="C130" s="18">
        <v>10.0</v>
      </c>
      <c r="D130" s="17" t="s">
        <v>98</v>
      </c>
      <c r="E130" s="17" t="s">
        <v>127</v>
      </c>
      <c r="F130" s="18">
        <v>236.0</v>
      </c>
      <c r="G130" s="18">
        <v>180.0</v>
      </c>
      <c r="H130" s="18">
        <v>120.0</v>
      </c>
      <c r="I130" s="19">
        <v>0.667</v>
      </c>
      <c r="J130" s="18">
        <v>1586.0</v>
      </c>
      <c r="K130" s="18">
        <v>8.8</v>
      </c>
      <c r="L130" s="18">
        <v>11.0</v>
      </c>
      <c r="M130" s="18">
        <v>4.0</v>
      </c>
      <c r="N130" s="18">
        <v>23.0</v>
      </c>
      <c r="O130" s="18">
        <v>8.0</v>
      </c>
      <c r="P130" s="20">
        <f t="shared" si="1"/>
        <v>2.892455817</v>
      </c>
      <c r="Q130" s="20">
        <f t="shared" si="2"/>
        <v>1.770642334</v>
      </c>
      <c r="R130" s="24"/>
      <c r="S130" s="20">
        <v>2.8924558173258004</v>
      </c>
      <c r="T130" s="22">
        <v>1.67</v>
      </c>
      <c r="U130" s="30"/>
      <c r="V130" s="30"/>
      <c r="W130" s="18">
        <v>0.9</v>
      </c>
      <c r="X130" s="22">
        <f t="shared" si="12"/>
        <v>0.6409815353</v>
      </c>
      <c r="Y130" s="20">
        <f t="shared" si="4"/>
        <v>44.62616676</v>
      </c>
      <c r="Z130" s="20">
        <f t="shared" si="6"/>
        <v>42.85552443</v>
      </c>
      <c r="AA130" s="20"/>
      <c r="AB130" s="20">
        <f>IFERROR(__xludf.DUMMYFUNCTION("iferror(PERCENTRANK.INC(FILTER($X$2:$X$423, $U$2:$U$423&lt;3.75), $X130), 1)"),0.747)</f>
        <v>0.747</v>
      </c>
      <c r="AC130" s="20">
        <f>IFERROR(__xludf.DUMMYFUNCTION("iferror(PERCENTRANK.INC(FILTER($X$2:$X$423, $U$2:$U$423&lt;4.25), $X130), 1)"),0.725)</f>
        <v>0.725</v>
      </c>
      <c r="AD130" s="20">
        <f>IFERROR(__xludf.DUMMYFUNCTION("iferror(PERCENTRANK.INC(FILTER($X$2:$X$423, $U$2:$U$423&gt;=4.1), $X130), 0.01)"),0.05)</f>
        <v>0.05</v>
      </c>
      <c r="AE130" s="20"/>
    </row>
    <row r="131" ht="14.25" customHeight="1">
      <c r="A131" s="17" t="s">
        <v>372</v>
      </c>
      <c r="B131" s="17" t="s">
        <v>373</v>
      </c>
      <c r="C131" s="18">
        <v>6.0</v>
      </c>
      <c r="D131" s="17" t="s">
        <v>98</v>
      </c>
      <c r="E131" s="17" t="s">
        <v>179</v>
      </c>
      <c r="F131" s="18">
        <v>442.0</v>
      </c>
      <c r="G131" s="18">
        <v>376.0</v>
      </c>
      <c r="H131" s="18">
        <v>228.0</v>
      </c>
      <c r="I131" s="19">
        <v>0.606</v>
      </c>
      <c r="J131" s="18">
        <v>2252.0</v>
      </c>
      <c r="K131" s="18">
        <v>6.0</v>
      </c>
      <c r="L131" s="18">
        <v>12.0</v>
      </c>
      <c r="M131" s="18">
        <v>6.0</v>
      </c>
      <c r="N131" s="18">
        <v>24.0</v>
      </c>
      <c r="O131" s="18">
        <v>11.0</v>
      </c>
      <c r="P131" s="20">
        <f t="shared" si="1"/>
        <v>2.808139102</v>
      </c>
      <c r="Q131" s="20">
        <f t="shared" si="2"/>
        <v>1.73065935</v>
      </c>
      <c r="R131" s="29"/>
      <c r="S131" s="20">
        <v>2.8081391021469146</v>
      </c>
      <c r="T131" s="22">
        <v>-0.07</v>
      </c>
      <c r="U131" s="31"/>
      <c r="V131" s="30"/>
      <c r="W131" s="18">
        <v>0.9</v>
      </c>
      <c r="X131" s="22">
        <f t="shared" si="12"/>
        <v>0.4107208653</v>
      </c>
      <c r="Y131" s="20">
        <f t="shared" si="4"/>
        <v>41.77897904</v>
      </c>
      <c r="Z131" s="20">
        <f t="shared" si="6"/>
        <v>40.04831969</v>
      </c>
      <c r="AA131" s="20"/>
      <c r="AB131" s="20">
        <f>IFERROR(__xludf.DUMMYFUNCTION("iferror(PERCENTRANK.INC(FILTER($X$2:$X$423, $U$2:$U$423&lt;3.75), $X131), 1)"),0.603)</f>
        <v>0.603</v>
      </c>
      <c r="AC131" s="20">
        <f>IFERROR(__xludf.DUMMYFUNCTION("iferror(PERCENTRANK.INC(FILTER($X$2:$X$423, $U$2:$U$423&lt;4.25), $X131), 1)"),0.585)</f>
        <v>0.585</v>
      </c>
      <c r="AD131" s="20">
        <f>IFERROR(__xludf.DUMMYFUNCTION("iferror(PERCENTRANK.INC(FILTER($X$2:$X$423, $U$2:$U$423&gt;=4.1), $X131), 0.01)"),0.046)</f>
        <v>0.046</v>
      </c>
      <c r="AE131" s="20"/>
    </row>
    <row r="132" ht="14.25" customHeight="1">
      <c r="A132" s="17" t="s">
        <v>374</v>
      </c>
      <c r="B132" s="17" t="s">
        <v>375</v>
      </c>
      <c r="C132" s="18">
        <v>18.0</v>
      </c>
      <c r="D132" s="17" t="s">
        <v>98</v>
      </c>
      <c r="E132" s="17" t="s">
        <v>105</v>
      </c>
      <c r="F132" s="18">
        <v>401.0</v>
      </c>
      <c r="G132" s="18">
        <v>354.0</v>
      </c>
      <c r="H132" s="18">
        <v>201.0</v>
      </c>
      <c r="I132" s="19">
        <v>0.568</v>
      </c>
      <c r="J132" s="18">
        <v>2607.0</v>
      </c>
      <c r="K132" s="18">
        <v>7.4</v>
      </c>
      <c r="L132" s="18">
        <v>17.0</v>
      </c>
      <c r="M132" s="18">
        <v>11.0</v>
      </c>
      <c r="N132" s="18">
        <v>25.0</v>
      </c>
      <c r="O132" s="18">
        <v>14.0</v>
      </c>
      <c r="P132" s="20">
        <f t="shared" si="1"/>
        <v>2.871593442</v>
      </c>
      <c r="Q132" s="20">
        <f t="shared" si="2"/>
        <v>1.760749396</v>
      </c>
      <c r="R132" s="24"/>
      <c r="S132" s="20">
        <v>2.871593442270032</v>
      </c>
      <c r="T132" s="22">
        <v>1.35</v>
      </c>
      <c r="U132" s="30"/>
      <c r="V132" s="30"/>
      <c r="W132" s="18">
        <v>0.9</v>
      </c>
      <c r="X132" s="22">
        <f t="shared" si="12"/>
        <v>0.6332390163</v>
      </c>
      <c r="Y132" s="20">
        <f t="shared" si="4"/>
        <v>44.53043002</v>
      </c>
      <c r="Z132" s="20">
        <f t="shared" si="6"/>
        <v>42.76968063</v>
      </c>
      <c r="AA132" s="20"/>
      <c r="AB132" s="20">
        <f>IFERROR(__xludf.DUMMYFUNCTION("iferror(PERCENTRANK.INC(FILTER($X$2:$X$423, $U$2:$U$423&lt;3.75), $X132), 1)"),0.745)</f>
        <v>0.745</v>
      </c>
      <c r="AC132" s="20">
        <f>IFERROR(__xludf.DUMMYFUNCTION("iferror(PERCENTRANK.INC(FILTER($X$2:$X$423, $U$2:$U$423&lt;4.25), $X132), 1)"),0.723)</f>
        <v>0.723</v>
      </c>
      <c r="AD132" s="20">
        <f>IFERROR(__xludf.DUMMYFUNCTION("iferror(PERCENTRANK.INC(FILTER($X$2:$X$423, $U$2:$U$423&gt;=4.1), $X132), 0.01)"),0.05)</f>
        <v>0.05</v>
      </c>
      <c r="AE132" s="20"/>
    </row>
    <row r="133" ht="14.25" customHeight="1">
      <c r="A133" s="17" t="s">
        <v>376</v>
      </c>
      <c r="B133" s="17" t="s">
        <v>377</v>
      </c>
      <c r="C133" s="18">
        <v>10.0</v>
      </c>
      <c r="D133" s="17" t="s">
        <v>98</v>
      </c>
      <c r="E133" s="17" t="s">
        <v>138</v>
      </c>
      <c r="F133" s="18">
        <v>145.0</v>
      </c>
      <c r="G133" s="18">
        <v>131.0</v>
      </c>
      <c r="H133" s="18">
        <v>83.0</v>
      </c>
      <c r="I133" s="19">
        <v>0.634</v>
      </c>
      <c r="J133" s="18">
        <v>1136.0</v>
      </c>
      <c r="K133" s="18">
        <v>8.7</v>
      </c>
      <c r="L133" s="18">
        <v>7.0</v>
      </c>
      <c r="M133" s="18">
        <v>1.0</v>
      </c>
      <c r="N133" s="18">
        <v>4.0</v>
      </c>
      <c r="O133" s="18">
        <v>7.0</v>
      </c>
      <c r="P133" s="20">
        <f t="shared" si="1"/>
        <v>2.700903702</v>
      </c>
      <c r="Q133" s="20">
        <f t="shared" si="2"/>
        <v>1.679808327</v>
      </c>
      <c r="R133" s="29"/>
      <c r="S133" s="20">
        <v>2.7009037015003945</v>
      </c>
      <c r="T133" s="22">
        <v>3.71</v>
      </c>
      <c r="U133" s="31"/>
      <c r="V133" s="30"/>
      <c r="W133" s="18">
        <v>0.9</v>
      </c>
      <c r="X133" s="22">
        <f t="shared" ref="X133:X149" si="13">IFERROR((U133*0.7+T133*0.15+S133*0.15*W138),0)</f>
        <v>0.9413787775</v>
      </c>
      <c r="Y133" s="20">
        <f t="shared" si="4"/>
        <v>48.34059763</v>
      </c>
      <c r="Z133" s="20">
        <f t="shared" si="6"/>
        <v>46.6607893</v>
      </c>
      <c r="AA133" s="20"/>
      <c r="AB133" s="20">
        <f>IFERROR(__xludf.DUMMYFUNCTION("iferror(PERCENTRANK.INC(FILTER($X$2:$X$423, $U$2:$U$423&lt;3.75), $X133), 1)"),0.915)</f>
        <v>0.915</v>
      </c>
      <c r="AC133" s="20">
        <f>IFERROR(__xludf.DUMMYFUNCTION("iferror(PERCENTRANK.INC(FILTER($X$2:$X$423, $U$2:$U$423&lt;4.25), $X133), 1)"),0.888)</f>
        <v>0.888</v>
      </c>
      <c r="AD133" s="20">
        <f>IFERROR(__xludf.DUMMYFUNCTION("iferror(PERCENTRANK.INC(FILTER($X$2:$X$423, $U$2:$U$423&gt;=4.1), $X133), 0.01)"),0.055)</f>
        <v>0.055</v>
      </c>
      <c r="AE133" s="20"/>
    </row>
    <row r="134" ht="14.25" customHeight="1">
      <c r="A134" s="17" t="s">
        <v>378</v>
      </c>
      <c r="B134" s="17" t="s">
        <v>379</v>
      </c>
      <c r="C134" s="18">
        <v>1.0</v>
      </c>
      <c r="D134" s="17" t="s">
        <v>98</v>
      </c>
      <c r="E134" s="17" t="s">
        <v>138</v>
      </c>
      <c r="F134" s="18">
        <v>249.0</v>
      </c>
      <c r="G134" s="18">
        <v>213.0</v>
      </c>
      <c r="H134" s="18">
        <v>131.0</v>
      </c>
      <c r="I134" s="19">
        <v>0.615</v>
      </c>
      <c r="J134" s="18">
        <v>1710.0</v>
      </c>
      <c r="K134" s="18">
        <v>8.0</v>
      </c>
      <c r="L134" s="18">
        <v>13.0</v>
      </c>
      <c r="M134" s="18">
        <v>6.0</v>
      </c>
      <c r="N134" s="18">
        <v>15.0</v>
      </c>
      <c r="O134" s="18">
        <v>6.0</v>
      </c>
      <c r="P134" s="20">
        <f t="shared" si="1"/>
        <v>2.769528825</v>
      </c>
      <c r="Q134" s="20">
        <f t="shared" si="2"/>
        <v>1.712350358</v>
      </c>
      <c r="R134" s="24"/>
      <c r="S134" s="20">
        <v>2.7695288248769727</v>
      </c>
      <c r="T134" s="22">
        <v>1.29</v>
      </c>
      <c r="U134" s="30"/>
      <c r="V134" s="30"/>
      <c r="W134" s="18">
        <v>0.9</v>
      </c>
      <c r="X134" s="22">
        <f t="shared" si="13"/>
        <v>0.5881578575</v>
      </c>
      <c r="Y134" s="20">
        <f t="shared" si="4"/>
        <v>43.97299865</v>
      </c>
      <c r="Z134" s="20">
        <f t="shared" si="6"/>
        <v>42.26064829</v>
      </c>
      <c r="AA134" s="20"/>
      <c r="AB134" s="20">
        <f>IFERROR(__xludf.DUMMYFUNCTION("iferror(PERCENTRANK.INC(FILTER($X$2:$X$423, $U$2:$U$423&lt;3.75), $X134), 1)"),0.711)</f>
        <v>0.711</v>
      </c>
      <c r="AC134" s="20">
        <f>IFERROR(__xludf.DUMMYFUNCTION("iferror(PERCENTRANK.INC(FILTER($X$2:$X$423, $U$2:$U$423&lt;4.25), $X134), 1)"),0.69)</f>
        <v>0.69</v>
      </c>
      <c r="AD134" s="20">
        <f>IFERROR(__xludf.DUMMYFUNCTION("iferror(PERCENTRANK.INC(FILTER($X$2:$X$423, $U$2:$U$423&gt;=4.1), $X134), 0.01)"),0.049)</f>
        <v>0.049</v>
      </c>
      <c r="AE134" s="20"/>
    </row>
    <row r="135" ht="14.25" customHeight="1">
      <c r="A135" s="17" t="s">
        <v>380</v>
      </c>
      <c r="B135" s="17" t="s">
        <v>134</v>
      </c>
      <c r="C135" s="18">
        <v>6.0</v>
      </c>
      <c r="D135" s="17" t="s">
        <v>98</v>
      </c>
      <c r="E135" s="17" t="s">
        <v>135</v>
      </c>
      <c r="F135" s="18">
        <v>368.0</v>
      </c>
      <c r="G135" s="18">
        <v>304.0</v>
      </c>
      <c r="H135" s="18">
        <v>183.0</v>
      </c>
      <c r="I135" s="19">
        <v>0.602</v>
      </c>
      <c r="J135" s="18">
        <v>2224.0</v>
      </c>
      <c r="K135" s="18">
        <v>7.3</v>
      </c>
      <c r="L135" s="18">
        <v>15.0</v>
      </c>
      <c r="M135" s="18">
        <v>9.0</v>
      </c>
      <c r="N135" s="18">
        <v>28.0</v>
      </c>
      <c r="O135" s="18">
        <v>15.0</v>
      </c>
      <c r="P135" s="20">
        <f t="shared" si="1"/>
        <v>2.689853359</v>
      </c>
      <c r="Q135" s="20">
        <f t="shared" si="2"/>
        <v>1.674568256</v>
      </c>
      <c r="R135" s="24"/>
      <c r="S135" s="20">
        <v>2.6898533592677336</v>
      </c>
      <c r="T135" s="22">
        <v>1.46</v>
      </c>
      <c r="W135" s="25">
        <v>1.0</v>
      </c>
      <c r="X135" s="22">
        <f t="shared" si="13"/>
        <v>0.6023041037</v>
      </c>
      <c r="Y135" s="20">
        <f t="shared" si="4"/>
        <v>44.14791788</v>
      </c>
      <c r="Z135" s="20">
        <f t="shared" si="6"/>
        <v>42.47334962</v>
      </c>
      <c r="AA135" s="20"/>
      <c r="AB135" s="20">
        <f>IFERROR(__xludf.DUMMYFUNCTION("iferror(PERCENTRANK.INC(FILTER($X$2:$X$423, $U$2:$U$423&lt;3.75), $X135), 1)"),0.724)</f>
        <v>0.724</v>
      </c>
      <c r="AC135" s="20">
        <f>IFERROR(__xludf.DUMMYFUNCTION("iferror(PERCENTRANK.INC(FILTER($X$2:$X$423, $U$2:$U$423&lt;4.25), $X135), 1)"),0.703)</f>
        <v>0.703</v>
      </c>
      <c r="AD135" s="20">
        <f>IFERROR(__xludf.DUMMYFUNCTION("iferror(PERCENTRANK.INC(FILTER($X$2:$X$423, $U$2:$U$423&gt;=4.1), $X135), 0.01)"),0.049)</f>
        <v>0.049</v>
      </c>
      <c r="AE135" s="20"/>
    </row>
    <row r="136" ht="14.25" customHeight="1">
      <c r="A136" s="17" t="s">
        <v>381</v>
      </c>
      <c r="B136" s="17" t="s">
        <v>382</v>
      </c>
      <c r="C136" s="18">
        <v>16.0</v>
      </c>
      <c r="D136" s="17" t="s">
        <v>98</v>
      </c>
      <c r="E136" s="17" t="s">
        <v>182</v>
      </c>
      <c r="F136" s="18">
        <v>410.0</v>
      </c>
      <c r="G136" s="18">
        <v>320.0</v>
      </c>
      <c r="H136" s="18">
        <v>180.0</v>
      </c>
      <c r="I136" s="19">
        <v>0.563</v>
      </c>
      <c r="J136" s="18">
        <v>2469.0</v>
      </c>
      <c r="K136" s="18">
        <v>7.7</v>
      </c>
      <c r="L136" s="18">
        <v>13.0</v>
      </c>
      <c r="M136" s="18">
        <v>9.0</v>
      </c>
      <c r="N136" s="18">
        <v>41.0</v>
      </c>
      <c r="O136" s="18">
        <v>13.0</v>
      </c>
      <c r="P136" s="20">
        <f t="shared" si="1"/>
        <v>2.684641</v>
      </c>
      <c r="Q136" s="20">
        <f t="shared" si="2"/>
        <v>1.672096555</v>
      </c>
      <c r="R136" s="24"/>
      <c r="S136" s="20">
        <v>2.6846410000000005</v>
      </c>
      <c r="T136" s="22">
        <v>-0.19</v>
      </c>
      <c r="W136" s="25">
        <v>1.0</v>
      </c>
      <c r="X136" s="22">
        <f t="shared" si="13"/>
        <v>0.333926535</v>
      </c>
      <c r="Y136" s="20">
        <f t="shared" si="4"/>
        <v>40.82941229</v>
      </c>
      <c r="Z136" s="20">
        <f t="shared" si="6"/>
        <v>39.15731574</v>
      </c>
      <c r="AA136" s="20"/>
      <c r="AB136" s="20">
        <f>IFERROR(__xludf.DUMMYFUNCTION("iferror(PERCENTRANK.INC(FILTER($X$2:$X$423, $U$2:$U$423&lt;3.75), $X136), 1)"),0.562)</f>
        <v>0.562</v>
      </c>
      <c r="AC136" s="20">
        <f>IFERROR(__xludf.DUMMYFUNCTION("iferror(PERCENTRANK.INC(FILTER($X$2:$X$423, $U$2:$U$423&lt;4.25), $X136), 1)"),0.545)</f>
        <v>0.545</v>
      </c>
      <c r="AD136" s="20">
        <f>IFERROR(__xludf.DUMMYFUNCTION("iferror(PERCENTRANK.INC(FILTER($X$2:$X$423, $U$2:$U$423&gt;=4.1), $X136), 0.01)"),0.045)</f>
        <v>0.045</v>
      </c>
      <c r="AE136" s="20"/>
    </row>
    <row r="137" ht="14.25" customHeight="1">
      <c r="A137" s="17" t="s">
        <v>383</v>
      </c>
      <c r="B137" s="17" t="s">
        <v>384</v>
      </c>
      <c r="C137" s="18">
        <v>9.0</v>
      </c>
      <c r="D137" s="17" t="s">
        <v>98</v>
      </c>
      <c r="E137" s="17" t="s">
        <v>124</v>
      </c>
      <c r="F137" s="18">
        <v>296.0</v>
      </c>
      <c r="G137" s="18">
        <v>253.0</v>
      </c>
      <c r="H137" s="18">
        <v>155.0</v>
      </c>
      <c r="I137" s="19">
        <v>0.613</v>
      </c>
      <c r="J137" s="18">
        <v>1935.0</v>
      </c>
      <c r="K137" s="18">
        <v>7.7</v>
      </c>
      <c r="L137" s="18">
        <v>11.0</v>
      </c>
      <c r="M137" s="18">
        <v>6.0</v>
      </c>
      <c r="N137" s="18">
        <v>15.0</v>
      </c>
      <c r="O137" s="18">
        <v>9.0</v>
      </c>
      <c r="P137" s="20">
        <f t="shared" si="1"/>
        <v>2.671156826</v>
      </c>
      <c r="Q137" s="20">
        <f t="shared" si="2"/>
        <v>1.66570236</v>
      </c>
      <c r="R137" s="24"/>
      <c r="S137" s="20">
        <v>2.671156826300609</v>
      </c>
      <c r="T137" s="22">
        <v>1.1</v>
      </c>
      <c r="U137" s="30"/>
      <c r="V137" s="30"/>
      <c r="W137" s="18">
        <v>0.9</v>
      </c>
      <c r="X137" s="22">
        <f t="shared" si="13"/>
        <v>0.5256061716</v>
      </c>
      <c r="Y137" s="20">
        <f t="shared" si="4"/>
        <v>43.1995431</v>
      </c>
      <c r="Z137" s="20">
        <f t="shared" si="6"/>
        <v>41.53384074</v>
      </c>
      <c r="AA137" s="20"/>
      <c r="AB137" s="20">
        <f>IFERROR(__xludf.DUMMYFUNCTION("iferror(PERCENTRANK.INC(FILTER($X$2:$X$423, $U$2:$U$423&lt;3.75), $X137), 1)"),0.673)</f>
        <v>0.673</v>
      </c>
      <c r="AC137" s="20">
        <f>IFERROR(__xludf.DUMMYFUNCTION("iferror(PERCENTRANK.INC(FILTER($X$2:$X$423, $U$2:$U$423&lt;4.25), $X137), 1)"),0.653)</f>
        <v>0.653</v>
      </c>
      <c r="AD137" s="20">
        <f>IFERROR(__xludf.DUMMYFUNCTION("iferror(PERCENTRANK.INC(FILTER($X$2:$X$423, $U$2:$U$423&gt;=4.1), $X137), 0.01)"),0.048)</f>
        <v>0.048</v>
      </c>
      <c r="AE137" s="20"/>
    </row>
    <row r="138" ht="14.25" customHeight="1">
      <c r="A138" s="17" t="s">
        <v>385</v>
      </c>
      <c r="B138" s="17" t="s">
        <v>386</v>
      </c>
      <c r="C138" s="18">
        <v>10.0</v>
      </c>
      <c r="D138" s="17" t="s">
        <v>98</v>
      </c>
      <c r="E138" s="17" t="s">
        <v>158</v>
      </c>
      <c r="F138" s="18">
        <v>403.0</v>
      </c>
      <c r="G138" s="18">
        <v>347.0</v>
      </c>
      <c r="H138" s="18">
        <v>191.0</v>
      </c>
      <c r="I138" s="19">
        <v>0.55</v>
      </c>
      <c r="J138" s="18">
        <v>2256.0</v>
      </c>
      <c r="K138" s="18">
        <v>6.5</v>
      </c>
      <c r="L138" s="18">
        <v>12.0</v>
      </c>
      <c r="M138" s="18">
        <v>7.0</v>
      </c>
      <c r="N138" s="18">
        <v>25.0</v>
      </c>
      <c r="O138" s="18">
        <v>15.0</v>
      </c>
      <c r="P138" s="20">
        <f t="shared" si="1"/>
        <v>2.662033128</v>
      </c>
      <c r="Q138" s="20">
        <f t="shared" si="2"/>
        <v>1.661375903</v>
      </c>
      <c r="R138" s="24"/>
      <c r="S138" s="20">
        <v>2.662033127981064</v>
      </c>
      <c r="T138" s="22">
        <v>-1.6</v>
      </c>
      <c r="W138" s="25">
        <v>0.95</v>
      </c>
      <c r="X138" s="22">
        <f t="shared" si="13"/>
        <v>0.1193744723</v>
      </c>
      <c r="Y138" s="20">
        <f t="shared" si="4"/>
        <v>38.17646249</v>
      </c>
      <c r="Z138" s="20">
        <f t="shared" si="6"/>
        <v>36.51508659</v>
      </c>
      <c r="AA138" s="20"/>
      <c r="AB138" s="20">
        <f>IFERROR(__xludf.DUMMYFUNCTION("iferror(PERCENTRANK.INC(FILTER($X$2:$X$423, $U$2:$U$423&lt;3.75), $X138), 1)"),0.394)</f>
        <v>0.394</v>
      </c>
      <c r="AC138" s="20">
        <f>IFERROR(__xludf.DUMMYFUNCTION("iferror(PERCENTRANK.INC(FILTER($X$2:$X$423, $U$2:$U$423&lt;4.25), $X138), 1)"),0.383)</f>
        <v>0.383</v>
      </c>
      <c r="AD138" s="20">
        <f>IFERROR(__xludf.DUMMYFUNCTION("iferror(PERCENTRANK.INC(FILTER($X$2:$X$423, $U$2:$U$423&gt;=4.1), $X138), 0.01)"),0.042)</f>
        <v>0.042</v>
      </c>
      <c r="AE138" s="20"/>
    </row>
    <row r="139" ht="14.25" customHeight="1">
      <c r="A139" s="17" t="s">
        <v>387</v>
      </c>
      <c r="B139" s="17" t="s">
        <v>388</v>
      </c>
      <c r="C139" s="18">
        <v>4.0</v>
      </c>
      <c r="D139" s="17" t="s">
        <v>98</v>
      </c>
      <c r="E139" s="17" t="s">
        <v>132</v>
      </c>
      <c r="F139" s="18">
        <v>315.0</v>
      </c>
      <c r="G139" s="18">
        <v>271.0</v>
      </c>
      <c r="H139" s="18">
        <v>156.0</v>
      </c>
      <c r="I139" s="19">
        <v>0.576</v>
      </c>
      <c r="J139" s="18">
        <v>2044.0</v>
      </c>
      <c r="K139" s="18">
        <v>7.5</v>
      </c>
      <c r="L139" s="18">
        <v>15.0</v>
      </c>
      <c r="M139" s="18">
        <v>8.0</v>
      </c>
      <c r="N139" s="18">
        <v>16.0</v>
      </c>
      <c r="O139" s="18">
        <v>13.0</v>
      </c>
      <c r="P139" s="20">
        <f t="shared" si="1"/>
        <v>2.800061965</v>
      </c>
      <c r="Q139" s="20">
        <f t="shared" si="2"/>
        <v>1.726829172</v>
      </c>
      <c r="R139" s="24"/>
      <c r="S139" s="20">
        <v>2.800061965442511</v>
      </c>
      <c r="T139" s="22">
        <v>1.03</v>
      </c>
      <c r="U139" s="30"/>
      <c r="V139" s="30"/>
      <c r="W139" s="18">
        <v>0.95</v>
      </c>
      <c r="X139" s="22">
        <f t="shared" si="13"/>
        <v>0.5535088301</v>
      </c>
      <c r="Y139" s="20">
        <f t="shared" si="4"/>
        <v>43.54456124</v>
      </c>
      <c r="Z139" s="20">
        <f t="shared" si="6"/>
        <v>41.81773206</v>
      </c>
      <c r="AA139" s="20"/>
      <c r="AB139" s="20">
        <f>IFERROR(__xludf.DUMMYFUNCTION("iferror(PERCENTRANK.INC(FILTER($X$2:$X$423, $U$2:$U$423&lt;3.75), $X139), 1)"),0.693)</f>
        <v>0.693</v>
      </c>
      <c r="AC139" s="20">
        <f>IFERROR(__xludf.DUMMYFUNCTION("iferror(PERCENTRANK.INC(FILTER($X$2:$X$423, $U$2:$U$423&lt;4.25), $X139), 1)"),0.673)</f>
        <v>0.673</v>
      </c>
      <c r="AD139" s="20">
        <f>IFERROR(__xludf.DUMMYFUNCTION("iferror(PERCENTRANK.INC(FILTER($X$2:$X$423, $U$2:$U$423&gt;=4.1), $X139), 0.01)"),0.049)</f>
        <v>0.049</v>
      </c>
      <c r="AE139" s="20"/>
    </row>
    <row r="140" ht="14.25" customHeight="1">
      <c r="A140" s="17" t="s">
        <v>389</v>
      </c>
      <c r="B140" s="17" t="s">
        <v>390</v>
      </c>
      <c r="C140" s="18">
        <v>2.0</v>
      </c>
      <c r="D140" s="17" t="s">
        <v>98</v>
      </c>
      <c r="E140" s="17" t="s">
        <v>147</v>
      </c>
      <c r="F140" s="18">
        <v>216.0</v>
      </c>
      <c r="G140" s="18">
        <v>197.0</v>
      </c>
      <c r="H140" s="18">
        <v>129.0</v>
      </c>
      <c r="I140" s="19">
        <v>0.655</v>
      </c>
      <c r="J140" s="18">
        <v>1713.0</v>
      </c>
      <c r="K140" s="18">
        <v>8.7</v>
      </c>
      <c r="L140" s="18">
        <v>12.0</v>
      </c>
      <c r="M140" s="18">
        <v>6.0</v>
      </c>
      <c r="N140" s="18">
        <v>16.0</v>
      </c>
      <c r="O140" s="18">
        <v>9.0</v>
      </c>
      <c r="P140" s="20">
        <f t="shared" si="1"/>
        <v>2.722362703</v>
      </c>
      <c r="Q140" s="20">
        <f t="shared" si="2"/>
        <v>1.689984185</v>
      </c>
      <c r="R140" s="24"/>
      <c r="S140" s="20">
        <v>2.7223627025756723</v>
      </c>
      <c r="T140" s="22">
        <v>1.93</v>
      </c>
      <c r="U140" s="30"/>
      <c r="V140" s="30"/>
      <c r="W140" s="18">
        <v>0.95</v>
      </c>
      <c r="X140" s="22">
        <f t="shared" si="13"/>
        <v>0.6570189648</v>
      </c>
      <c r="Y140" s="20">
        <f t="shared" si="4"/>
        <v>44.82447059</v>
      </c>
      <c r="Z140" s="20">
        <f t="shared" si="6"/>
        <v>43.1344864</v>
      </c>
      <c r="AA140" s="20"/>
      <c r="AB140" s="20">
        <f>IFERROR(__xludf.DUMMYFUNCTION("iferror(PERCENTRANK.INC(FILTER($X$2:$X$423, $U$2:$U$423&lt;3.75), $X140), 1)"),0.755)</f>
        <v>0.755</v>
      </c>
      <c r="AC140" s="20">
        <f>IFERROR(__xludf.DUMMYFUNCTION("iferror(PERCENTRANK.INC(FILTER($X$2:$X$423, $U$2:$U$423&lt;4.25), $X140), 1)"),0.733)</f>
        <v>0.733</v>
      </c>
      <c r="AD140" s="20">
        <f>IFERROR(__xludf.DUMMYFUNCTION("iferror(PERCENTRANK.INC(FILTER($X$2:$X$423, $U$2:$U$423&gt;=4.1), $X140), 0.01)"),0.05)</f>
        <v>0.05</v>
      </c>
      <c r="AE140" s="20"/>
    </row>
    <row r="141" ht="14.25" customHeight="1">
      <c r="A141" s="17" t="s">
        <v>391</v>
      </c>
      <c r="B141" s="17" t="s">
        <v>392</v>
      </c>
      <c r="C141" s="18">
        <v>6.0</v>
      </c>
      <c r="D141" s="17" t="s">
        <v>98</v>
      </c>
      <c r="E141" s="17" t="s">
        <v>121</v>
      </c>
      <c r="F141" s="18">
        <v>179.0</v>
      </c>
      <c r="G141" s="18">
        <v>149.0</v>
      </c>
      <c r="H141" s="18">
        <v>87.0</v>
      </c>
      <c r="I141" s="19">
        <v>0.584</v>
      </c>
      <c r="J141" s="18">
        <v>1175.0</v>
      </c>
      <c r="K141" s="18">
        <v>7.9</v>
      </c>
      <c r="L141" s="18">
        <v>9.0</v>
      </c>
      <c r="M141" s="18">
        <v>2.0</v>
      </c>
      <c r="N141" s="18">
        <v>11.0</v>
      </c>
      <c r="O141" s="18">
        <v>1.0</v>
      </c>
      <c r="P141" s="20">
        <f t="shared" si="1"/>
        <v>2.663266359</v>
      </c>
      <c r="Q141" s="20">
        <f t="shared" si="2"/>
        <v>1.661960701</v>
      </c>
      <c r="R141" s="29"/>
      <c r="S141" s="20">
        <v>2.663266358516741</v>
      </c>
      <c r="T141" s="22">
        <v>-2.1</v>
      </c>
      <c r="U141" s="31"/>
      <c r="V141" s="30"/>
      <c r="W141" s="18">
        <v>0.9</v>
      </c>
      <c r="X141" s="22">
        <f t="shared" si="13"/>
        <v>0.0445409584</v>
      </c>
      <c r="Y141" s="20">
        <f t="shared" si="4"/>
        <v>37.25114137</v>
      </c>
      <c r="Z141" s="20">
        <f t="shared" si="6"/>
        <v>35.58918067</v>
      </c>
      <c r="AA141" s="20"/>
      <c r="AB141" s="20">
        <f>IFERROR(__xludf.DUMMYFUNCTION("iferror(PERCENTRANK.INC(FILTER($X$2:$X$423, $U$2:$U$423&lt;3.75), $X141), 1)"),0.317)</f>
        <v>0.317</v>
      </c>
      <c r="AC141" s="20">
        <f>IFERROR(__xludf.DUMMYFUNCTION("iferror(PERCENTRANK.INC(FILTER($X$2:$X$423, $U$2:$U$423&lt;4.25), $X141), 1)"),0.308)</f>
        <v>0.308</v>
      </c>
      <c r="AD141" s="20">
        <f>IFERROR(__xludf.DUMMYFUNCTION("iferror(PERCENTRANK.INC(FILTER($X$2:$X$423, $U$2:$U$423&gt;=4.1), $X141), 0.01)"),0.041)</f>
        <v>0.041</v>
      </c>
      <c r="AE141" s="20"/>
    </row>
    <row r="142" ht="14.25" customHeight="1">
      <c r="A142" s="17" t="s">
        <v>393</v>
      </c>
      <c r="B142" s="17" t="s">
        <v>394</v>
      </c>
      <c r="C142" s="18">
        <v>6.0</v>
      </c>
      <c r="D142" s="17" t="s">
        <v>98</v>
      </c>
      <c r="E142" s="17" t="s">
        <v>210</v>
      </c>
      <c r="F142" s="18">
        <v>394.0</v>
      </c>
      <c r="G142" s="18">
        <v>336.0</v>
      </c>
      <c r="H142" s="18">
        <v>200.0</v>
      </c>
      <c r="I142" s="19">
        <v>0.595</v>
      </c>
      <c r="J142" s="18">
        <v>1985.0</v>
      </c>
      <c r="K142" s="18">
        <v>5.9</v>
      </c>
      <c r="L142" s="18">
        <v>15.0</v>
      </c>
      <c r="M142" s="18">
        <v>7.0</v>
      </c>
      <c r="N142" s="18">
        <v>27.0</v>
      </c>
      <c r="O142" s="18">
        <v>11.0</v>
      </c>
      <c r="P142" s="20">
        <f t="shared" si="1"/>
        <v>2.723446605</v>
      </c>
      <c r="Q142" s="20">
        <f t="shared" si="2"/>
        <v>1.690498171</v>
      </c>
      <c r="R142" s="24"/>
      <c r="S142" s="20">
        <v>2.7234466050277986</v>
      </c>
      <c r="T142" s="22">
        <v>1.31</v>
      </c>
      <c r="U142" s="30"/>
      <c r="V142" s="30"/>
      <c r="W142" s="18">
        <v>0.9</v>
      </c>
      <c r="X142" s="22">
        <f t="shared" si="13"/>
        <v>0.6050169908</v>
      </c>
      <c r="Y142" s="20">
        <f t="shared" si="4"/>
        <v>44.1814629</v>
      </c>
      <c r="Z142" s="20">
        <f t="shared" si="6"/>
        <v>42.49096472</v>
      </c>
      <c r="AA142" s="20"/>
      <c r="AB142" s="20">
        <f>IFERROR(__xludf.DUMMYFUNCTION("iferror(PERCENTRANK.INC(FILTER($X$2:$X$423, $U$2:$U$423&lt;3.75), $X142), 1)"),0.727)</f>
        <v>0.727</v>
      </c>
      <c r="AC142" s="20">
        <f>IFERROR(__xludf.DUMMYFUNCTION("iferror(PERCENTRANK.INC(FILTER($X$2:$X$423, $U$2:$U$423&lt;4.25), $X142), 1)"),0.705)</f>
        <v>0.705</v>
      </c>
      <c r="AD142" s="20">
        <f>IFERROR(__xludf.DUMMYFUNCTION("iferror(PERCENTRANK.INC(FILTER($X$2:$X$423, $U$2:$U$423&gt;=4.1), $X142), 0.01)"),0.049)</f>
        <v>0.049</v>
      </c>
      <c r="AE142" s="20"/>
    </row>
    <row r="143" ht="14.25" customHeight="1">
      <c r="A143" s="17" t="s">
        <v>395</v>
      </c>
      <c r="B143" s="17" t="s">
        <v>319</v>
      </c>
      <c r="C143" s="18">
        <v>1.0</v>
      </c>
      <c r="D143" s="17" t="s">
        <v>98</v>
      </c>
      <c r="E143" s="17" t="s">
        <v>127</v>
      </c>
      <c r="F143" s="18">
        <v>139.0</v>
      </c>
      <c r="G143" s="18">
        <v>126.0</v>
      </c>
      <c r="H143" s="18">
        <v>71.0</v>
      </c>
      <c r="I143" s="19">
        <v>0.564</v>
      </c>
      <c r="J143" s="18">
        <v>1143.0</v>
      </c>
      <c r="K143" s="18">
        <v>9.1</v>
      </c>
      <c r="L143" s="18">
        <v>9.0</v>
      </c>
      <c r="M143" s="18">
        <v>3.0</v>
      </c>
      <c r="N143" s="18">
        <v>3.0</v>
      </c>
      <c r="O143" s="18">
        <v>5.0</v>
      </c>
      <c r="P143" s="20">
        <f t="shared" si="1"/>
        <v>2.619019234</v>
      </c>
      <c r="Q143" s="20">
        <f t="shared" si="2"/>
        <v>1.640978716</v>
      </c>
      <c r="R143" s="24"/>
      <c r="S143" s="20">
        <v>2.6190192344410184</v>
      </c>
      <c r="T143" s="22">
        <v>2.26</v>
      </c>
      <c r="U143" s="30"/>
      <c r="V143" s="30"/>
      <c r="W143" s="18">
        <v>0.9</v>
      </c>
      <c r="X143" s="22">
        <f t="shared" si="13"/>
        <v>0.7318528852</v>
      </c>
      <c r="Y143" s="20">
        <f t="shared" si="4"/>
        <v>45.74979674</v>
      </c>
      <c r="Z143" s="20">
        <f t="shared" si="6"/>
        <v>44.10881802</v>
      </c>
      <c r="AA143" s="20"/>
      <c r="AB143" s="20">
        <f>IFERROR(__xludf.DUMMYFUNCTION("iferror(PERCENTRANK.INC(FILTER($X$2:$X$423, $U$2:$U$423&lt;3.75), $X143), 1)"),0.799)</f>
        <v>0.799</v>
      </c>
      <c r="AC143" s="20">
        <f>IFERROR(__xludf.DUMMYFUNCTION("iferror(PERCENTRANK.INC(FILTER($X$2:$X$423, $U$2:$U$423&lt;4.25), $X143), 1)"),0.775)</f>
        <v>0.775</v>
      </c>
      <c r="AD143" s="20">
        <f>IFERROR(__xludf.DUMMYFUNCTION("iferror(PERCENTRANK.INC(FILTER($X$2:$X$423, $U$2:$U$423&gt;=4.1), $X143), 0.01)"),0.051)</f>
        <v>0.051</v>
      </c>
      <c r="AE143" s="20"/>
    </row>
    <row r="144" ht="14.25" customHeight="1">
      <c r="A144" s="17" t="s">
        <v>396</v>
      </c>
      <c r="B144" s="17" t="s">
        <v>397</v>
      </c>
      <c r="C144" s="18">
        <v>17.0</v>
      </c>
      <c r="D144" s="17" t="s">
        <v>98</v>
      </c>
      <c r="E144" s="17" t="s">
        <v>117</v>
      </c>
      <c r="F144" s="18">
        <v>248.0</v>
      </c>
      <c r="G144" s="18">
        <v>228.0</v>
      </c>
      <c r="H144" s="18">
        <v>137.0</v>
      </c>
      <c r="I144" s="19">
        <v>0.601</v>
      </c>
      <c r="J144" s="18">
        <v>1485.0</v>
      </c>
      <c r="K144" s="18">
        <v>6.5</v>
      </c>
      <c r="L144" s="18">
        <v>12.0</v>
      </c>
      <c r="M144" s="18">
        <v>4.0</v>
      </c>
      <c r="N144" s="18">
        <v>9.0</v>
      </c>
      <c r="O144" s="18">
        <v>8.0</v>
      </c>
      <c r="P144" s="20">
        <f t="shared" si="1"/>
        <v>2.677846502</v>
      </c>
      <c r="Q144" s="20">
        <f t="shared" si="2"/>
        <v>1.668874604</v>
      </c>
      <c r="R144" s="24"/>
      <c r="S144" s="20">
        <v>2.6778465019807585</v>
      </c>
      <c r="T144" s="22">
        <v>3.02</v>
      </c>
      <c r="U144" s="16">
        <v>4.16</v>
      </c>
      <c r="V144" s="16">
        <v>8.86</v>
      </c>
      <c r="W144" s="25">
        <v>0.95</v>
      </c>
      <c r="X144" s="22">
        <f t="shared" si="13"/>
        <v>3.766676975</v>
      </c>
      <c r="Y144" s="20">
        <f t="shared" si="4"/>
        <v>83.27558823</v>
      </c>
      <c r="Z144" s="20">
        <f t="shared" si="6"/>
        <v>81.60671363</v>
      </c>
      <c r="AA144" s="20"/>
      <c r="AB144" s="20">
        <f>IFERROR(__xludf.DUMMYFUNCTION("iferror(PERCENTRANK.INC(FILTER($X$2:$X$423, $U$2:$U$423&lt;3.75), $X144), 1)"),0.996)</f>
        <v>0.996</v>
      </c>
      <c r="AC144" s="20">
        <f>IFERROR(__xludf.DUMMYFUNCTION("iferror(PERCENTRANK.INC(FILTER($X$2:$X$423, $U$2:$U$423&lt;4.25), $X144), 1)"),0.995)</f>
        <v>0.995</v>
      </c>
      <c r="AD144" s="20">
        <f>IFERROR(__xludf.DUMMYFUNCTION("iferror(PERCENTRANK.INC(FILTER($X$2:$X$423, $U$2:$U$423&gt;=4.1), $X144), 0.01)"),0.52)</f>
        <v>0.52</v>
      </c>
      <c r="AE144" s="20"/>
    </row>
    <row r="145" ht="14.25" customHeight="1">
      <c r="A145" s="17" t="s">
        <v>398</v>
      </c>
      <c r="B145" s="17" t="s">
        <v>399</v>
      </c>
      <c r="C145" s="18">
        <v>17.0</v>
      </c>
      <c r="D145" s="17" t="s">
        <v>98</v>
      </c>
      <c r="E145" s="17" t="s">
        <v>210</v>
      </c>
      <c r="F145" s="18">
        <v>203.0</v>
      </c>
      <c r="G145" s="18">
        <v>180.0</v>
      </c>
      <c r="H145" s="18">
        <v>88.0</v>
      </c>
      <c r="I145" s="19">
        <v>0.489</v>
      </c>
      <c r="J145" s="18">
        <v>1067.0</v>
      </c>
      <c r="K145" s="18">
        <v>5.9</v>
      </c>
      <c r="L145" s="18">
        <v>11.0</v>
      </c>
      <c r="M145" s="18">
        <v>2.0</v>
      </c>
      <c r="N145" s="18">
        <v>13.0</v>
      </c>
      <c r="O145" s="18">
        <v>6.0</v>
      </c>
      <c r="P145" s="20">
        <f t="shared" si="1"/>
        <v>2.512316924</v>
      </c>
      <c r="Q145" s="20">
        <f t="shared" si="2"/>
        <v>1.590380485</v>
      </c>
      <c r="R145" s="24"/>
      <c r="S145" s="20">
        <v>2.5123169244663384</v>
      </c>
      <c r="T145" s="22">
        <v>-0.62</v>
      </c>
      <c r="U145" s="30"/>
      <c r="V145" s="30"/>
      <c r="W145" s="18">
        <v>0.9</v>
      </c>
      <c r="X145" s="22">
        <f t="shared" si="13"/>
        <v>0.2650051617</v>
      </c>
      <c r="Y145" s="20">
        <f t="shared" si="4"/>
        <v>39.97719516</v>
      </c>
      <c r="Z145" s="20">
        <f t="shared" si="6"/>
        <v>38.38681468</v>
      </c>
      <c r="AA145" s="20"/>
      <c r="AB145" s="20">
        <f>IFERROR(__xludf.DUMMYFUNCTION("iferror(PERCENTRANK.INC(FILTER($X$2:$X$423, $U$2:$U$423&lt;3.75), $X145), 1)"),0.521)</f>
        <v>0.521</v>
      </c>
      <c r="AC145" s="20">
        <f>IFERROR(__xludf.DUMMYFUNCTION("iferror(PERCENTRANK.INC(FILTER($X$2:$X$423, $U$2:$U$423&lt;4.25), $X145), 1)"),0.505)</f>
        <v>0.505</v>
      </c>
      <c r="AD145" s="20">
        <f>IFERROR(__xludf.DUMMYFUNCTION("iferror(PERCENTRANK.INC(FILTER($X$2:$X$423, $U$2:$U$423&gt;=4.1), $X145), 0.01)"),0.044)</f>
        <v>0.044</v>
      </c>
      <c r="AE145" s="20"/>
    </row>
    <row r="146" ht="14.25" customHeight="1">
      <c r="A146" s="17" t="s">
        <v>400</v>
      </c>
      <c r="B146" s="17" t="s">
        <v>379</v>
      </c>
      <c r="C146" s="18">
        <v>7.0</v>
      </c>
      <c r="D146" s="17" t="s">
        <v>98</v>
      </c>
      <c r="E146" s="17" t="s">
        <v>138</v>
      </c>
      <c r="F146" s="18">
        <v>189.0</v>
      </c>
      <c r="G146" s="18">
        <v>164.0</v>
      </c>
      <c r="H146" s="18">
        <v>114.0</v>
      </c>
      <c r="I146" s="19">
        <v>0.695</v>
      </c>
      <c r="J146" s="18">
        <v>1345.0</v>
      </c>
      <c r="K146" s="18">
        <v>8.2</v>
      </c>
      <c r="L146" s="18">
        <v>7.0</v>
      </c>
      <c r="M146" s="18">
        <v>2.0</v>
      </c>
      <c r="N146" s="18">
        <v>13.0</v>
      </c>
      <c r="O146" s="18">
        <v>8.0</v>
      </c>
      <c r="P146" s="20">
        <f t="shared" si="1"/>
        <v>2.561057541</v>
      </c>
      <c r="Q146" s="20">
        <f t="shared" si="2"/>
        <v>1.613493283</v>
      </c>
      <c r="R146" s="24"/>
      <c r="S146" s="20">
        <v>2.5610575409730285</v>
      </c>
      <c r="T146" s="22">
        <v>0.55</v>
      </c>
      <c r="U146" s="30"/>
      <c r="V146" s="30"/>
      <c r="W146" s="18">
        <v>0.9</v>
      </c>
      <c r="X146" s="22">
        <f t="shared" si="13"/>
        <v>0.4474506996</v>
      </c>
      <c r="Y146" s="20">
        <f t="shared" si="4"/>
        <v>42.23314576</v>
      </c>
      <c r="Z146" s="20">
        <f t="shared" si="6"/>
        <v>40.61965247</v>
      </c>
      <c r="AA146" s="20"/>
      <c r="AB146" s="20">
        <f>IFERROR(__xludf.DUMMYFUNCTION("iferror(PERCENTRANK.INC(FILTER($X$2:$X$423, $U$2:$U$423&lt;3.75), $X146), 1)"),0.619)</f>
        <v>0.619</v>
      </c>
      <c r="AC146" s="20">
        <f>IFERROR(__xludf.DUMMYFUNCTION("iferror(PERCENTRANK.INC(FILTER($X$2:$X$423, $U$2:$U$423&lt;4.25), $X146), 1)"),0.6)</f>
        <v>0.6</v>
      </c>
      <c r="AD146" s="20">
        <f>IFERROR(__xludf.DUMMYFUNCTION("iferror(PERCENTRANK.INC(FILTER($X$2:$X$423, $U$2:$U$423&gt;=4.1), $X146), 0.01)"),0.047)</f>
        <v>0.047</v>
      </c>
      <c r="AE146" s="20"/>
    </row>
    <row r="147" ht="14.25" customHeight="1">
      <c r="A147" s="17" t="s">
        <v>401</v>
      </c>
      <c r="B147" s="17" t="s">
        <v>402</v>
      </c>
      <c r="C147" s="18">
        <v>11.0</v>
      </c>
      <c r="D147" s="17" t="s">
        <v>98</v>
      </c>
      <c r="E147" s="17" t="s">
        <v>108</v>
      </c>
      <c r="F147" s="18">
        <v>205.0</v>
      </c>
      <c r="G147" s="18">
        <v>178.0</v>
      </c>
      <c r="H147" s="18">
        <v>111.0</v>
      </c>
      <c r="I147" s="19">
        <v>0.624</v>
      </c>
      <c r="J147" s="18">
        <v>1267.0</v>
      </c>
      <c r="K147" s="18">
        <v>7.1</v>
      </c>
      <c r="L147" s="18">
        <v>10.0</v>
      </c>
      <c r="M147" s="18">
        <v>3.0</v>
      </c>
      <c r="N147" s="18">
        <v>19.0</v>
      </c>
      <c r="O147" s="18">
        <v>6.0</v>
      </c>
      <c r="P147" s="20">
        <f t="shared" si="1"/>
        <v>2.492318781</v>
      </c>
      <c r="Q147" s="20">
        <f t="shared" si="2"/>
        <v>1.580897366</v>
      </c>
      <c r="R147" s="24"/>
      <c r="S147" s="20">
        <v>2.4923187810359</v>
      </c>
      <c r="T147" s="22">
        <v>3.48</v>
      </c>
      <c r="W147" s="25">
        <v>1.0</v>
      </c>
      <c r="X147" s="22">
        <f t="shared" si="13"/>
        <v>0.8958478172</v>
      </c>
      <c r="Y147" s="20">
        <f t="shared" si="4"/>
        <v>47.77760443</v>
      </c>
      <c r="Z147" s="20">
        <f t="shared" si="6"/>
        <v>46.19670706</v>
      </c>
      <c r="AA147" s="20"/>
      <c r="AB147" s="20">
        <f>IFERROR(__xludf.DUMMYFUNCTION("iferror(PERCENTRANK.INC(FILTER($X$2:$X$423, $U$2:$U$423&lt;3.75), $X147), 1)"),0.894)</f>
        <v>0.894</v>
      </c>
      <c r="AC147" s="20">
        <f>IFERROR(__xludf.DUMMYFUNCTION("iferror(PERCENTRANK.INC(FILTER($X$2:$X$423, $U$2:$U$423&lt;4.25), $X147), 1)"),0.868)</f>
        <v>0.868</v>
      </c>
      <c r="AD147" s="20">
        <f>IFERROR(__xludf.DUMMYFUNCTION("iferror(PERCENTRANK.INC(FILTER($X$2:$X$423, $U$2:$U$423&gt;=4.1), $X147), 0.01)"),0.054)</f>
        <v>0.054</v>
      </c>
      <c r="AE147" s="20"/>
    </row>
    <row r="148" ht="14.25" customHeight="1">
      <c r="A148" s="17" t="s">
        <v>403</v>
      </c>
      <c r="B148" s="17" t="s">
        <v>404</v>
      </c>
      <c r="C148" s="18">
        <v>19.0</v>
      </c>
      <c r="D148" s="17" t="s">
        <v>98</v>
      </c>
      <c r="E148" s="17" t="s">
        <v>108</v>
      </c>
      <c r="F148" s="18">
        <v>362.0</v>
      </c>
      <c r="G148" s="18">
        <v>306.0</v>
      </c>
      <c r="H148" s="18">
        <v>181.0</v>
      </c>
      <c r="I148" s="19">
        <v>0.592</v>
      </c>
      <c r="J148" s="18">
        <v>2249.0</v>
      </c>
      <c r="K148" s="18">
        <v>7.3</v>
      </c>
      <c r="L148" s="18">
        <v>9.0</v>
      </c>
      <c r="M148" s="18">
        <v>6.0</v>
      </c>
      <c r="N148" s="18">
        <v>21.0</v>
      </c>
      <c r="O148" s="18">
        <v>10.0</v>
      </c>
      <c r="P148" s="20">
        <f t="shared" si="1"/>
        <v>2.621189159</v>
      </c>
      <c r="Q148" s="20">
        <f t="shared" si="2"/>
        <v>1.642007695</v>
      </c>
      <c r="R148" s="24"/>
      <c r="S148" s="20">
        <v>2.62118915942657</v>
      </c>
      <c r="T148" s="22">
        <v>1.34</v>
      </c>
      <c r="W148" s="25">
        <v>1.0</v>
      </c>
      <c r="X148" s="22">
        <f t="shared" si="13"/>
        <v>0.5745194552</v>
      </c>
      <c r="Y148" s="20">
        <f t="shared" si="4"/>
        <v>43.80435894</v>
      </c>
      <c r="Z148" s="20">
        <f t="shared" si="6"/>
        <v>42.16235125</v>
      </c>
      <c r="AA148" s="20"/>
      <c r="AB148" s="20">
        <f>IFERROR(__xludf.DUMMYFUNCTION("iferror(PERCENTRANK.INC(FILTER($X$2:$X$423, $U$2:$U$423&lt;3.75), $X148), 1)"),0.709)</f>
        <v>0.709</v>
      </c>
      <c r="AC148" s="20">
        <f>IFERROR(__xludf.DUMMYFUNCTION("iferror(PERCENTRANK.INC(FILTER($X$2:$X$423, $U$2:$U$423&lt;4.25), $X148), 1)"),0.688)</f>
        <v>0.688</v>
      </c>
      <c r="AD148" s="20">
        <f>IFERROR(__xludf.DUMMYFUNCTION("iferror(PERCENTRANK.INC(FILTER($X$2:$X$423, $U$2:$U$423&gt;=4.1), $X148), 0.01)"),0.049)</f>
        <v>0.049</v>
      </c>
      <c r="AE148" s="20"/>
    </row>
    <row r="149" ht="14.25" customHeight="1">
      <c r="A149" s="17" t="s">
        <v>405</v>
      </c>
      <c r="B149" s="17" t="s">
        <v>406</v>
      </c>
      <c r="C149" s="18">
        <v>1.0</v>
      </c>
      <c r="D149" s="17" t="s">
        <v>98</v>
      </c>
      <c r="E149" s="17" t="s">
        <v>135</v>
      </c>
      <c r="F149" s="18">
        <v>407.0</v>
      </c>
      <c r="G149" s="18">
        <v>334.0</v>
      </c>
      <c r="H149" s="18">
        <v>183.0</v>
      </c>
      <c r="I149" s="19">
        <v>0.548</v>
      </c>
      <c r="J149" s="18">
        <v>2036.0</v>
      </c>
      <c r="K149" s="18">
        <v>6.1</v>
      </c>
      <c r="L149" s="18">
        <v>17.0</v>
      </c>
      <c r="M149" s="18">
        <v>9.0</v>
      </c>
      <c r="N149" s="18">
        <v>26.0</v>
      </c>
      <c r="O149" s="18">
        <v>19.0</v>
      </c>
      <c r="P149" s="20">
        <f t="shared" si="1"/>
        <v>2.617244954</v>
      </c>
      <c r="Q149" s="20">
        <f t="shared" si="2"/>
        <v>1.640137353</v>
      </c>
      <c r="R149" s="24"/>
      <c r="S149" s="20">
        <v>2.6172449540820075</v>
      </c>
      <c r="T149" s="22">
        <v>0.11</v>
      </c>
      <c r="U149" s="30"/>
      <c r="V149" s="30"/>
      <c r="W149" s="18">
        <v>1.0</v>
      </c>
      <c r="X149" s="22">
        <f t="shared" si="13"/>
        <v>0.3698280688</v>
      </c>
      <c r="Y149" s="20">
        <f t="shared" si="4"/>
        <v>41.27333703</v>
      </c>
      <c r="Z149" s="20">
        <f t="shared" si="6"/>
        <v>39.63319967</v>
      </c>
      <c r="AA149" s="20"/>
      <c r="AB149" s="20">
        <f>IFERROR(__xludf.DUMMYFUNCTION("iferror(PERCENTRANK.INC(FILTER($X$2:$X$423, $U$2:$U$423&lt;3.75), $X149), 1)"),0.582)</f>
        <v>0.582</v>
      </c>
      <c r="AC149" s="20">
        <f>IFERROR(__xludf.DUMMYFUNCTION("iferror(PERCENTRANK.INC(FILTER($X$2:$X$423, $U$2:$U$423&lt;4.25), $X149), 1)"),0.565)</f>
        <v>0.565</v>
      </c>
      <c r="AD149" s="20">
        <f>IFERROR(__xludf.DUMMYFUNCTION("iferror(PERCENTRANK.INC(FILTER($X$2:$X$423, $U$2:$U$423&gt;=4.1), $X149), 0.01)"),0.046)</f>
        <v>0.046</v>
      </c>
      <c r="AE149" s="20"/>
    </row>
    <row r="150" ht="14.25" customHeight="1">
      <c r="A150" s="17" t="s">
        <v>407</v>
      </c>
      <c r="B150" s="17" t="s">
        <v>408</v>
      </c>
      <c r="C150" s="18">
        <v>12.0</v>
      </c>
      <c r="D150" s="17" t="s">
        <v>98</v>
      </c>
      <c r="E150" s="17" t="s">
        <v>147</v>
      </c>
      <c r="F150" s="18">
        <v>282.0</v>
      </c>
      <c r="G150" s="18">
        <v>246.0</v>
      </c>
      <c r="H150" s="18">
        <v>149.0</v>
      </c>
      <c r="I150" s="19">
        <v>0.606</v>
      </c>
      <c r="J150" s="18">
        <v>1626.0</v>
      </c>
      <c r="K150" s="18">
        <v>6.6</v>
      </c>
      <c r="L150" s="18">
        <v>7.0</v>
      </c>
      <c r="M150" s="18">
        <v>2.0</v>
      </c>
      <c r="N150" s="18">
        <v>15.0</v>
      </c>
      <c r="O150" s="18">
        <v>2.0</v>
      </c>
      <c r="P150" s="20">
        <f t="shared" si="1"/>
        <v>2.609346446</v>
      </c>
      <c r="Q150" s="20">
        <f t="shared" si="2"/>
        <v>1.63639188</v>
      </c>
      <c r="R150" s="24"/>
      <c r="S150" s="20">
        <v>2.6093464455976476</v>
      </c>
      <c r="T150" s="22">
        <v>-0.03</v>
      </c>
      <c r="U150" s="30"/>
      <c r="V150" s="30"/>
      <c r="W150" s="18">
        <v>0.95</v>
      </c>
      <c r="X150" s="22">
        <f>IFERROR((U150*0.7+T150*0.15+S150*0.15*#REF!),0)</f>
        <v>0</v>
      </c>
      <c r="Y150" s="20">
        <f t="shared" si="4"/>
        <v>36.7003896</v>
      </c>
      <c r="Z150" s="20">
        <f t="shared" si="6"/>
        <v>35.06399772</v>
      </c>
      <c r="AA150" s="20"/>
      <c r="AB150" s="20">
        <f>IFERROR(__xludf.DUMMYFUNCTION("iferror(PERCENTRANK.INC(FILTER($X$2:$X$423, $U$2:$U$423&lt;3.75), $X150), 1)"),0.26)</f>
        <v>0.26</v>
      </c>
      <c r="AC150" s="20">
        <f>IFERROR(__xludf.DUMMYFUNCTION("iferror(PERCENTRANK.INC(FILTER($X$2:$X$423, $U$2:$U$423&lt;4.25), $X150), 1)"),0.253)</f>
        <v>0.253</v>
      </c>
      <c r="AD150" s="20">
        <f>IFERROR(__xludf.DUMMYFUNCTION("iferror(PERCENTRANK.INC(FILTER($X$2:$X$423, $U$2:$U$423&gt;=4.1), $X150), 0.01)"),0.0)</f>
        <v>0</v>
      </c>
      <c r="AE150" s="20"/>
    </row>
    <row r="151" ht="14.25" customHeight="1">
      <c r="A151" s="17" t="s">
        <v>409</v>
      </c>
      <c r="B151" s="17" t="s">
        <v>410</v>
      </c>
      <c r="C151" s="18">
        <v>2.0</v>
      </c>
      <c r="D151" s="17" t="s">
        <v>98</v>
      </c>
      <c r="E151" s="17" t="s">
        <v>147</v>
      </c>
      <c r="F151" s="18">
        <v>429.0</v>
      </c>
      <c r="G151" s="18">
        <v>381.0</v>
      </c>
      <c r="H151" s="18">
        <v>213.0</v>
      </c>
      <c r="I151" s="19">
        <v>0.559</v>
      </c>
      <c r="J151" s="18">
        <v>2624.0</v>
      </c>
      <c r="K151" s="18">
        <v>6.9</v>
      </c>
      <c r="L151" s="18">
        <v>17.0</v>
      </c>
      <c r="M151" s="18">
        <v>12.0</v>
      </c>
      <c r="N151" s="18">
        <v>24.0</v>
      </c>
      <c r="O151" s="18">
        <v>24.0</v>
      </c>
      <c r="P151" s="20">
        <f t="shared" si="1"/>
        <v>2.602775243</v>
      </c>
      <c r="Q151" s="20">
        <f t="shared" si="2"/>
        <v>1.633275816</v>
      </c>
      <c r="R151" s="29"/>
      <c r="S151" s="20">
        <v>2.6027752432685425</v>
      </c>
      <c r="T151" s="22">
        <v>0.74</v>
      </c>
      <c r="U151" s="31"/>
      <c r="V151" s="30"/>
      <c r="W151" s="18">
        <v>0.95</v>
      </c>
      <c r="X151" s="22">
        <f t="shared" ref="X151:X154" si="14">IFERROR((U151*0.7+T151*0.15+S151*0.15*W155),0)</f>
        <v>0.5014162865</v>
      </c>
      <c r="Y151" s="20">
        <f t="shared" si="4"/>
        <v>42.90043365</v>
      </c>
      <c r="Z151" s="20">
        <f t="shared" si="6"/>
        <v>41.26715783</v>
      </c>
      <c r="AA151" s="20"/>
      <c r="AB151" s="20">
        <f>IFERROR(__xludf.DUMMYFUNCTION("iferror(PERCENTRANK.INC(FILTER($X$2:$X$423, $U$2:$U$423&lt;3.75), $X151), 1)"),0.652)</f>
        <v>0.652</v>
      </c>
      <c r="AC151" s="20">
        <f>IFERROR(__xludf.DUMMYFUNCTION("iferror(PERCENTRANK.INC(FILTER($X$2:$X$423, $U$2:$U$423&lt;4.25), $X151), 1)"),0.633)</f>
        <v>0.633</v>
      </c>
      <c r="AD151" s="20">
        <f>IFERROR(__xludf.DUMMYFUNCTION("iferror(PERCENTRANK.INC(FILTER($X$2:$X$423, $U$2:$U$423&gt;=4.1), $X151), 0.01)"),0.048)</f>
        <v>0.048</v>
      </c>
      <c r="AE151" s="20"/>
    </row>
    <row r="152" ht="14.25" customHeight="1">
      <c r="A152" s="17" t="s">
        <v>411</v>
      </c>
      <c r="B152" s="17" t="s">
        <v>402</v>
      </c>
      <c r="C152" s="18">
        <v>2.0</v>
      </c>
      <c r="D152" s="17" t="s">
        <v>98</v>
      </c>
      <c r="E152" s="17" t="s">
        <v>108</v>
      </c>
      <c r="F152" s="18">
        <v>261.0</v>
      </c>
      <c r="G152" s="18">
        <v>217.0</v>
      </c>
      <c r="H152" s="18">
        <v>129.0</v>
      </c>
      <c r="I152" s="19">
        <v>0.595</v>
      </c>
      <c r="J152" s="18">
        <v>1396.0</v>
      </c>
      <c r="K152" s="18">
        <v>6.4</v>
      </c>
      <c r="L152" s="18">
        <v>10.0</v>
      </c>
      <c r="M152" s="18">
        <v>3.0</v>
      </c>
      <c r="N152" s="18">
        <v>19.0</v>
      </c>
      <c r="O152" s="18">
        <v>8.0</v>
      </c>
      <c r="P152" s="20">
        <f t="shared" si="1"/>
        <v>2.514674978</v>
      </c>
      <c r="Q152" s="20">
        <f t="shared" si="2"/>
        <v>1.591498674</v>
      </c>
      <c r="R152" s="24"/>
      <c r="S152" s="20">
        <v>2.514674977576496</v>
      </c>
      <c r="T152" s="22">
        <v>1.04</v>
      </c>
      <c r="U152" s="30"/>
      <c r="V152" s="30"/>
      <c r="W152" s="18">
        <v>1.0</v>
      </c>
      <c r="X152" s="22">
        <f t="shared" si="14"/>
        <v>0.5143411843</v>
      </c>
      <c r="Y152" s="20">
        <f t="shared" si="4"/>
        <v>43.06025082</v>
      </c>
      <c r="Z152" s="20">
        <f t="shared" si="6"/>
        <v>41.46875215</v>
      </c>
      <c r="AA152" s="20"/>
      <c r="AB152" s="20">
        <f>IFERROR(__xludf.DUMMYFUNCTION("iferror(PERCENTRANK.INC(FILTER($X$2:$X$423, $U$2:$U$423&lt;3.75), $X152), 1)"),0.665)</f>
        <v>0.665</v>
      </c>
      <c r="AC152" s="20">
        <f>IFERROR(__xludf.DUMMYFUNCTION("iferror(PERCENTRANK.INC(FILTER($X$2:$X$423, $U$2:$U$423&lt;4.25), $X152), 1)"),0.645)</f>
        <v>0.645</v>
      </c>
      <c r="AD152" s="20">
        <f>IFERROR(__xludf.DUMMYFUNCTION("iferror(PERCENTRANK.INC(FILTER($X$2:$X$423, $U$2:$U$423&gt;=4.1), $X152), 0.01)"),0.048)</f>
        <v>0.048</v>
      </c>
      <c r="AE152" s="20"/>
    </row>
    <row r="153" ht="14.25" customHeight="1">
      <c r="A153" s="17" t="s">
        <v>412</v>
      </c>
      <c r="B153" s="17" t="s">
        <v>413</v>
      </c>
      <c r="C153" s="18">
        <v>11.0</v>
      </c>
      <c r="D153" s="17" t="s">
        <v>98</v>
      </c>
      <c r="E153" s="17" t="s">
        <v>158</v>
      </c>
      <c r="F153" s="18">
        <v>162.0</v>
      </c>
      <c r="G153" s="18">
        <v>139.0</v>
      </c>
      <c r="H153" s="18">
        <v>83.0</v>
      </c>
      <c r="I153" s="19">
        <v>0.597</v>
      </c>
      <c r="J153" s="18">
        <v>1404.0</v>
      </c>
      <c r="K153" s="18">
        <v>10.1</v>
      </c>
      <c r="L153" s="18">
        <v>9.0</v>
      </c>
      <c r="M153" s="18">
        <v>5.0</v>
      </c>
      <c r="N153" s="18">
        <v>4.0</v>
      </c>
      <c r="O153" s="18">
        <v>4.0</v>
      </c>
      <c r="P153" s="20">
        <f t="shared" si="1"/>
        <v>2.573666059</v>
      </c>
      <c r="Q153" s="20">
        <f t="shared" si="2"/>
        <v>1.619472242</v>
      </c>
      <c r="R153" s="24"/>
      <c r="S153" s="20">
        <v>2.573666059241496</v>
      </c>
      <c r="T153" s="22">
        <v>1.48</v>
      </c>
      <c r="U153" s="30"/>
      <c r="V153" s="30"/>
      <c r="W153" s="18">
        <v>0.95</v>
      </c>
      <c r="X153" s="22">
        <f t="shared" si="14"/>
        <v>0.569444918</v>
      </c>
      <c r="Y153" s="20">
        <f t="shared" si="4"/>
        <v>43.74161197</v>
      </c>
      <c r="Z153" s="20">
        <f t="shared" si="6"/>
        <v>42.12213973</v>
      </c>
      <c r="AA153" s="20"/>
      <c r="AB153" s="20">
        <f>IFERROR(__xludf.DUMMYFUNCTION("iferror(PERCENTRANK.INC(FILTER($X$2:$X$423, $U$2:$U$423&lt;3.75), $X153), 1)"),0.704)</f>
        <v>0.704</v>
      </c>
      <c r="AC153" s="20">
        <f>IFERROR(__xludf.DUMMYFUNCTION("iferror(PERCENTRANK.INC(FILTER($X$2:$X$423, $U$2:$U$423&lt;4.25), $X153), 1)"),0.683)</f>
        <v>0.683</v>
      </c>
      <c r="AD153" s="20">
        <f>IFERROR(__xludf.DUMMYFUNCTION("iferror(PERCENTRANK.INC(FILTER($X$2:$X$423, $U$2:$U$423&gt;=4.1), $X153), 0.01)"),0.049)</f>
        <v>0.049</v>
      </c>
      <c r="AE153" s="20"/>
    </row>
    <row r="154" ht="14.25" customHeight="1">
      <c r="A154" s="17" t="s">
        <v>414</v>
      </c>
      <c r="B154" s="17" t="s">
        <v>415</v>
      </c>
      <c r="C154" s="18">
        <v>10.0</v>
      </c>
      <c r="D154" s="17" t="s">
        <v>98</v>
      </c>
      <c r="E154" s="17" t="s">
        <v>138</v>
      </c>
      <c r="F154" s="18">
        <v>333.0</v>
      </c>
      <c r="G154" s="18">
        <v>275.0</v>
      </c>
      <c r="H154" s="18">
        <v>162.0</v>
      </c>
      <c r="I154" s="19">
        <v>0.589</v>
      </c>
      <c r="J154" s="18">
        <v>1688.0</v>
      </c>
      <c r="K154" s="18">
        <v>6.1</v>
      </c>
      <c r="L154" s="18">
        <v>13.0</v>
      </c>
      <c r="M154" s="18">
        <v>6.0</v>
      </c>
      <c r="N154" s="18">
        <v>18.0</v>
      </c>
      <c r="O154" s="18">
        <v>9.0</v>
      </c>
      <c r="P154" s="20">
        <f t="shared" si="1"/>
        <v>2.488287128</v>
      </c>
      <c r="Q154" s="20">
        <f t="shared" si="2"/>
        <v>1.578985556</v>
      </c>
      <c r="R154" s="24"/>
      <c r="S154" s="20">
        <v>2.488287127764128</v>
      </c>
      <c r="T154" s="22">
        <v>-0.97</v>
      </c>
      <c r="W154" s="25">
        <v>0.9</v>
      </c>
      <c r="X154" s="22">
        <f t="shared" si="14"/>
        <v>0.2090809157</v>
      </c>
      <c r="Y154" s="20">
        <f t="shared" si="4"/>
        <v>39.28568833</v>
      </c>
      <c r="Z154" s="20">
        <f t="shared" si="6"/>
        <v>37.70670277</v>
      </c>
      <c r="AA154" s="20"/>
      <c r="AB154" s="20">
        <f>IFERROR(__xludf.DUMMYFUNCTION("iferror(PERCENTRANK.INC(FILTER($X$2:$X$423, $U$2:$U$423&lt;3.75), $X154), 1)"),0.477)</f>
        <v>0.477</v>
      </c>
      <c r="AC154" s="20">
        <f>IFERROR(__xludf.DUMMYFUNCTION("iferror(PERCENTRANK.INC(FILTER($X$2:$X$423, $U$2:$U$423&lt;4.25), $X154), 1)"),0.463)</f>
        <v>0.463</v>
      </c>
      <c r="AD154" s="20">
        <f>IFERROR(__xludf.DUMMYFUNCTION("iferror(PERCENTRANK.INC(FILTER($X$2:$X$423, $U$2:$U$423&gt;=4.1), $X154), 0.01)"),0.043)</f>
        <v>0.043</v>
      </c>
      <c r="AE154" s="20"/>
    </row>
    <row r="155" ht="14.25" customHeight="1">
      <c r="A155" s="17" t="s">
        <v>416</v>
      </c>
      <c r="B155" s="17" t="s">
        <v>417</v>
      </c>
      <c r="C155" s="18">
        <v>9.0</v>
      </c>
      <c r="D155" s="17" t="s">
        <v>98</v>
      </c>
      <c r="E155" s="17" t="s">
        <v>108</v>
      </c>
      <c r="F155" s="18">
        <v>424.0</v>
      </c>
      <c r="G155" s="18">
        <v>345.0</v>
      </c>
      <c r="H155" s="18">
        <v>218.0</v>
      </c>
      <c r="I155" s="19">
        <v>0.632</v>
      </c>
      <c r="J155" s="18">
        <v>2009.0</v>
      </c>
      <c r="K155" s="18">
        <v>5.8</v>
      </c>
      <c r="L155" s="18">
        <v>13.0</v>
      </c>
      <c r="M155" s="18">
        <v>7.0</v>
      </c>
      <c r="N155" s="18">
        <v>29.0</v>
      </c>
      <c r="O155" s="18">
        <v>9.0</v>
      </c>
      <c r="P155" s="20">
        <f t="shared" si="1"/>
        <v>2.494358208</v>
      </c>
      <c r="Q155" s="20">
        <f t="shared" si="2"/>
        <v>1.581864462</v>
      </c>
      <c r="R155" s="24"/>
      <c r="S155" s="20">
        <v>2.494358208367514</v>
      </c>
      <c r="T155" s="22">
        <v>-0.95</v>
      </c>
      <c r="W155" s="25">
        <v>1.0</v>
      </c>
      <c r="X155" s="22">
        <f t="shared" ref="X155:X237" si="15">IFERROR((U155*0.7+T155*0.15+S155*0.15*W160),0)</f>
        <v>0.1942383581</v>
      </c>
      <c r="Y155" s="20">
        <f t="shared" si="4"/>
        <v>39.10215917</v>
      </c>
      <c r="Z155" s="20">
        <f t="shared" si="6"/>
        <v>37.5202947</v>
      </c>
      <c r="AA155" s="20"/>
      <c r="AB155" s="20">
        <f>IFERROR(__xludf.DUMMYFUNCTION("iferror(PERCENTRANK.INC(FILTER($X$2:$X$423, $U$2:$U$423&lt;3.75), $X155), 1)"),0.469)</f>
        <v>0.469</v>
      </c>
      <c r="AC155" s="20">
        <f>IFERROR(__xludf.DUMMYFUNCTION("iferror(PERCENTRANK.INC(FILTER($X$2:$X$423, $U$2:$U$423&lt;4.25), $X155), 1)"),0.455)</f>
        <v>0.455</v>
      </c>
      <c r="AD155" s="20">
        <f>IFERROR(__xludf.DUMMYFUNCTION("iferror(PERCENTRANK.INC(FILTER($X$2:$X$423, $U$2:$U$423&gt;=4.1), $X155), 0.01)"),0.043)</f>
        <v>0.043</v>
      </c>
      <c r="AE155" s="20"/>
    </row>
    <row r="156" ht="14.25" customHeight="1">
      <c r="A156" s="17" t="s">
        <v>418</v>
      </c>
      <c r="B156" s="17" t="s">
        <v>419</v>
      </c>
      <c r="C156" s="18">
        <v>4.0</v>
      </c>
      <c r="D156" s="17" t="s">
        <v>98</v>
      </c>
      <c r="E156" s="17" t="s">
        <v>117</v>
      </c>
      <c r="F156" s="18">
        <v>372.0</v>
      </c>
      <c r="G156" s="18">
        <v>328.0</v>
      </c>
      <c r="H156" s="18">
        <v>212.0</v>
      </c>
      <c r="I156" s="19">
        <v>0.646</v>
      </c>
      <c r="J156" s="18">
        <v>2178.0</v>
      </c>
      <c r="K156" s="18">
        <v>6.6</v>
      </c>
      <c r="L156" s="18">
        <v>12.0</v>
      </c>
      <c r="M156" s="18">
        <v>8.0</v>
      </c>
      <c r="N156" s="18">
        <v>21.0</v>
      </c>
      <c r="O156" s="18">
        <v>17.0</v>
      </c>
      <c r="P156" s="20">
        <f t="shared" si="1"/>
        <v>2.413006972</v>
      </c>
      <c r="Q156" s="20">
        <f t="shared" si="2"/>
        <v>1.543287709</v>
      </c>
      <c r="R156" s="24"/>
      <c r="S156" s="20">
        <v>2.4130069724626275</v>
      </c>
      <c r="T156" s="22">
        <v>-0.19</v>
      </c>
      <c r="U156" s="30"/>
      <c r="V156" s="30"/>
      <c r="W156" s="18">
        <v>0.95</v>
      </c>
      <c r="X156" s="22">
        <f t="shared" si="15"/>
        <v>0.3334510459</v>
      </c>
      <c r="Y156" s="20">
        <f t="shared" si="4"/>
        <v>40.82353284</v>
      </c>
      <c r="Z156" s="20">
        <f t="shared" si="6"/>
        <v>39.28024513</v>
      </c>
      <c r="AA156" s="20"/>
      <c r="AB156" s="20">
        <f>IFERROR(__xludf.DUMMYFUNCTION("iferror(PERCENTRANK.INC(FILTER($X$2:$X$423, $U$2:$U$423&lt;3.75), $X156), 1)"),0.559)</f>
        <v>0.559</v>
      </c>
      <c r="AC156" s="20">
        <f>IFERROR(__xludf.DUMMYFUNCTION("iferror(PERCENTRANK.INC(FILTER($X$2:$X$423, $U$2:$U$423&lt;4.25), $X156), 1)"),0.543)</f>
        <v>0.543</v>
      </c>
      <c r="AD156" s="20">
        <f>IFERROR(__xludf.DUMMYFUNCTION("iferror(PERCENTRANK.INC(FILTER($X$2:$X$423, $U$2:$U$423&gt;=4.1), $X156), 0.01)"),0.045)</f>
        <v>0.045</v>
      </c>
      <c r="AE156" s="20"/>
    </row>
    <row r="157" ht="14.25" customHeight="1">
      <c r="A157" s="17" t="s">
        <v>420</v>
      </c>
      <c r="B157" s="17" t="s">
        <v>421</v>
      </c>
      <c r="C157" s="18">
        <v>7.0</v>
      </c>
      <c r="D157" s="17" t="s">
        <v>98</v>
      </c>
      <c r="E157" s="17" t="s">
        <v>189</v>
      </c>
      <c r="F157" s="18">
        <v>226.0</v>
      </c>
      <c r="G157" s="18">
        <v>187.0</v>
      </c>
      <c r="H157" s="18">
        <v>117.0</v>
      </c>
      <c r="I157" s="19">
        <v>0.626</v>
      </c>
      <c r="J157" s="18">
        <v>1744.0</v>
      </c>
      <c r="K157" s="18">
        <v>9.3</v>
      </c>
      <c r="L157" s="18">
        <v>10.0</v>
      </c>
      <c r="M157" s="18">
        <v>7.0</v>
      </c>
      <c r="N157" s="18">
        <v>20.0</v>
      </c>
      <c r="O157" s="18">
        <v>15.0</v>
      </c>
      <c r="P157" s="20">
        <f t="shared" si="1"/>
        <v>2.348915302</v>
      </c>
      <c r="Q157" s="20">
        <f t="shared" si="2"/>
        <v>1.512895442</v>
      </c>
      <c r="R157" s="24"/>
      <c r="S157" s="20">
        <v>2.348915301784109</v>
      </c>
      <c r="T157" s="22">
        <v>-3.6</v>
      </c>
      <c r="U157" s="30"/>
      <c r="V157" s="30"/>
      <c r="W157" s="18">
        <v>0.9</v>
      </c>
      <c r="X157" s="22">
        <f t="shared" si="15"/>
        <v>-0.2052795695</v>
      </c>
      <c r="Y157" s="20">
        <f t="shared" si="4"/>
        <v>34.16209477</v>
      </c>
      <c r="Z157" s="20">
        <f t="shared" si="6"/>
        <v>32.64919932</v>
      </c>
      <c r="AA157" s="20"/>
      <c r="AB157" s="20">
        <f>IFERROR(__xludf.DUMMYFUNCTION("iferror(PERCENTRANK.INC(FILTER($X$2:$X$423, $U$2:$U$423&lt;3.75), $X157), 1)"),0.113)</f>
        <v>0.113</v>
      </c>
      <c r="AC157" s="20">
        <f>IFERROR(__xludf.DUMMYFUNCTION("iferror(PERCENTRANK.INC(FILTER($X$2:$X$423, $U$2:$U$423&lt;4.25), $X157), 1)"),0.11)</f>
        <v>0.11</v>
      </c>
      <c r="AD157" s="20">
        <f>IFERROR(__xludf.DUMMYFUNCTION("iferror(PERCENTRANK.INC(FILTER($X$2:$X$423, $U$2:$U$423&gt;=4.1), $X157), 0.01)"),0.01)</f>
        <v>0.01</v>
      </c>
      <c r="AE157" s="20"/>
    </row>
    <row r="158" ht="14.25" customHeight="1">
      <c r="A158" s="17" t="s">
        <v>422</v>
      </c>
      <c r="B158" s="17" t="s">
        <v>423</v>
      </c>
      <c r="C158" s="18">
        <v>2.0</v>
      </c>
      <c r="D158" s="17" t="s">
        <v>98</v>
      </c>
      <c r="E158" s="17" t="s">
        <v>132</v>
      </c>
      <c r="F158" s="18">
        <v>401.0</v>
      </c>
      <c r="G158" s="18">
        <v>333.0</v>
      </c>
      <c r="H158" s="18">
        <v>209.0</v>
      </c>
      <c r="I158" s="19">
        <v>0.628</v>
      </c>
      <c r="J158" s="18">
        <v>2566.0</v>
      </c>
      <c r="K158" s="18">
        <v>7.7</v>
      </c>
      <c r="L158" s="18">
        <v>13.0</v>
      </c>
      <c r="M158" s="18">
        <v>11.0</v>
      </c>
      <c r="N158" s="18">
        <v>32.0</v>
      </c>
      <c r="O158" s="18">
        <v>8.0</v>
      </c>
      <c r="P158" s="20">
        <f t="shared" si="1"/>
        <v>2.396176282</v>
      </c>
      <c r="Q158" s="20">
        <f t="shared" si="2"/>
        <v>1.535306597</v>
      </c>
      <c r="R158" s="24"/>
      <c r="S158" s="20">
        <v>2.396176282027663</v>
      </c>
      <c r="T158" s="22">
        <v>0.65</v>
      </c>
      <c r="U158" s="30"/>
      <c r="V158" s="30"/>
      <c r="W158" s="18">
        <v>0.95</v>
      </c>
      <c r="X158" s="22">
        <f t="shared" si="15"/>
        <v>0.4389551202</v>
      </c>
      <c r="Y158" s="20">
        <f t="shared" si="4"/>
        <v>42.12809738</v>
      </c>
      <c r="Z158" s="20">
        <f t="shared" si="6"/>
        <v>40.59279078</v>
      </c>
      <c r="AA158" s="20"/>
      <c r="AB158" s="20">
        <f>IFERROR(__xludf.DUMMYFUNCTION("iferror(PERCENTRANK.INC(FILTER($X$2:$X$423, $U$2:$U$423&lt;3.75), $X158), 1)"),0.613)</f>
        <v>0.613</v>
      </c>
      <c r="AC158" s="20">
        <f>IFERROR(__xludf.DUMMYFUNCTION("iferror(PERCENTRANK.INC(FILTER($X$2:$X$423, $U$2:$U$423&lt;4.25), $X158), 1)"),0.595)</f>
        <v>0.595</v>
      </c>
      <c r="AD158" s="20">
        <f>IFERROR(__xludf.DUMMYFUNCTION("iferror(PERCENTRANK.INC(FILTER($X$2:$X$423, $U$2:$U$423&gt;=4.1), $X158), 0.01)"),0.047)</f>
        <v>0.047</v>
      </c>
      <c r="AE158" s="20"/>
    </row>
    <row r="159" ht="14.25" customHeight="1">
      <c r="A159" s="17" t="s">
        <v>424</v>
      </c>
      <c r="B159" s="17" t="s">
        <v>425</v>
      </c>
      <c r="C159" s="18">
        <v>10.0</v>
      </c>
      <c r="D159" s="17" t="s">
        <v>98</v>
      </c>
      <c r="E159" s="17" t="s">
        <v>117</v>
      </c>
      <c r="F159" s="18">
        <v>264.0</v>
      </c>
      <c r="G159" s="18">
        <v>207.0</v>
      </c>
      <c r="H159" s="18">
        <v>119.0</v>
      </c>
      <c r="I159" s="19">
        <v>0.575</v>
      </c>
      <c r="J159" s="18">
        <v>1468.0</v>
      </c>
      <c r="K159" s="18">
        <v>7.1</v>
      </c>
      <c r="L159" s="18">
        <v>9.0</v>
      </c>
      <c r="M159" s="18">
        <v>4.0</v>
      </c>
      <c r="N159" s="18">
        <v>27.0</v>
      </c>
      <c r="O159" s="18">
        <v>6.0</v>
      </c>
      <c r="P159" s="20">
        <f t="shared" si="1"/>
        <v>2.326963867</v>
      </c>
      <c r="Q159" s="20">
        <f t="shared" si="2"/>
        <v>1.502486072</v>
      </c>
      <c r="R159" s="24"/>
      <c r="S159" s="20">
        <v>2.3269638669301713</v>
      </c>
      <c r="T159" s="22">
        <v>1.66</v>
      </c>
      <c r="U159" s="30"/>
      <c r="V159" s="30"/>
      <c r="W159" s="18">
        <v>0.95</v>
      </c>
      <c r="X159" s="22">
        <f t="shared" si="15"/>
        <v>0.59804458</v>
      </c>
      <c r="Y159" s="20">
        <f t="shared" si="4"/>
        <v>44.0952486</v>
      </c>
      <c r="Z159" s="20">
        <f t="shared" si="6"/>
        <v>42.59276252</v>
      </c>
      <c r="AA159" s="20"/>
      <c r="AB159" s="20">
        <f>IFERROR(__xludf.DUMMYFUNCTION("iferror(PERCENTRANK.INC(FILTER($X$2:$X$423, $U$2:$U$423&lt;3.75), $X159), 1)"),0.722)</f>
        <v>0.722</v>
      </c>
      <c r="AC159" s="20">
        <f>IFERROR(__xludf.DUMMYFUNCTION("iferror(PERCENTRANK.INC(FILTER($X$2:$X$423, $U$2:$U$423&lt;4.25), $X159), 1)"),0.7)</f>
        <v>0.7</v>
      </c>
      <c r="AD159" s="20">
        <f>IFERROR(__xludf.DUMMYFUNCTION("iferror(PERCENTRANK.INC(FILTER($X$2:$X$423, $U$2:$U$423&gt;=4.1), $X159), 0.01)"),0.049)</f>
        <v>0.049</v>
      </c>
      <c r="AE159" s="20"/>
    </row>
    <row r="160" ht="14.25" customHeight="1">
      <c r="A160" s="17" t="s">
        <v>426</v>
      </c>
      <c r="B160" s="17" t="s">
        <v>427</v>
      </c>
      <c r="C160" s="18">
        <v>13.0</v>
      </c>
      <c r="D160" s="17" t="s">
        <v>98</v>
      </c>
      <c r="E160" s="17" t="s">
        <v>124</v>
      </c>
      <c r="F160" s="18">
        <v>257.0</v>
      </c>
      <c r="G160" s="18">
        <v>233.0</v>
      </c>
      <c r="H160" s="18">
        <v>152.0</v>
      </c>
      <c r="I160" s="19">
        <v>0.652</v>
      </c>
      <c r="J160" s="18">
        <v>1574.0</v>
      </c>
      <c r="K160" s="18">
        <v>6.8</v>
      </c>
      <c r="L160" s="18">
        <v>12.0</v>
      </c>
      <c r="M160" s="18">
        <v>6.0</v>
      </c>
      <c r="N160" s="18">
        <v>11.0</v>
      </c>
      <c r="O160" s="18">
        <v>9.0</v>
      </c>
      <c r="P160" s="20">
        <f t="shared" si="1"/>
        <v>2.382061156</v>
      </c>
      <c r="Q160" s="20">
        <f t="shared" si="2"/>
        <v>1.528613204</v>
      </c>
      <c r="R160" s="24"/>
      <c r="S160" s="20">
        <v>2.382061156026119</v>
      </c>
      <c r="T160" s="22">
        <v>1.21</v>
      </c>
      <c r="U160" s="30"/>
      <c r="V160" s="30"/>
      <c r="W160" s="18">
        <v>0.9</v>
      </c>
      <c r="X160" s="22">
        <f t="shared" si="15"/>
        <v>0.5030782561</v>
      </c>
      <c r="Y160" s="20">
        <f t="shared" si="4"/>
        <v>42.920984</v>
      </c>
      <c r="Z160" s="20">
        <f t="shared" si="6"/>
        <v>41.3923708</v>
      </c>
      <c r="AA160" s="20"/>
      <c r="AB160" s="20">
        <f>IFERROR(__xludf.DUMMYFUNCTION("iferror(PERCENTRANK.INC(FILTER($X$2:$X$423, $U$2:$U$423&lt;3.75), $X160), 1)"),0.655)</f>
        <v>0.655</v>
      </c>
      <c r="AC160" s="20">
        <f>IFERROR(__xludf.DUMMYFUNCTION("iferror(PERCENTRANK.INC(FILTER($X$2:$X$423, $U$2:$U$423&lt;4.25), $X160), 1)"),0.635)</f>
        <v>0.635</v>
      </c>
      <c r="AD160" s="20">
        <f>IFERROR(__xludf.DUMMYFUNCTION("iferror(PERCENTRANK.INC(FILTER($X$2:$X$423, $U$2:$U$423&gt;=4.1), $X160), 0.01)"),0.048)</f>
        <v>0.048</v>
      </c>
      <c r="AE160" s="20"/>
    </row>
    <row r="161" ht="14.25" customHeight="1">
      <c r="A161" s="17" t="s">
        <v>428</v>
      </c>
      <c r="B161" s="17" t="s">
        <v>429</v>
      </c>
      <c r="C161" s="18">
        <v>10.0</v>
      </c>
      <c r="D161" s="17" t="s">
        <v>98</v>
      </c>
      <c r="E161" s="17" t="s">
        <v>182</v>
      </c>
      <c r="F161" s="18">
        <v>430.0</v>
      </c>
      <c r="G161" s="18">
        <v>380.0</v>
      </c>
      <c r="H161" s="18">
        <v>228.0</v>
      </c>
      <c r="I161" s="19">
        <v>0.6</v>
      </c>
      <c r="J161" s="18">
        <v>2638.0</v>
      </c>
      <c r="K161" s="18">
        <v>6.9</v>
      </c>
      <c r="L161" s="18">
        <v>12.0</v>
      </c>
      <c r="M161" s="18">
        <v>10.0</v>
      </c>
      <c r="N161" s="18">
        <v>21.0</v>
      </c>
      <c r="O161" s="18">
        <v>17.0</v>
      </c>
      <c r="P161" s="20">
        <f t="shared" si="1"/>
        <v>2.435973317</v>
      </c>
      <c r="Q161" s="20">
        <f t="shared" si="2"/>
        <v>1.554178349</v>
      </c>
      <c r="R161" s="24"/>
      <c r="S161" s="20">
        <v>2.435973317013464</v>
      </c>
      <c r="T161" s="22">
        <v>1.07</v>
      </c>
      <c r="U161" s="30"/>
      <c r="V161" s="30"/>
      <c r="W161" s="18">
        <v>1.0</v>
      </c>
      <c r="X161" s="22">
        <f t="shared" si="15"/>
        <v>0.5076261977</v>
      </c>
      <c r="Y161" s="20">
        <f t="shared" si="4"/>
        <v>42.97721959</v>
      </c>
      <c r="Z161" s="20">
        <f t="shared" si="6"/>
        <v>41.42304124</v>
      </c>
      <c r="AA161" s="20"/>
      <c r="AB161" s="20">
        <f>IFERROR(__xludf.DUMMYFUNCTION("iferror(PERCENTRANK.INC(FILTER($X$2:$X$423, $U$2:$U$423&lt;3.75), $X161), 1)"),0.657)</f>
        <v>0.657</v>
      </c>
      <c r="AC161" s="20">
        <f>IFERROR(__xludf.DUMMYFUNCTION("iferror(PERCENTRANK.INC(FILTER($X$2:$X$423, $U$2:$U$423&lt;4.25), $X161), 1)"),0.638)</f>
        <v>0.638</v>
      </c>
      <c r="AD161" s="20">
        <f>IFERROR(__xludf.DUMMYFUNCTION("iferror(PERCENTRANK.INC(FILTER($X$2:$X$423, $U$2:$U$423&gt;=4.1), $X161), 0.01)"),0.048)</f>
        <v>0.048</v>
      </c>
      <c r="AE161" s="20"/>
    </row>
    <row r="162" ht="14.25" customHeight="1">
      <c r="A162" s="17" t="s">
        <v>430</v>
      </c>
      <c r="B162" s="17" t="s">
        <v>431</v>
      </c>
      <c r="C162" s="18">
        <v>1.0</v>
      </c>
      <c r="D162" s="17" t="s">
        <v>98</v>
      </c>
      <c r="E162" s="17" t="s">
        <v>144</v>
      </c>
      <c r="F162" s="18">
        <v>301.0</v>
      </c>
      <c r="G162" s="18">
        <v>261.0</v>
      </c>
      <c r="H162" s="18">
        <v>161.0</v>
      </c>
      <c r="I162" s="19">
        <v>0.617</v>
      </c>
      <c r="J162" s="18">
        <v>1738.0</v>
      </c>
      <c r="K162" s="18">
        <v>6.7</v>
      </c>
      <c r="L162" s="18">
        <v>9.0</v>
      </c>
      <c r="M162" s="18">
        <v>5.0</v>
      </c>
      <c r="N162" s="18">
        <v>17.0</v>
      </c>
      <c r="O162" s="18">
        <v>14.0</v>
      </c>
      <c r="P162" s="20">
        <f t="shared" si="1"/>
        <v>2.313328717</v>
      </c>
      <c r="Q162" s="20">
        <f t="shared" si="2"/>
        <v>1.496020284</v>
      </c>
      <c r="R162" s="24"/>
      <c r="S162" s="20">
        <v>2.313328717289749</v>
      </c>
      <c r="T162" s="22">
        <v>-0.88</v>
      </c>
      <c r="U162" s="30"/>
      <c r="V162" s="30"/>
      <c r="W162" s="18">
        <v>0.95</v>
      </c>
      <c r="X162" s="22">
        <f t="shared" si="15"/>
        <v>0.2149993076</v>
      </c>
      <c r="Y162" s="20">
        <f t="shared" si="4"/>
        <v>39.35886962</v>
      </c>
      <c r="Z162" s="20">
        <f t="shared" si="6"/>
        <v>37.86284933</v>
      </c>
      <c r="AA162" s="20"/>
      <c r="AB162" s="20">
        <f>IFERROR(__xludf.DUMMYFUNCTION("iferror(PERCENTRANK.INC(FILTER($X$2:$X$423, $U$2:$U$423&lt;3.75), $X162), 1)"),0.487)</f>
        <v>0.487</v>
      </c>
      <c r="AC162" s="20">
        <f>IFERROR(__xludf.DUMMYFUNCTION("iferror(PERCENTRANK.INC(FILTER($X$2:$X$423, $U$2:$U$423&lt;4.25), $X162), 1)"),0.473)</f>
        <v>0.473</v>
      </c>
      <c r="AD162" s="20">
        <f>IFERROR(__xludf.DUMMYFUNCTION("iferror(PERCENTRANK.INC(FILTER($X$2:$X$423, $U$2:$U$423&gt;=4.1), $X162), 0.01)"),0.043)</f>
        <v>0.043</v>
      </c>
      <c r="AE162" s="20"/>
    </row>
    <row r="163" ht="14.25" customHeight="1">
      <c r="A163" s="17" t="s">
        <v>432</v>
      </c>
      <c r="B163" s="17" t="s">
        <v>433</v>
      </c>
      <c r="C163" s="18">
        <v>9.0</v>
      </c>
      <c r="D163" s="17" t="s">
        <v>98</v>
      </c>
      <c r="E163" s="17" t="s">
        <v>132</v>
      </c>
      <c r="F163" s="18">
        <v>143.0</v>
      </c>
      <c r="G163" s="18">
        <v>128.0</v>
      </c>
      <c r="H163" s="18">
        <v>76.0</v>
      </c>
      <c r="I163" s="19">
        <v>0.594</v>
      </c>
      <c r="J163" s="18">
        <v>1297.0</v>
      </c>
      <c r="K163" s="18">
        <v>10.1</v>
      </c>
      <c r="L163" s="18">
        <v>9.0</v>
      </c>
      <c r="M163" s="18">
        <v>5.0</v>
      </c>
      <c r="N163" s="18">
        <v>9.0</v>
      </c>
      <c r="O163" s="18">
        <v>8.0</v>
      </c>
      <c r="P163" s="20">
        <f t="shared" si="1"/>
        <v>2.422820937</v>
      </c>
      <c r="Q163" s="20">
        <f t="shared" si="2"/>
        <v>1.547941491</v>
      </c>
      <c r="R163" s="24"/>
      <c r="S163" s="20">
        <v>2.422820937062937</v>
      </c>
      <c r="T163" s="22">
        <v>0.95</v>
      </c>
      <c r="W163" s="25">
        <v>0.95</v>
      </c>
      <c r="X163" s="22">
        <f t="shared" si="15"/>
        <v>0.4695808265</v>
      </c>
      <c r="Y163" s="20">
        <f t="shared" si="4"/>
        <v>42.50678617</v>
      </c>
      <c r="Z163" s="20">
        <f t="shared" si="6"/>
        <v>40.95884468</v>
      </c>
      <c r="AA163" s="20"/>
      <c r="AB163" s="20">
        <f>IFERROR(__xludf.DUMMYFUNCTION("iferror(PERCENTRANK.INC(FILTER($X$2:$X$423, $U$2:$U$423&lt;3.75), $X163), 1)"),0.634)</f>
        <v>0.634</v>
      </c>
      <c r="AC163" s="20">
        <f>IFERROR(__xludf.DUMMYFUNCTION("iferror(PERCENTRANK.INC(FILTER($X$2:$X$423, $U$2:$U$423&lt;4.25), $X163), 1)"),0.615)</f>
        <v>0.615</v>
      </c>
      <c r="AD163" s="20">
        <f>IFERROR(__xludf.DUMMYFUNCTION("iferror(PERCENTRANK.INC(FILTER($X$2:$X$423, $U$2:$U$423&gt;=4.1), $X163), 0.01)"),0.047)</f>
        <v>0.047</v>
      </c>
      <c r="AE163" s="20"/>
    </row>
    <row r="164" ht="14.25" customHeight="1">
      <c r="A164" s="17" t="s">
        <v>434</v>
      </c>
      <c r="B164" s="17" t="s">
        <v>435</v>
      </c>
      <c r="C164" s="18">
        <v>12.0</v>
      </c>
      <c r="D164" s="17" t="s">
        <v>98</v>
      </c>
      <c r="E164" s="17" t="s">
        <v>135</v>
      </c>
      <c r="F164" s="18">
        <v>32.0</v>
      </c>
      <c r="G164" s="18">
        <v>30.0</v>
      </c>
      <c r="H164" s="18">
        <v>23.0</v>
      </c>
      <c r="I164" s="19">
        <v>0.767</v>
      </c>
      <c r="J164" s="18">
        <v>458.0</v>
      </c>
      <c r="K164" s="18">
        <v>15.3</v>
      </c>
      <c r="L164" s="18">
        <v>1.0</v>
      </c>
      <c r="M164" s="18">
        <v>1.0</v>
      </c>
      <c r="N164" s="18">
        <v>1.0</v>
      </c>
      <c r="O164" s="18">
        <v>2.0</v>
      </c>
      <c r="P164" s="20">
        <f t="shared" si="1"/>
        <v>2.349185667</v>
      </c>
      <c r="Q164" s="20">
        <f t="shared" si="2"/>
        <v>1.513023649</v>
      </c>
      <c r="R164" s="24"/>
      <c r="S164" s="20">
        <v>2.349185666666667</v>
      </c>
      <c r="T164" s="22">
        <v>1.3</v>
      </c>
      <c r="W164" s="25">
        <v>1.0</v>
      </c>
      <c r="X164" s="22">
        <f t="shared" si="15"/>
        <v>0.512140065</v>
      </c>
      <c r="Y164" s="20">
        <f t="shared" si="4"/>
        <v>43.03303384</v>
      </c>
      <c r="Z164" s="20">
        <f t="shared" si="6"/>
        <v>41.5200102</v>
      </c>
      <c r="AA164" s="20"/>
      <c r="AB164" s="20">
        <f>IFERROR(__xludf.DUMMYFUNCTION("iferror(PERCENTRANK.INC(FILTER($X$2:$X$423, $U$2:$U$423&lt;3.75), $X164), 1)"),0.66)</f>
        <v>0.66</v>
      </c>
      <c r="AC164" s="20">
        <f>IFERROR(__xludf.DUMMYFUNCTION("iferror(PERCENTRANK.INC(FILTER($X$2:$X$423, $U$2:$U$423&lt;4.25), $X164), 1)"),0.64)</f>
        <v>0.64</v>
      </c>
      <c r="AD164" s="20">
        <f>IFERROR(__xludf.DUMMYFUNCTION("iferror(PERCENTRANK.INC(FILTER($X$2:$X$423, $U$2:$U$423&gt;=4.1), $X164), 0.01)"),0.048)</f>
        <v>0.048</v>
      </c>
      <c r="AE164" s="20"/>
    </row>
    <row r="165" ht="14.25" customHeight="1">
      <c r="A165" s="17" t="s">
        <v>436</v>
      </c>
      <c r="B165" s="17" t="s">
        <v>437</v>
      </c>
      <c r="C165" s="18">
        <v>16.0</v>
      </c>
      <c r="D165" s="17" t="s">
        <v>98</v>
      </c>
      <c r="E165" s="17" t="s">
        <v>127</v>
      </c>
      <c r="F165" s="18">
        <v>251.0</v>
      </c>
      <c r="G165" s="18">
        <v>225.0</v>
      </c>
      <c r="H165" s="18">
        <v>139.0</v>
      </c>
      <c r="I165" s="19">
        <v>0.618</v>
      </c>
      <c r="J165" s="18">
        <v>1437.0</v>
      </c>
      <c r="K165" s="18">
        <v>6.4</v>
      </c>
      <c r="L165" s="18">
        <v>9.0</v>
      </c>
      <c r="M165" s="18">
        <v>4.0</v>
      </c>
      <c r="N165" s="18">
        <v>10.0</v>
      </c>
      <c r="O165" s="18">
        <v>7.0</v>
      </c>
      <c r="P165" s="20">
        <f t="shared" si="1"/>
        <v>2.265196474</v>
      </c>
      <c r="Q165" s="20">
        <f t="shared" si="2"/>
        <v>1.473195976</v>
      </c>
      <c r="R165" s="24"/>
      <c r="S165" s="20">
        <v>2.265196473660912</v>
      </c>
      <c r="T165" s="22">
        <v>-2.78</v>
      </c>
      <c r="U165" s="30"/>
      <c r="V165" s="30"/>
      <c r="W165" s="18">
        <v>0.9</v>
      </c>
      <c r="X165" s="22">
        <f t="shared" si="15"/>
        <v>-0.07722052895</v>
      </c>
      <c r="Y165" s="20">
        <f t="shared" si="4"/>
        <v>35.74555289</v>
      </c>
      <c r="Z165" s="20">
        <f t="shared" si="6"/>
        <v>34.27235691</v>
      </c>
      <c r="AA165" s="20"/>
      <c r="AB165" s="20">
        <f>IFERROR(__xludf.DUMMYFUNCTION("iferror(PERCENTRANK.INC(FILTER($X$2:$X$423, $U$2:$U$423&lt;3.75), $X165), 1)"),0.196)</f>
        <v>0.196</v>
      </c>
      <c r="AC165" s="20">
        <f>IFERROR(__xludf.DUMMYFUNCTION("iferror(PERCENTRANK.INC(FILTER($X$2:$X$423, $U$2:$U$423&lt;4.25), $X165), 1)"),0.19)</f>
        <v>0.19</v>
      </c>
      <c r="AD165" s="20">
        <f>IFERROR(__xludf.DUMMYFUNCTION("iferror(PERCENTRANK.INC(FILTER($X$2:$X$423, $U$2:$U$423&gt;=4.1), $X165), 0.01)"),0.01)</f>
        <v>0.01</v>
      </c>
      <c r="AE165" s="20"/>
    </row>
    <row r="166" ht="14.25" customHeight="1">
      <c r="A166" s="17" t="s">
        <v>438</v>
      </c>
      <c r="B166" s="17" t="s">
        <v>439</v>
      </c>
      <c r="C166" s="18">
        <v>13.0</v>
      </c>
      <c r="D166" s="17" t="s">
        <v>98</v>
      </c>
      <c r="E166" s="17" t="s">
        <v>147</v>
      </c>
      <c r="F166" s="18">
        <v>389.0</v>
      </c>
      <c r="G166" s="18">
        <v>313.0</v>
      </c>
      <c r="H166" s="18">
        <v>183.0</v>
      </c>
      <c r="I166" s="19">
        <v>0.585</v>
      </c>
      <c r="J166" s="18">
        <v>2354.0</v>
      </c>
      <c r="K166" s="18">
        <v>7.5</v>
      </c>
      <c r="L166" s="18">
        <v>14.0</v>
      </c>
      <c r="M166" s="18">
        <v>11.0</v>
      </c>
      <c r="N166" s="18">
        <v>22.0</v>
      </c>
      <c r="O166" s="18">
        <v>17.0</v>
      </c>
      <c r="P166" s="20">
        <f t="shared" si="1"/>
        <v>2.317289251</v>
      </c>
      <c r="Q166" s="20">
        <f t="shared" si="2"/>
        <v>1.497898369</v>
      </c>
      <c r="R166" s="29"/>
      <c r="S166" s="20">
        <v>2.317289250843894</v>
      </c>
      <c r="T166" s="22">
        <v>0.96</v>
      </c>
      <c r="U166" s="31"/>
      <c r="V166" s="30"/>
      <c r="W166" s="18">
        <v>0.95</v>
      </c>
      <c r="X166" s="22">
        <f t="shared" si="15"/>
        <v>0.4568340489</v>
      </c>
      <c r="Y166" s="20">
        <f t="shared" si="4"/>
        <v>42.34917146</v>
      </c>
      <c r="Z166" s="20">
        <f t="shared" si="6"/>
        <v>40.85127309</v>
      </c>
      <c r="AA166" s="20"/>
      <c r="AB166" s="20">
        <f>IFERROR(__xludf.DUMMYFUNCTION("iferror(PERCENTRANK.INC(FILTER($X$2:$X$423, $U$2:$U$423&lt;3.75), $X166), 1)"),0.626)</f>
        <v>0.626</v>
      </c>
      <c r="AC166" s="20">
        <f>IFERROR(__xludf.DUMMYFUNCTION("iferror(PERCENTRANK.INC(FILTER($X$2:$X$423, $U$2:$U$423&lt;4.25), $X166), 1)"),0.608)</f>
        <v>0.608</v>
      </c>
      <c r="AD166" s="20">
        <f>IFERROR(__xludf.DUMMYFUNCTION("iferror(PERCENTRANK.INC(FILTER($X$2:$X$423, $U$2:$U$423&gt;=4.1), $X166), 0.01)"),0.047)</f>
        <v>0.047</v>
      </c>
      <c r="AE166" s="20"/>
    </row>
    <row r="167" ht="14.25" customHeight="1">
      <c r="A167" s="17" t="s">
        <v>440</v>
      </c>
      <c r="B167" s="17" t="s">
        <v>441</v>
      </c>
      <c r="C167" s="18">
        <v>7.0</v>
      </c>
      <c r="D167" s="17" t="s">
        <v>98</v>
      </c>
      <c r="E167" s="17" t="s">
        <v>135</v>
      </c>
      <c r="F167" s="18">
        <v>334.0</v>
      </c>
      <c r="G167" s="18">
        <v>283.0</v>
      </c>
      <c r="H167" s="18">
        <v>180.0</v>
      </c>
      <c r="I167" s="19">
        <v>0.636</v>
      </c>
      <c r="J167" s="18">
        <v>1839.0</v>
      </c>
      <c r="K167" s="18">
        <v>6.5</v>
      </c>
      <c r="L167" s="18">
        <v>10.0</v>
      </c>
      <c r="M167" s="18">
        <v>6.0</v>
      </c>
      <c r="N167" s="18">
        <v>21.0</v>
      </c>
      <c r="O167" s="18">
        <v>7.0</v>
      </c>
      <c r="P167" s="20">
        <f t="shared" si="1"/>
        <v>2.302989763</v>
      </c>
      <c r="Q167" s="20">
        <f t="shared" si="2"/>
        <v>1.491117553</v>
      </c>
      <c r="R167" s="24"/>
      <c r="S167" s="20">
        <v>2.3029897626372695</v>
      </c>
      <c r="T167" s="22">
        <v>-0.88</v>
      </c>
      <c r="U167" s="30"/>
      <c r="V167" s="30"/>
      <c r="W167" s="18">
        <v>1.0</v>
      </c>
      <c r="X167" s="22">
        <f t="shared" si="15"/>
        <v>0.2134484644</v>
      </c>
      <c r="Y167" s="20">
        <f t="shared" si="4"/>
        <v>39.33969334</v>
      </c>
      <c r="Z167" s="20">
        <f t="shared" si="6"/>
        <v>37.84857579</v>
      </c>
      <c r="AA167" s="20"/>
      <c r="AB167" s="20">
        <f>IFERROR(__xludf.DUMMYFUNCTION("iferror(PERCENTRANK.INC(FILTER($X$2:$X$423, $U$2:$U$423&lt;3.75), $X167), 1)"),0.485)</f>
        <v>0.485</v>
      </c>
      <c r="AC167" s="20">
        <f>IFERROR(__xludf.DUMMYFUNCTION("iferror(PERCENTRANK.INC(FILTER($X$2:$X$423, $U$2:$U$423&lt;4.25), $X167), 1)"),0.47)</f>
        <v>0.47</v>
      </c>
      <c r="AD167" s="20">
        <f>IFERROR(__xludf.DUMMYFUNCTION("iferror(PERCENTRANK.INC(FILTER($X$2:$X$423, $U$2:$U$423&gt;=4.1), $X167), 0.01)"),0.043)</f>
        <v>0.043</v>
      </c>
      <c r="AE167" s="20"/>
    </row>
    <row r="168" ht="14.25" customHeight="1">
      <c r="A168" s="17" t="s">
        <v>442</v>
      </c>
      <c r="B168" s="17" t="s">
        <v>443</v>
      </c>
      <c r="C168" s="18">
        <v>13.0</v>
      </c>
      <c r="D168" s="17" t="s">
        <v>98</v>
      </c>
      <c r="E168" s="17" t="s">
        <v>138</v>
      </c>
      <c r="F168" s="18">
        <v>360.0</v>
      </c>
      <c r="G168" s="18">
        <v>320.0</v>
      </c>
      <c r="H168" s="18">
        <v>176.0</v>
      </c>
      <c r="I168" s="19">
        <v>0.55</v>
      </c>
      <c r="J168" s="18">
        <v>2033.0</v>
      </c>
      <c r="K168" s="18">
        <v>6.3</v>
      </c>
      <c r="L168" s="18">
        <v>13.0</v>
      </c>
      <c r="M168" s="18">
        <v>9.0</v>
      </c>
      <c r="N168" s="18">
        <v>13.0</v>
      </c>
      <c r="O168" s="18">
        <v>12.0</v>
      </c>
      <c r="P168" s="20">
        <f t="shared" si="1"/>
        <v>2.206138889</v>
      </c>
      <c r="Q168" s="20">
        <f t="shared" si="2"/>
        <v>1.445190872</v>
      </c>
      <c r="R168" s="24"/>
      <c r="S168" s="20">
        <v>2.206138888888889</v>
      </c>
      <c r="T168" s="22">
        <v>-0.68</v>
      </c>
      <c r="U168" s="30"/>
      <c r="V168" s="30"/>
      <c r="W168" s="18">
        <v>0.9</v>
      </c>
      <c r="X168" s="22">
        <f t="shared" si="15"/>
        <v>0.2123747917</v>
      </c>
      <c r="Y168" s="20">
        <f t="shared" si="4"/>
        <v>39.32641731</v>
      </c>
      <c r="Z168" s="20">
        <f t="shared" si="6"/>
        <v>37.88122644</v>
      </c>
      <c r="AA168" s="20"/>
      <c r="AB168" s="20">
        <f>IFERROR(__xludf.DUMMYFUNCTION("iferror(PERCENTRANK.INC(FILTER($X$2:$X$423, $U$2:$U$423&lt;3.75), $X168), 1)"),0.482)</f>
        <v>0.482</v>
      </c>
      <c r="AC168" s="20">
        <f>IFERROR(__xludf.DUMMYFUNCTION("iferror(PERCENTRANK.INC(FILTER($X$2:$X$423, $U$2:$U$423&lt;4.25), $X168), 1)"),0.468)</f>
        <v>0.468</v>
      </c>
      <c r="AD168" s="20">
        <f>IFERROR(__xludf.DUMMYFUNCTION("iferror(PERCENTRANK.INC(FILTER($X$2:$X$423, $U$2:$U$423&gt;=4.1), $X168), 0.01)"),0.043)</f>
        <v>0.043</v>
      </c>
      <c r="AE168" s="20"/>
    </row>
    <row r="169" ht="14.25" customHeight="1">
      <c r="A169" s="17" t="s">
        <v>444</v>
      </c>
      <c r="B169" s="17" t="s">
        <v>445</v>
      </c>
      <c r="C169" s="18">
        <v>5.0</v>
      </c>
      <c r="D169" s="17" t="s">
        <v>98</v>
      </c>
      <c r="E169" s="17" t="s">
        <v>155</v>
      </c>
      <c r="F169" s="18">
        <v>229.0</v>
      </c>
      <c r="G169" s="18">
        <v>190.0</v>
      </c>
      <c r="H169" s="18">
        <v>95.0</v>
      </c>
      <c r="I169" s="19">
        <v>0.5</v>
      </c>
      <c r="J169" s="18">
        <v>1173.0</v>
      </c>
      <c r="K169" s="18">
        <v>6.2</v>
      </c>
      <c r="L169" s="18">
        <v>10.0</v>
      </c>
      <c r="M169" s="18">
        <v>4.0</v>
      </c>
      <c r="N169" s="18">
        <v>11.0</v>
      </c>
      <c r="O169" s="18">
        <v>4.0</v>
      </c>
      <c r="P169" s="20">
        <f t="shared" si="1"/>
        <v>2.14502296</v>
      </c>
      <c r="Q169" s="20">
        <f t="shared" si="2"/>
        <v>1.416209701</v>
      </c>
      <c r="R169" s="24"/>
      <c r="S169" s="20">
        <v>2.1450229602390256</v>
      </c>
      <c r="T169" s="22">
        <v>-1.18</v>
      </c>
      <c r="U169" s="30"/>
      <c r="V169" s="30"/>
      <c r="W169" s="18">
        <v>0.9</v>
      </c>
      <c r="X169" s="22">
        <f t="shared" si="15"/>
        <v>0.1125780996</v>
      </c>
      <c r="Y169" s="20">
        <f t="shared" si="4"/>
        <v>38.09242491</v>
      </c>
      <c r="Z169" s="20">
        <f t="shared" si="6"/>
        <v>36.67621521</v>
      </c>
      <c r="AA169" s="20"/>
      <c r="AB169" s="20">
        <f>IFERROR(__xludf.DUMMYFUNCTION("iferror(PERCENTRANK.INC(FILTER($X$2:$X$423, $U$2:$U$423&lt;3.75), $X169), 1)"),0.381)</f>
        <v>0.381</v>
      </c>
      <c r="AC169" s="20">
        <f>IFERROR(__xludf.DUMMYFUNCTION("iferror(PERCENTRANK.INC(FILTER($X$2:$X$423, $U$2:$U$423&lt;4.25), $X169), 1)"),0.37)</f>
        <v>0.37</v>
      </c>
      <c r="AD169" s="20">
        <f>IFERROR(__xludf.DUMMYFUNCTION("iferror(PERCENTRANK.INC(FILTER($X$2:$X$423, $U$2:$U$423&gt;=4.1), $X169), 0.01)"),0.042)</f>
        <v>0.042</v>
      </c>
      <c r="AE169" s="20"/>
    </row>
    <row r="170" ht="14.25" customHeight="1">
      <c r="A170" s="17" t="s">
        <v>446</v>
      </c>
      <c r="B170" s="17" t="s">
        <v>447</v>
      </c>
      <c r="C170" s="18">
        <v>2.0</v>
      </c>
      <c r="D170" s="17" t="s">
        <v>98</v>
      </c>
      <c r="E170" s="17" t="s">
        <v>99</v>
      </c>
      <c r="F170" s="18">
        <v>358.0</v>
      </c>
      <c r="G170" s="18">
        <v>326.0</v>
      </c>
      <c r="H170" s="18">
        <v>202.0</v>
      </c>
      <c r="I170" s="19">
        <v>0.62</v>
      </c>
      <c r="J170" s="18">
        <v>2179.0</v>
      </c>
      <c r="K170" s="18">
        <v>6.7</v>
      </c>
      <c r="L170" s="18">
        <v>10.0</v>
      </c>
      <c r="M170" s="18">
        <v>8.0</v>
      </c>
      <c r="N170" s="18">
        <v>16.0</v>
      </c>
      <c r="O170" s="18">
        <v>17.0</v>
      </c>
      <c r="P170" s="20">
        <f t="shared" si="1"/>
        <v>2.199129471</v>
      </c>
      <c r="Q170" s="20">
        <f t="shared" si="2"/>
        <v>1.441867006</v>
      </c>
      <c r="R170" s="24"/>
      <c r="S170" s="20">
        <v>2.1991294711587894</v>
      </c>
      <c r="T170" s="22">
        <v>1.87</v>
      </c>
      <c r="U170" s="30"/>
      <c r="V170" s="30"/>
      <c r="W170" s="18">
        <v>1.0</v>
      </c>
      <c r="X170" s="22">
        <f t="shared" si="15"/>
        <v>0.5938759496</v>
      </c>
      <c r="Y170" s="20">
        <f t="shared" si="4"/>
        <v>44.04370322</v>
      </c>
      <c r="Z170" s="20">
        <f t="shared" si="6"/>
        <v>42.60183621</v>
      </c>
      <c r="AA170" s="20"/>
      <c r="AB170" s="20">
        <f>IFERROR(__xludf.DUMMYFUNCTION("iferror(PERCENTRANK.INC(FILTER($X$2:$X$423, $U$2:$U$423&lt;3.75), $X170), 1)"),0.716)</f>
        <v>0.716</v>
      </c>
      <c r="AC170" s="20">
        <f>IFERROR(__xludf.DUMMYFUNCTION("iferror(PERCENTRANK.INC(FILTER($X$2:$X$423, $U$2:$U$423&lt;4.25), $X170), 1)"),0.695)</f>
        <v>0.695</v>
      </c>
      <c r="AD170" s="20">
        <f>IFERROR(__xludf.DUMMYFUNCTION("iferror(PERCENTRANK.INC(FILTER($X$2:$X$423, $U$2:$U$423&gt;=4.1), $X170), 0.01)"),0.049)</f>
        <v>0.049</v>
      </c>
      <c r="AE170" s="20"/>
    </row>
    <row r="171" ht="14.25" customHeight="1">
      <c r="A171" s="17" t="s">
        <v>448</v>
      </c>
      <c r="B171" s="17" t="s">
        <v>449</v>
      </c>
      <c r="C171" s="18">
        <v>15.0</v>
      </c>
      <c r="D171" s="17" t="s">
        <v>98</v>
      </c>
      <c r="E171" s="17" t="s">
        <v>172</v>
      </c>
      <c r="F171" s="18">
        <v>267.0</v>
      </c>
      <c r="G171" s="18">
        <v>225.0</v>
      </c>
      <c r="H171" s="18">
        <v>126.0</v>
      </c>
      <c r="I171" s="19">
        <v>0.56</v>
      </c>
      <c r="J171" s="18">
        <v>1590.0</v>
      </c>
      <c r="K171" s="18">
        <v>7.1</v>
      </c>
      <c r="L171" s="18">
        <v>12.0</v>
      </c>
      <c r="M171" s="18">
        <v>7.0</v>
      </c>
      <c r="N171" s="18">
        <v>21.0</v>
      </c>
      <c r="O171" s="18">
        <v>10.0</v>
      </c>
      <c r="P171" s="20">
        <f t="shared" si="1"/>
        <v>2.195712759</v>
      </c>
      <c r="Q171" s="20">
        <f t="shared" si="2"/>
        <v>1.440246801</v>
      </c>
      <c r="R171" s="24"/>
      <c r="S171" s="20">
        <v>2.195712759051186</v>
      </c>
      <c r="T171" s="22">
        <v>-1.21</v>
      </c>
      <c r="U171" s="30"/>
      <c r="V171" s="30"/>
      <c r="W171" s="18">
        <v>0.9</v>
      </c>
      <c r="X171" s="22">
        <f t="shared" si="15"/>
        <v>0.1478569139</v>
      </c>
      <c r="Y171" s="20">
        <f t="shared" si="4"/>
        <v>38.52864968</v>
      </c>
      <c r="Z171" s="20">
        <f t="shared" si="6"/>
        <v>37.08840288</v>
      </c>
      <c r="AA171" s="20"/>
      <c r="AB171" s="20">
        <f>IFERROR(__xludf.DUMMYFUNCTION("iferror(PERCENTRANK.INC(FILTER($X$2:$X$423, $U$2:$U$423&lt;3.75), $X171), 1)"),0.423)</f>
        <v>0.423</v>
      </c>
      <c r="AC171" s="20">
        <f>IFERROR(__xludf.DUMMYFUNCTION("iferror(PERCENTRANK.INC(FILTER($X$2:$X$423, $U$2:$U$423&lt;4.25), $X171), 1)"),0.41)</f>
        <v>0.41</v>
      </c>
      <c r="AD171" s="20">
        <f>IFERROR(__xludf.DUMMYFUNCTION("iferror(PERCENTRANK.INC(FILTER($X$2:$X$423, $U$2:$U$423&gt;=4.1), $X171), 0.01)"),0.042)</f>
        <v>0.042</v>
      </c>
      <c r="AE171" s="20"/>
    </row>
    <row r="172" ht="14.25" customHeight="1">
      <c r="A172" s="17" t="s">
        <v>450</v>
      </c>
      <c r="B172" s="17" t="s">
        <v>167</v>
      </c>
      <c r="C172" s="18">
        <v>16.0</v>
      </c>
      <c r="D172" s="17" t="s">
        <v>98</v>
      </c>
      <c r="E172" s="17" t="s">
        <v>108</v>
      </c>
      <c r="F172" s="18">
        <v>25.0</v>
      </c>
      <c r="G172" s="18">
        <v>24.0</v>
      </c>
      <c r="H172" s="18">
        <v>18.0</v>
      </c>
      <c r="I172" s="19">
        <v>0.75</v>
      </c>
      <c r="J172" s="18">
        <v>286.0</v>
      </c>
      <c r="K172" s="18">
        <v>11.9</v>
      </c>
      <c r="L172" s="18">
        <v>5.0</v>
      </c>
      <c r="M172" s="18">
        <v>1.0</v>
      </c>
      <c r="N172" s="18">
        <v>0.0</v>
      </c>
      <c r="O172" s="18">
        <v>2.0</v>
      </c>
      <c r="P172" s="20">
        <f t="shared" si="1"/>
        <v>2.233383333</v>
      </c>
      <c r="Q172" s="20">
        <f t="shared" si="2"/>
        <v>1.458110186</v>
      </c>
      <c r="R172" s="24"/>
      <c r="S172" s="20">
        <v>2.2333833333333333</v>
      </c>
      <c r="T172" s="22">
        <v>1.28</v>
      </c>
      <c r="W172" s="25">
        <v>1.0</v>
      </c>
      <c r="X172" s="22">
        <f t="shared" si="15"/>
        <v>0.49350675</v>
      </c>
      <c r="Y172" s="20">
        <f t="shared" si="4"/>
        <v>42.80263173</v>
      </c>
      <c r="Z172" s="20">
        <f t="shared" si="6"/>
        <v>41.34452154</v>
      </c>
      <c r="AA172" s="20"/>
      <c r="AB172" s="20">
        <f>IFERROR(__xludf.DUMMYFUNCTION("iferror(PERCENTRANK.INC(FILTER($X$2:$X$423, $U$2:$U$423&lt;3.75), $X172), 1)"),0.647)</f>
        <v>0.647</v>
      </c>
      <c r="AC172" s="20">
        <f>IFERROR(__xludf.DUMMYFUNCTION("iferror(PERCENTRANK.INC(FILTER($X$2:$X$423, $U$2:$U$423&lt;4.25), $X172), 1)"),0.628)</f>
        <v>0.628</v>
      </c>
      <c r="AD172" s="20">
        <f>IFERROR(__xludf.DUMMYFUNCTION("iferror(PERCENTRANK.INC(FILTER($X$2:$X$423, $U$2:$U$423&gt;=4.1), $X172), 0.01)"),0.048)</f>
        <v>0.048</v>
      </c>
      <c r="AE172" s="20"/>
    </row>
    <row r="173" ht="14.25" customHeight="1">
      <c r="A173" s="17" t="s">
        <v>451</v>
      </c>
      <c r="B173" s="17" t="s">
        <v>425</v>
      </c>
      <c r="C173" s="18">
        <v>9.0</v>
      </c>
      <c r="D173" s="17" t="s">
        <v>98</v>
      </c>
      <c r="E173" s="17" t="s">
        <v>117</v>
      </c>
      <c r="F173" s="18">
        <v>195.0</v>
      </c>
      <c r="G173" s="18">
        <v>157.0</v>
      </c>
      <c r="H173" s="18">
        <v>98.0</v>
      </c>
      <c r="I173" s="19">
        <v>0.624</v>
      </c>
      <c r="J173" s="18">
        <v>1177.0</v>
      </c>
      <c r="K173" s="18">
        <v>7.5</v>
      </c>
      <c r="L173" s="18">
        <v>11.0</v>
      </c>
      <c r="M173" s="18">
        <v>5.0</v>
      </c>
      <c r="N173" s="18">
        <v>19.0</v>
      </c>
      <c r="O173" s="18">
        <v>7.0</v>
      </c>
      <c r="P173" s="20">
        <f t="shared" si="1"/>
        <v>2.182863313</v>
      </c>
      <c r="Q173" s="20">
        <f t="shared" si="2"/>
        <v>1.434153595</v>
      </c>
      <c r="R173" s="24"/>
      <c r="S173" s="20">
        <v>2.1828633127551855</v>
      </c>
      <c r="T173" s="22">
        <v>0.29</v>
      </c>
      <c r="U173" s="30"/>
      <c r="V173" s="30"/>
      <c r="W173" s="18">
        <v>0.95</v>
      </c>
      <c r="X173" s="22">
        <f t="shared" si="15"/>
        <v>0.3381865472</v>
      </c>
      <c r="Y173" s="20">
        <f t="shared" si="4"/>
        <v>40.88208761</v>
      </c>
      <c r="Z173" s="20">
        <f t="shared" si="6"/>
        <v>39.44793402</v>
      </c>
      <c r="AA173" s="20"/>
      <c r="AB173" s="20">
        <f>IFERROR(__xludf.DUMMYFUNCTION("iferror(PERCENTRANK.INC(FILTER($X$2:$X$423, $U$2:$U$423&lt;3.75), $X173), 1)"),0.564)</f>
        <v>0.564</v>
      </c>
      <c r="AC173" s="20">
        <f>IFERROR(__xludf.DUMMYFUNCTION("iferror(PERCENTRANK.INC(FILTER($X$2:$X$423, $U$2:$U$423&lt;4.25), $X173), 1)"),0.548)</f>
        <v>0.548</v>
      </c>
      <c r="AD173" s="20">
        <f>IFERROR(__xludf.DUMMYFUNCTION("iferror(PERCENTRANK.INC(FILTER($X$2:$X$423, $U$2:$U$423&gt;=4.1), $X173), 0.01)"),0.045)</f>
        <v>0.045</v>
      </c>
      <c r="AE173" s="20"/>
    </row>
    <row r="174" ht="14.25" customHeight="1">
      <c r="A174" s="17" t="s">
        <v>452</v>
      </c>
      <c r="B174" s="17" t="s">
        <v>453</v>
      </c>
      <c r="C174" s="18">
        <v>15.0</v>
      </c>
      <c r="D174" s="17" t="s">
        <v>98</v>
      </c>
      <c r="E174" s="17" t="s">
        <v>102</v>
      </c>
      <c r="F174" s="18">
        <v>442.0</v>
      </c>
      <c r="G174" s="18">
        <v>394.0</v>
      </c>
      <c r="H174" s="18">
        <v>257.0</v>
      </c>
      <c r="I174" s="19">
        <v>0.652</v>
      </c>
      <c r="J174" s="18">
        <v>2935.0</v>
      </c>
      <c r="K174" s="18">
        <v>7.5</v>
      </c>
      <c r="L174" s="18">
        <v>18.0</v>
      </c>
      <c r="M174" s="18">
        <v>17.0</v>
      </c>
      <c r="N174" s="18">
        <v>28.0</v>
      </c>
      <c r="O174" s="18">
        <v>15.0</v>
      </c>
      <c r="P174" s="20">
        <f t="shared" si="1"/>
        <v>2.068758731</v>
      </c>
      <c r="Q174" s="20">
        <f t="shared" si="2"/>
        <v>1.380045206</v>
      </c>
      <c r="R174" s="24"/>
      <c r="S174" s="20">
        <v>2.068758730918529</v>
      </c>
      <c r="T174" s="22">
        <v>-2.66</v>
      </c>
      <c r="W174" s="25">
        <v>0.9</v>
      </c>
      <c r="X174" s="22">
        <f t="shared" si="15"/>
        <v>-0.08868619036</v>
      </c>
      <c r="Y174" s="20">
        <f t="shared" si="4"/>
        <v>35.60377926</v>
      </c>
      <c r="Z174" s="20">
        <f t="shared" si="6"/>
        <v>34.22373405</v>
      </c>
      <c r="AA174" s="20"/>
      <c r="AB174" s="20">
        <f>IFERROR(__xludf.DUMMYFUNCTION("iferror(PERCENTRANK.INC(FILTER($X$2:$X$423, $U$2:$U$423&lt;3.75), $X174), 1)"),0.186)</f>
        <v>0.186</v>
      </c>
      <c r="AC174" s="20">
        <f>IFERROR(__xludf.DUMMYFUNCTION("iferror(PERCENTRANK.INC(FILTER($X$2:$X$423, $U$2:$U$423&lt;4.25), $X174), 1)"),0.18)</f>
        <v>0.18</v>
      </c>
      <c r="AD174" s="20">
        <f>IFERROR(__xludf.DUMMYFUNCTION("iferror(PERCENTRANK.INC(FILTER($X$2:$X$423, $U$2:$U$423&gt;=4.1), $X174), 0.01)"),0.01)</f>
        <v>0.01</v>
      </c>
      <c r="AE174" s="20"/>
    </row>
    <row r="175" ht="14.25" customHeight="1">
      <c r="A175" s="17" t="s">
        <v>454</v>
      </c>
      <c r="B175" s="17" t="s">
        <v>455</v>
      </c>
      <c r="C175" s="18">
        <v>12.0</v>
      </c>
      <c r="D175" s="17" t="s">
        <v>98</v>
      </c>
      <c r="E175" s="17" t="s">
        <v>144</v>
      </c>
      <c r="F175" s="18">
        <v>247.0</v>
      </c>
      <c r="G175" s="18">
        <v>184.0</v>
      </c>
      <c r="H175" s="18">
        <v>108.0</v>
      </c>
      <c r="I175" s="19">
        <v>0.587</v>
      </c>
      <c r="J175" s="18">
        <v>1316.0</v>
      </c>
      <c r="K175" s="18">
        <v>7.2</v>
      </c>
      <c r="L175" s="18">
        <v>8.0</v>
      </c>
      <c r="M175" s="18">
        <v>4.0</v>
      </c>
      <c r="N175" s="18">
        <v>14.0</v>
      </c>
      <c r="O175" s="18">
        <v>5.0</v>
      </c>
      <c r="P175" s="20">
        <f t="shared" si="1"/>
        <v>2.146489708</v>
      </c>
      <c r="Q175" s="20">
        <f t="shared" si="2"/>
        <v>1.416905232</v>
      </c>
      <c r="R175" s="24"/>
      <c r="S175" s="20">
        <v>2.146489707621898</v>
      </c>
      <c r="T175" s="22">
        <v>-0.47</v>
      </c>
      <c r="U175" s="30"/>
      <c r="V175" s="30"/>
      <c r="W175" s="18">
        <v>0.95</v>
      </c>
      <c r="X175" s="22">
        <f t="shared" si="15"/>
        <v>0.2514734561</v>
      </c>
      <c r="Y175" s="20">
        <f t="shared" si="4"/>
        <v>39.80987477</v>
      </c>
      <c r="Z175" s="20">
        <f t="shared" si="6"/>
        <v>38.39296953</v>
      </c>
      <c r="AA175" s="20"/>
      <c r="AB175" s="20">
        <f>IFERROR(__xludf.DUMMYFUNCTION("iferror(PERCENTRANK.INC(FILTER($X$2:$X$423, $U$2:$U$423&lt;3.75), $X175), 1)"),0.508)</f>
        <v>0.508</v>
      </c>
      <c r="AC175" s="20">
        <f>IFERROR(__xludf.DUMMYFUNCTION("iferror(PERCENTRANK.INC(FILTER($X$2:$X$423, $U$2:$U$423&lt;4.25), $X175), 1)"),0.493)</f>
        <v>0.493</v>
      </c>
      <c r="AD175" s="20">
        <f>IFERROR(__xludf.DUMMYFUNCTION("iferror(PERCENTRANK.INC(FILTER($X$2:$X$423, $U$2:$U$423&gt;=4.1), $X175), 0.01)"),0.044)</f>
        <v>0.044</v>
      </c>
      <c r="AE175" s="20"/>
    </row>
    <row r="176" ht="14.25" customHeight="1">
      <c r="A176" s="17" t="s">
        <v>456</v>
      </c>
      <c r="B176" s="17" t="s">
        <v>457</v>
      </c>
      <c r="C176" s="18">
        <v>15.0</v>
      </c>
      <c r="D176" s="17" t="s">
        <v>98</v>
      </c>
      <c r="E176" s="17" t="s">
        <v>108</v>
      </c>
      <c r="F176" s="18">
        <v>191.0</v>
      </c>
      <c r="G176" s="18">
        <v>162.0</v>
      </c>
      <c r="H176" s="18">
        <v>104.0</v>
      </c>
      <c r="I176" s="19">
        <v>0.642</v>
      </c>
      <c r="J176" s="18">
        <v>1103.0</v>
      </c>
      <c r="K176" s="18">
        <v>6.8</v>
      </c>
      <c r="L176" s="18">
        <v>8.0</v>
      </c>
      <c r="M176" s="18">
        <v>3.0</v>
      </c>
      <c r="N176" s="18">
        <v>7.0</v>
      </c>
      <c r="O176" s="18">
        <v>5.0</v>
      </c>
      <c r="P176" s="20">
        <f t="shared" si="1"/>
        <v>2.137553427</v>
      </c>
      <c r="Q176" s="20">
        <f t="shared" si="2"/>
        <v>1.412667649</v>
      </c>
      <c r="R176" s="24"/>
      <c r="S176" s="20">
        <v>2.137553427315623</v>
      </c>
      <c r="T176" s="22">
        <v>1.61</v>
      </c>
      <c r="U176" s="30"/>
      <c r="V176" s="30"/>
      <c r="W176" s="18">
        <v>1.0</v>
      </c>
      <c r="X176" s="22">
        <f t="shared" si="15"/>
        <v>0.5300697127</v>
      </c>
      <c r="Y176" s="20">
        <f t="shared" si="4"/>
        <v>43.25473507</v>
      </c>
      <c r="Z176" s="20">
        <f t="shared" si="6"/>
        <v>41.84206742</v>
      </c>
      <c r="AA176" s="20"/>
      <c r="AB176" s="20">
        <f>IFERROR(__xludf.DUMMYFUNCTION("iferror(PERCENTRANK.INC(FILTER($X$2:$X$423, $U$2:$U$423&lt;3.75), $X176), 1)"),0.678)</f>
        <v>0.678</v>
      </c>
      <c r="AC176" s="20">
        <f>IFERROR(__xludf.DUMMYFUNCTION("iferror(PERCENTRANK.INC(FILTER($X$2:$X$423, $U$2:$U$423&lt;4.25), $X176), 1)"),0.658)</f>
        <v>0.658</v>
      </c>
      <c r="AD176" s="20">
        <f>IFERROR(__xludf.DUMMYFUNCTION("iferror(PERCENTRANK.INC(FILTER($X$2:$X$423, $U$2:$U$423&gt;=4.1), $X176), 0.01)"),0.048)</f>
        <v>0.048</v>
      </c>
      <c r="AE176" s="20"/>
    </row>
    <row r="177" ht="14.25" customHeight="1">
      <c r="A177" s="17" t="s">
        <v>458</v>
      </c>
      <c r="B177" s="17" t="s">
        <v>459</v>
      </c>
      <c r="C177" s="18">
        <v>17.0</v>
      </c>
      <c r="D177" s="17" t="s">
        <v>98</v>
      </c>
      <c r="E177" s="17" t="s">
        <v>121</v>
      </c>
      <c r="F177" s="18">
        <v>124.0</v>
      </c>
      <c r="G177" s="18">
        <v>100.0</v>
      </c>
      <c r="H177" s="18">
        <v>58.0</v>
      </c>
      <c r="I177" s="19">
        <v>0.58</v>
      </c>
      <c r="J177" s="18">
        <v>910.0</v>
      </c>
      <c r="K177" s="18">
        <v>9.1</v>
      </c>
      <c r="L177" s="18">
        <v>8.0</v>
      </c>
      <c r="M177" s="18">
        <v>4.0</v>
      </c>
      <c r="N177" s="18">
        <v>11.0</v>
      </c>
      <c r="O177" s="18">
        <v>6.0</v>
      </c>
      <c r="P177" s="20">
        <f t="shared" si="1"/>
        <v>2.029350323</v>
      </c>
      <c r="Q177" s="20">
        <f t="shared" si="2"/>
        <v>1.36135774</v>
      </c>
      <c r="R177" s="24"/>
      <c r="S177" s="20">
        <v>2.029350322580645</v>
      </c>
      <c r="T177" s="22">
        <v>-1.09</v>
      </c>
      <c r="W177" s="25">
        <v>0.9</v>
      </c>
      <c r="X177" s="22">
        <f t="shared" si="15"/>
        <v>0.1104622935</v>
      </c>
      <c r="Y177" s="20">
        <f t="shared" si="4"/>
        <v>38.06626284</v>
      </c>
      <c r="Z177" s="20">
        <f t="shared" si="6"/>
        <v>36.7049051</v>
      </c>
      <c r="AA177" s="20"/>
      <c r="AB177" s="20">
        <f>IFERROR(__xludf.DUMMYFUNCTION("iferror(PERCENTRANK.INC(FILTER($X$2:$X$423, $U$2:$U$423&lt;3.75), $X177), 1)"),0.379)</f>
        <v>0.379</v>
      </c>
      <c r="AC177" s="20">
        <f>IFERROR(__xludf.DUMMYFUNCTION("iferror(PERCENTRANK.INC(FILTER($X$2:$X$423, $U$2:$U$423&lt;4.25), $X177), 1)"),0.368)</f>
        <v>0.368</v>
      </c>
      <c r="AD177" s="20">
        <f>IFERROR(__xludf.DUMMYFUNCTION("iferror(PERCENTRANK.INC(FILTER($X$2:$X$423, $U$2:$U$423&gt;=4.1), $X177), 0.01)"),0.042)</f>
        <v>0.042</v>
      </c>
      <c r="AE177" s="20"/>
    </row>
    <row r="178" ht="14.25" customHeight="1">
      <c r="A178" s="17" t="s">
        <v>460</v>
      </c>
      <c r="B178" s="17" t="s">
        <v>461</v>
      </c>
      <c r="C178" s="18">
        <v>12.0</v>
      </c>
      <c r="D178" s="17" t="s">
        <v>98</v>
      </c>
      <c r="E178" s="17" t="s">
        <v>102</v>
      </c>
      <c r="F178" s="18">
        <v>303.0</v>
      </c>
      <c r="G178" s="18">
        <v>252.0</v>
      </c>
      <c r="H178" s="18">
        <v>141.0</v>
      </c>
      <c r="I178" s="19">
        <v>0.56</v>
      </c>
      <c r="J178" s="18">
        <v>1730.0</v>
      </c>
      <c r="K178" s="18">
        <v>6.9</v>
      </c>
      <c r="L178" s="18">
        <v>9.0</v>
      </c>
      <c r="M178" s="18">
        <v>6.0</v>
      </c>
      <c r="N178" s="18">
        <v>21.0</v>
      </c>
      <c r="O178" s="18">
        <v>10.0</v>
      </c>
      <c r="P178" s="20">
        <f t="shared" si="1"/>
        <v>2.132867038</v>
      </c>
      <c r="Q178" s="20">
        <f t="shared" si="2"/>
        <v>1.410445363</v>
      </c>
      <c r="R178" s="24"/>
      <c r="S178" s="20">
        <v>2.1328670375609</v>
      </c>
      <c r="T178" s="22">
        <v>-8.38</v>
      </c>
      <c r="U178" s="30"/>
      <c r="V178" s="30"/>
      <c r="W178" s="18">
        <v>0.9</v>
      </c>
      <c r="X178" s="22">
        <f t="shared" si="15"/>
        <v>-0.9690629499</v>
      </c>
      <c r="Y178" s="20">
        <f t="shared" si="4"/>
        <v>24.71786504</v>
      </c>
      <c r="Z178" s="20">
        <f t="shared" si="6"/>
        <v>23.30741968</v>
      </c>
      <c r="AA178" s="20"/>
      <c r="AB178" s="20">
        <f>IFERROR(__xludf.DUMMYFUNCTION("iferror(PERCENTRANK.INC(FILTER($X$2:$X$423, $U$2:$U$423&lt;3.75), $X178), 1)"),0.013)</f>
        <v>0.013</v>
      </c>
      <c r="AC178" s="20">
        <f>IFERROR(__xludf.DUMMYFUNCTION("iferror(PERCENTRANK.INC(FILTER($X$2:$X$423, $U$2:$U$423&lt;4.25), $X178), 1)"),0.013)</f>
        <v>0.013</v>
      </c>
      <c r="AD178" s="20">
        <f>IFERROR(__xludf.DUMMYFUNCTION("iferror(PERCENTRANK.INC(FILTER($X$2:$X$423, $U$2:$U$423&gt;=4.1), $X178), 0.01)"),0.01)</f>
        <v>0.01</v>
      </c>
      <c r="AE178" s="20"/>
    </row>
    <row r="179" ht="14.25" customHeight="1">
      <c r="A179" s="17" t="s">
        <v>462</v>
      </c>
      <c r="B179" s="17" t="s">
        <v>463</v>
      </c>
      <c r="C179" s="18">
        <v>8.0</v>
      </c>
      <c r="D179" s="17" t="s">
        <v>98</v>
      </c>
      <c r="E179" s="17" t="s">
        <v>182</v>
      </c>
      <c r="F179" s="18">
        <v>386.0</v>
      </c>
      <c r="G179" s="18">
        <v>325.0</v>
      </c>
      <c r="H179" s="18">
        <v>206.0</v>
      </c>
      <c r="I179" s="19">
        <v>0.634</v>
      </c>
      <c r="J179" s="18">
        <v>2207.0</v>
      </c>
      <c r="K179" s="18">
        <v>6.8</v>
      </c>
      <c r="L179" s="18">
        <v>15.0</v>
      </c>
      <c r="M179" s="18">
        <v>12.0</v>
      </c>
      <c r="N179" s="18">
        <v>28.0</v>
      </c>
      <c r="O179" s="18">
        <v>17.0</v>
      </c>
      <c r="P179" s="20">
        <f t="shared" si="1"/>
        <v>2.007652986</v>
      </c>
      <c r="Q179" s="20">
        <f t="shared" si="2"/>
        <v>1.351068864</v>
      </c>
      <c r="R179" s="24"/>
      <c r="S179" s="20">
        <v>2.0076529860502195</v>
      </c>
      <c r="T179" s="22">
        <v>0.23</v>
      </c>
      <c r="W179" s="25">
        <v>1.0</v>
      </c>
      <c r="X179" s="22">
        <f t="shared" si="15"/>
        <v>0.3055331531</v>
      </c>
      <c r="Y179" s="20">
        <f t="shared" si="4"/>
        <v>40.47832633</v>
      </c>
      <c r="Z179" s="20">
        <f t="shared" si="6"/>
        <v>39.12725747</v>
      </c>
      <c r="AA179" s="20"/>
      <c r="AB179" s="20">
        <f>IFERROR(__xludf.DUMMYFUNCTION("iferror(PERCENTRANK.INC(FILTER($X$2:$X$423, $U$2:$U$423&lt;3.75), $X179), 1)"),0.546)</f>
        <v>0.546</v>
      </c>
      <c r="AC179" s="20">
        <f>IFERROR(__xludf.DUMMYFUNCTION("iferror(PERCENTRANK.INC(FILTER($X$2:$X$423, $U$2:$U$423&lt;4.25), $X179), 1)"),0.53)</f>
        <v>0.53</v>
      </c>
      <c r="AD179" s="20">
        <f>IFERROR(__xludf.DUMMYFUNCTION("iferror(PERCENTRANK.INC(FILTER($X$2:$X$423, $U$2:$U$423&gt;=4.1), $X179), 0.01)"),0.045)</f>
        <v>0.045</v>
      </c>
      <c r="AE179" s="20"/>
    </row>
    <row r="180" ht="14.25" customHeight="1">
      <c r="A180" s="17" t="s">
        <v>464</v>
      </c>
      <c r="B180" s="17" t="s">
        <v>107</v>
      </c>
      <c r="C180" s="18">
        <v>14.0</v>
      </c>
      <c r="D180" s="17" t="s">
        <v>98</v>
      </c>
      <c r="E180" s="17" t="s">
        <v>108</v>
      </c>
      <c r="F180" s="18">
        <v>117.0</v>
      </c>
      <c r="G180" s="18">
        <v>98.0</v>
      </c>
      <c r="H180" s="18">
        <v>59.0</v>
      </c>
      <c r="I180" s="19">
        <v>0.602</v>
      </c>
      <c r="J180" s="18">
        <v>722.0</v>
      </c>
      <c r="K180" s="18">
        <v>7.4</v>
      </c>
      <c r="L180" s="18">
        <v>4.0</v>
      </c>
      <c r="M180" s="18">
        <v>0.0</v>
      </c>
      <c r="N180" s="18">
        <v>3.0</v>
      </c>
      <c r="O180" s="18">
        <v>2.0</v>
      </c>
      <c r="P180" s="20">
        <f t="shared" si="1"/>
        <v>2.055846444</v>
      </c>
      <c r="Q180" s="20">
        <f t="shared" si="2"/>
        <v>1.3739222</v>
      </c>
      <c r="R180" s="24"/>
      <c r="S180" s="20">
        <v>2.0558464437467294</v>
      </c>
      <c r="T180" s="22">
        <v>3.58</v>
      </c>
      <c r="W180" s="25">
        <v>1.0</v>
      </c>
      <c r="X180" s="22">
        <f t="shared" si="15"/>
        <v>0.8299581182</v>
      </c>
      <c r="Y180" s="20">
        <f t="shared" si="4"/>
        <v>46.96287414</v>
      </c>
      <c r="Z180" s="20">
        <f t="shared" si="6"/>
        <v>45.58895194</v>
      </c>
      <c r="AA180" s="20"/>
      <c r="AB180" s="20">
        <f>IFERROR(__xludf.DUMMYFUNCTION("iferror(PERCENTRANK.INC(FILTER($X$2:$X$423, $U$2:$U$423&lt;3.75), $X180), 1)"),0.843)</f>
        <v>0.843</v>
      </c>
      <c r="AC180" s="20">
        <f>IFERROR(__xludf.DUMMYFUNCTION("iferror(PERCENTRANK.INC(FILTER($X$2:$X$423, $U$2:$U$423&lt;4.25), $X180), 1)"),0.818)</f>
        <v>0.818</v>
      </c>
      <c r="AD180" s="20">
        <f>IFERROR(__xludf.DUMMYFUNCTION("iferror(PERCENTRANK.INC(FILTER($X$2:$X$423, $U$2:$U$423&gt;=4.1), $X180), 0.01)"),0.053)</f>
        <v>0.053</v>
      </c>
      <c r="AE180" s="20"/>
    </row>
    <row r="181" ht="14.25" customHeight="1">
      <c r="A181" s="17" t="s">
        <v>465</v>
      </c>
      <c r="B181" s="17" t="s">
        <v>466</v>
      </c>
      <c r="C181" s="18">
        <v>3.0</v>
      </c>
      <c r="D181" s="17" t="s">
        <v>98</v>
      </c>
      <c r="E181" s="17" t="s">
        <v>124</v>
      </c>
      <c r="F181" s="18">
        <v>246.0</v>
      </c>
      <c r="G181" s="18">
        <v>201.0</v>
      </c>
      <c r="H181" s="18">
        <v>130.0</v>
      </c>
      <c r="I181" s="19">
        <v>0.647</v>
      </c>
      <c r="J181" s="18">
        <v>1388.0</v>
      </c>
      <c r="K181" s="18">
        <v>6.9</v>
      </c>
      <c r="L181" s="18">
        <v>9.0</v>
      </c>
      <c r="M181" s="18">
        <v>5.0</v>
      </c>
      <c r="N181" s="18">
        <v>15.0</v>
      </c>
      <c r="O181" s="18">
        <v>12.0</v>
      </c>
      <c r="P181" s="20">
        <f t="shared" si="1"/>
        <v>2.052192196</v>
      </c>
      <c r="Q181" s="20">
        <f t="shared" si="2"/>
        <v>1.372189356</v>
      </c>
      <c r="R181" s="24"/>
      <c r="S181" s="20">
        <v>2.0521921962140524</v>
      </c>
      <c r="T181" s="22">
        <v>0.75</v>
      </c>
      <c r="W181" s="25">
        <v>0.9</v>
      </c>
      <c r="X181" s="22">
        <f t="shared" si="15"/>
        <v>0.3895459465</v>
      </c>
      <c r="Y181" s="20">
        <f t="shared" si="4"/>
        <v>41.51714983</v>
      </c>
      <c r="Z181" s="20">
        <f t="shared" si="6"/>
        <v>40.14496047</v>
      </c>
      <c r="AA181" s="20"/>
      <c r="AB181" s="20">
        <f>IFERROR(__xludf.DUMMYFUNCTION("iferror(PERCENTRANK.INC(FILTER($X$2:$X$423, $U$2:$U$423&lt;3.75), $X181), 1)"),0.593)</f>
        <v>0.593</v>
      </c>
      <c r="AC181" s="20">
        <f>IFERROR(__xludf.DUMMYFUNCTION("iferror(PERCENTRANK.INC(FILTER($X$2:$X$423, $U$2:$U$423&lt;4.25), $X181), 1)"),0.575)</f>
        <v>0.575</v>
      </c>
      <c r="AD181" s="20">
        <f>IFERROR(__xludf.DUMMYFUNCTION("iferror(PERCENTRANK.INC(FILTER($X$2:$X$423, $U$2:$U$423&gt;=4.1), $X181), 0.01)"),0.046)</f>
        <v>0.046</v>
      </c>
      <c r="AE181" s="20"/>
    </row>
    <row r="182" ht="14.25" customHeight="1">
      <c r="A182" s="17" t="s">
        <v>467</v>
      </c>
      <c r="B182" s="17" t="s">
        <v>283</v>
      </c>
      <c r="C182" s="18">
        <v>7.0</v>
      </c>
      <c r="D182" s="17" t="s">
        <v>98</v>
      </c>
      <c r="E182" s="17" t="s">
        <v>124</v>
      </c>
      <c r="F182" s="18">
        <v>63.0</v>
      </c>
      <c r="G182" s="18">
        <v>61.0</v>
      </c>
      <c r="H182" s="18">
        <v>35.0</v>
      </c>
      <c r="I182" s="19">
        <v>0.574</v>
      </c>
      <c r="J182" s="18">
        <v>636.0</v>
      </c>
      <c r="K182" s="18">
        <v>10.4</v>
      </c>
      <c r="L182" s="18">
        <v>5.0</v>
      </c>
      <c r="M182" s="18">
        <v>2.0</v>
      </c>
      <c r="N182" s="18">
        <v>1.0</v>
      </c>
      <c r="O182" s="18">
        <v>4.0</v>
      </c>
      <c r="P182" s="20">
        <f t="shared" si="1"/>
        <v>2.100485968</v>
      </c>
      <c r="Q182" s="20">
        <f t="shared" si="2"/>
        <v>1.395090261</v>
      </c>
      <c r="R182" s="24"/>
      <c r="S182" s="20">
        <v>2.1004859677335417</v>
      </c>
      <c r="T182" s="22">
        <v>1.88</v>
      </c>
      <c r="U182" s="30"/>
      <c r="V182" s="30"/>
      <c r="W182" s="18">
        <v>0.9</v>
      </c>
      <c r="X182" s="22">
        <f t="shared" si="15"/>
        <v>0.5655656056</v>
      </c>
      <c r="Y182" s="20">
        <f t="shared" si="4"/>
        <v>43.69364403</v>
      </c>
      <c r="Z182" s="20">
        <f t="shared" si="6"/>
        <v>42.29855377</v>
      </c>
      <c r="AA182" s="20"/>
      <c r="AB182" s="20">
        <f>IFERROR(__xludf.DUMMYFUNCTION("iferror(PERCENTRANK.INC(FILTER($X$2:$X$423, $U$2:$U$423&lt;3.75), $X182), 1)"),0.698)</f>
        <v>0.698</v>
      </c>
      <c r="AC182" s="20">
        <f>IFERROR(__xludf.DUMMYFUNCTION("iferror(PERCENTRANK.INC(FILTER($X$2:$X$423, $U$2:$U$423&lt;4.25), $X182), 1)"),0.678)</f>
        <v>0.678</v>
      </c>
      <c r="AD182" s="20">
        <f>IFERROR(__xludf.DUMMYFUNCTION("iferror(PERCENTRANK.INC(FILTER($X$2:$X$423, $U$2:$U$423&gt;=4.1), $X182), 0.01)"),0.049)</f>
        <v>0.049</v>
      </c>
      <c r="AE182" s="20"/>
    </row>
    <row r="183" ht="14.25" customHeight="1">
      <c r="A183" s="17" t="s">
        <v>468</v>
      </c>
      <c r="B183" s="17" t="s">
        <v>469</v>
      </c>
      <c r="C183" s="18">
        <v>16.0</v>
      </c>
      <c r="D183" s="17" t="s">
        <v>98</v>
      </c>
      <c r="E183" s="17" t="s">
        <v>210</v>
      </c>
      <c r="F183" s="18">
        <v>427.0</v>
      </c>
      <c r="G183" s="18">
        <v>385.0</v>
      </c>
      <c r="H183" s="18">
        <v>239.0</v>
      </c>
      <c r="I183" s="19">
        <v>0.621</v>
      </c>
      <c r="J183" s="18">
        <v>2424.0</v>
      </c>
      <c r="K183" s="18">
        <v>6.3</v>
      </c>
      <c r="L183" s="18">
        <v>13.0</v>
      </c>
      <c r="M183" s="18">
        <v>11.0</v>
      </c>
      <c r="N183" s="18">
        <v>27.0</v>
      </c>
      <c r="O183" s="18">
        <v>15.0</v>
      </c>
      <c r="P183" s="20">
        <f t="shared" si="1"/>
        <v>2.091146319</v>
      </c>
      <c r="Q183" s="20">
        <f t="shared" si="2"/>
        <v>1.390661399</v>
      </c>
      <c r="R183" s="24"/>
      <c r="S183" s="20">
        <v>2.091146318714073</v>
      </c>
      <c r="T183" s="22">
        <v>-0.91</v>
      </c>
      <c r="W183" s="25">
        <v>0.9</v>
      </c>
      <c r="X183" s="22">
        <f t="shared" si="15"/>
        <v>0.1771719478</v>
      </c>
      <c r="Y183" s="20">
        <f t="shared" si="4"/>
        <v>38.89113193</v>
      </c>
      <c r="Z183" s="20">
        <f t="shared" si="6"/>
        <v>37.50047053</v>
      </c>
      <c r="AA183" s="20"/>
      <c r="AB183" s="20">
        <f>IFERROR(__xludf.DUMMYFUNCTION("iferror(PERCENTRANK.INC(FILTER($X$2:$X$423, $U$2:$U$423&lt;3.75), $X183), 1)"),0.451)</f>
        <v>0.451</v>
      </c>
      <c r="AC183" s="20">
        <f>IFERROR(__xludf.DUMMYFUNCTION("iferror(PERCENTRANK.INC(FILTER($X$2:$X$423, $U$2:$U$423&lt;4.25), $X183), 1)"),0.438)</f>
        <v>0.438</v>
      </c>
      <c r="AD183" s="20">
        <f>IFERROR(__xludf.DUMMYFUNCTION("iferror(PERCENTRANK.INC(FILTER($X$2:$X$423, $U$2:$U$423&gt;=4.1), $X183), 0.01)"),0.043)</f>
        <v>0.043</v>
      </c>
      <c r="AE183" s="20"/>
    </row>
    <row r="184" ht="14.25" customHeight="1">
      <c r="A184" s="17" t="s">
        <v>470</v>
      </c>
      <c r="B184" s="17" t="s">
        <v>471</v>
      </c>
      <c r="C184" s="18">
        <v>16.0</v>
      </c>
      <c r="D184" s="17" t="s">
        <v>98</v>
      </c>
      <c r="E184" s="17" t="s">
        <v>102</v>
      </c>
      <c r="F184" s="18">
        <v>329.0</v>
      </c>
      <c r="G184" s="18">
        <v>292.0</v>
      </c>
      <c r="H184" s="18">
        <v>186.0</v>
      </c>
      <c r="I184" s="19">
        <v>0.637</v>
      </c>
      <c r="J184" s="18">
        <v>2158.0</v>
      </c>
      <c r="K184" s="18">
        <v>7.4</v>
      </c>
      <c r="L184" s="18">
        <v>9.0</v>
      </c>
      <c r="M184" s="18">
        <v>9.0</v>
      </c>
      <c r="N184" s="18">
        <v>10.0</v>
      </c>
      <c r="O184" s="18">
        <v>13.0</v>
      </c>
      <c r="P184" s="20">
        <f t="shared" si="1"/>
        <v>1.980847425</v>
      </c>
      <c r="Q184" s="20">
        <f t="shared" si="2"/>
        <v>1.338357668</v>
      </c>
      <c r="R184" s="24"/>
      <c r="S184" s="20">
        <v>1.98084742486572</v>
      </c>
      <c r="T184" s="22">
        <v>1.31</v>
      </c>
      <c r="U184" s="30"/>
      <c r="V184" s="30"/>
      <c r="W184" s="18">
        <v>0.9</v>
      </c>
      <c r="X184" s="22">
        <f t="shared" si="15"/>
        <v>0.478770758</v>
      </c>
      <c r="Y184" s="20">
        <f t="shared" si="4"/>
        <v>42.62042026</v>
      </c>
      <c r="Z184" s="20">
        <f t="shared" si="6"/>
        <v>41.28206259</v>
      </c>
      <c r="AA184" s="20"/>
      <c r="AB184" s="20">
        <f>IFERROR(__xludf.DUMMYFUNCTION("iferror(PERCENTRANK.INC(FILTER($X$2:$X$423, $U$2:$U$423&lt;3.75), $X184), 1)"),0.639)</f>
        <v>0.639</v>
      </c>
      <c r="AC184" s="20">
        <f>IFERROR(__xludf.DUMMYFUNCTION("iferror(PERCENTRANK.INC(FILTER($X$2:$X$423, $U$2:$U$423&lt;4.25), $X184), 1)"),0.62)</f>
        <v>0.62</v>
      </c>
      <c r="AD184" s="20">
        <f>IFERROR(__xludf.DUMMYFUNCTION("iferror(PERCENTRANK.INC(FILTER($X$2:$X$423, $U$2:$U$423&gt;=4.1), $X184), 0.01)"),0.047)</f>
        <v>0.047</v>
      </c>
      <c r="AE184" s="20"/>
    </row>
    <row r="185" ht="14.25" customHeight="1">
      <c r="A185" s="17" t="s">
        <v>472</v>
      </c>
      <c r="B185" s="17" t="s">
        <v>473</v>
      </c>
      <c r="C185" s="18">
        <v>10.0</v>
      </c>
      <c r="D185" s="17" t="s">
        <v>98</v>
      </c>
      <c r="E185" s="17" t="s">
        <v>117</v>
      </c>
      <c r="F185" s="18">
        <v>315.0</v>
      </c>
      <c r="G185" s="18">
        <v>269.0</v>
      </c>
      <c r="H185" s="18">
        <v>152.0</v>
      </c>
      <c r="I185" s="19">
        <v>0.565</v>
      </c>
      <c r="J185" s="18">
        <v>1785.0</v>
      </c>
      <c r="K185" s="18">
        <v>6.6</v>
      </c>
      <c r="L185" s="18">
        <v>12.0</v>
      </c>
      <c r="M185" s="18">
        <v>8.0</v>
      </c>
      <c r="N185" s="18">
        <v>22.0</v>
      </c>
      <c r="O185" s="18">
        <v>14.0</v>
      </c>
      <c r="P185" s="20">
        <f t="shared" si="1"/>
        <v>2.084478042</v>
      </c>
      <c r="Q185" s="20">
        <f t="shared" si="2"/>
        <v>1.387499303</v>
      </c>
      <c r="R185" s="24"/>
      <c r="S185" s="20">
        <v>2.0844780424263885</v>
      </c>
      <c r="T185" s="22">
        <v>-1.81</v>
      </c>
      <c r="W185" s="25">
        <v>0.95</v>
      </c>
      <c r="X185" s="22">
        <f t="shared" si="15"/>
        <v>0.009904535728</v>
      </c>
      <c r="Y185" s="20">
        <f t="shared" si="4"/>
        <v>36.82285981</v>
      </c>
      <c r="Z185" s="20">
        <f t="shared" si="6"/>
        <v>35.43536051</v>
      </c>
      <c r="AA185" s="20"/>
      <c r="AB185" s="20">
        <f>IFERROR(__xludf.DUMMYFUNCTION("iferror(PERCENTRANK.INC(FILTER($X$2:$X$423, $U$2:$U$423&lt;3.75), $X185), 1)"),0.281)</f>
        <v>0.281</v>
      </c>
      <c r="AC185" s="20">
        <f>IFERROR(__xludf.DUMMYFUNCTION("iferror(PERCENTRANK.INC(FILTER($X$2:$X$423, $U$2:$U$423&lt;4.25), $X185), 1)"),0.273)</f>
        <v>0.273</v>
      </c>
      <c r="AD185" s="20">
        <f>IFERROR(__xludf.DUMMYFUNCTION("iferror(PERCENTRANK.INC(FILTER($X$2:$X$423, $U$2:$U$423&gt;=4.1), $X185), 0.01)"),0.04)</f>
        <v>0.04</v>
      </c>
      <c r="AE185" s="20"/>
    </row>
    <row r="186" ht="14.25" customHeight="1">
      <c r="A186" s="17" t="s">
        <v>474</v>
      </c>
      <c r="B186" s="17" t="s">
        <v>475</v>
      </c>
      <c r="C186" s="18">
        <v>1.0</v>
      </c>
      <c r="D186" s="17" t="s">
        <v>98</v>
      </c>
      <c r="E186" s="17" t="s">
        <v>138</v>
      </c>
      <c r="F186" s="18">
        <v>218.0</v>
      </c>
      <c r="G186" s="18">
        <v>200.0</v>
      </c>
      <c r="H186" s="18">
        <v>117.0</v>
      </c>
      <c r="I186" s="19">
        <v>0.585</v>
      </c>
      <c r="J186" s="18">
        <v>1304.0</v>
      </c>
      <c r="K186" s="18">
        <v>6.5</v>
      </c>
      <c r="L186" s="18">
        <v>10.0</v>
      </c>
      <c r="M186" s="18">
        <v>5.0</v>
      </c>
      <c r="N186" s="18">
        <v>8.0</v>
      </c>
      <c r="O186" s="18">
        <v>10.0</v>
      </c>
      <c r="P186" s="20">
        <f t="shared" si="1"/>
        <v>2.080597752</v>
      </c>
      <c r="Q186" s="20">
        <f t="shared" si="2"/>
        <v>1.38565927</v>
      </c>
      <c r="R186" s="24"/>
      <c r="S186" s="20">
        <v>2.0805977522935777</v>
      </c>
      <c r="T186" s="22">
        <v>-1.23</v>
      </c>
      <c r="W186" s="25">
        <v>0.9</v>
      </c>
      <c r="X186" s="22">
        <f t="shared" si="15"/>
        <v>0.09638069656</v>
      </c>
      <c r="Y186" s="20">
        <f t="shared" si="4"/>
        <v>37.892143</v>
      </c>
      <c r="Z186" s="20">
        <f t="shared" si="6"/>
        <v>36.50648373</v>
      </c>
      <c r="AA186" s="20"/>
      <c r="AB186" s="20">
        <f>IFERROR(__xludf.DUMMYFUNCTION("iferror(PERCENTRANK.INC(FILTER($X$2:$X$423, $U$2:$U$423&lt;3.75), $X186), 1)"),0.366)</f>
        <v>0.366</v>
      </c>
      <c r="AC186" s="20">
        <f>IFERROR(__xludf.DUMMYFUNCTION("iferror(PERCENTRANK.INC(FILTER($X$2:$X$423, $U$2:$U$423&lt;4.25), $X186), 1)"),0.355)</f>
        <v>0.355</v>
      </c>
      <c r="AD186" s="20">
        <f>IFERROR(__xludf.DUMMYFUNCTION("iferror(PERCENTRANK.INC(FILTER($X$2:$X$423, $U$2:$U$423&gt;=4.1), $X186), 0.01)"),0.041)</f>
        <v>0.041</v>
      </c>
      <c r="AE186" s="20"/>
    </row>
    <row r="187" ht="14.25" customHeight="1">
      <c r="A187" s="17" t="s">
        <v>476</v>
      </c>
      <c r="B187" s="17" t="s">
        <v>477</v>
      </c>
      <c r="C187" s="18">
        <v>3.0</v>
      </c>
      <c r="D187" s="17" t="s">
        <v>98</v>
      </c>
      <c r="E187" s="17" t="s">
        <v>179</v>
      </c>
      <c r="F187" s="18">
        <v>383.0</v>
      </c>
      <c r="G187" s="18">
        <v>334.0</v>
      </c>
      <c r="H187" s="18">
        <v>167.0</v>
      </c>
      <c r="I187" s="19">
        <v>0.5</v>
      </c>
      <c r="J187" s="18">
        <v>2048.0</v>
      </c>
      <c r="K187" s="18">
        <v>6.1</v>
      </c>
      <c r="L187" s="18">
        <v>14.0</v>
      </c>
      <c r="M187" s="18">
        <v>10.0</v>
      </c>
      <c r="N187" s="18">
        <v>33.0</v>
      </c>
      <c r="O187" s="18">
        <v>14.0</v>
      </c>
      <c r="P187" s="20">
        <f t="shared" si="1"/>
        <v>2.056205186</v>
      </c>
      <c r="Q187" s="20">
        <f t="shared" si="2"/>
        <v>1.374092316</v>
      </c>
      <c r="R187" s="24"/>
      <c r="S187" s="20">
        <v>2.0562051859727024</v>
      </c>
      <c r="T187" s="22">
        <v>-0.52</v>
      </c>
      <c r="U187" s="30"/>
      <c r="V187" s="30"/>
      <c r="W187" s="18">
        <v>0.9</v>
      </c>
      <c r="X187" s="22">
        <f t="shared" si="15"/>
        <v>0.215009239</v>
      </c>
      <c r="Y187" s="20">
        <f t="shared" si="4"/>
        <v>39.35899242</v>
      </c>
      <c r="Z187" s="20">
        <f t="shared" si="6"/>
        <v>37.9849001</v>
      </c>
      <c r="AA187" s="20"/>
      <c r="AB187" s="20">
        <f>IFERROR(__xludf.DUMMYFUNCTION("iferror(PERCENTRANK.INC(FILTER($X$2:$X$423, $U$2:$U$423&lt;3.75), $X187), 1)"),0.49)</f>
        <v>0.49</v>
      </c>
      <c r="AC187" s="20">
        <f>IFERROR(__xludf.DUMMYFUNCTION("iferror(PERCENTRANK.INC(FILTER($X$2:$X$423, $U$2:$U$423&lt;4.25), $X187), 1)"),0.475)</f>
        <v>0.475</v>
      </c>
      <c r="AD187" s="20">
        <f>IFERROR(__xludf.DUMMYFUNCTION("iferror(PERCENTRANK.INC(FILTER($X$2:$X$423, $U$2:$U$423&gt;=4.1), $X187), 0.01)"),0.043)</f>
        <v>0.043</v>
      </c>
      <c r="AE187" s="20"/>
    </row>
    <row r="188" ht="14.25" customHeight="1">
      <c r="A188" s="17" t="s">
        <v>478</v>
      </c>
      <c r="B188" s="17" t="s">
        <v>479</v>
      </c>
      <c r="C188" s="18">
        <v>9.0</v>
      </c>
      <c r="D188" s="17" t="s">
        <v>98</v>
      </c>
      <c r="E188" s="17" t="s">
        <v>182</v>
      </c>
      <c r="F188" s="18">
        <v>334.0</v>
      </c>
      <c r="G188" s="18">
        <v>283.0</v>
      </c>
      <c r="H188" s="18">
        <v>185.0</v>
      </c>
      <c r="I188" s="19">
        <v>0.654</v>
      </c>
      <c r="J188" s="18">
        <v>1962.0</v>
      </c>
      <c r="K188" s="18">
        <v>6.9</v>
      </c>
      <c r="L188" s="18">
        <v>11.0</v>
      </c>
      <c r="M188" s="18">
        <v>9.0</v>
      </c>
      <c r="N188" s="18">
        <v>25.0</v>
      </c>
      <c r="O188" s="18">
        <v>12.0</v>
      </c>
      <c r="P188" s="20">
        <f t="shared" si="1"/>
        <v>1.951405439</v>
      </c>
      <c r="Q188" s="20">
        <f t="shared" si="2"/>
        <v>1.32439628</v>
      </c>
      <c r="R188" s="24"/>
      <c r="S188" s="20">
        <v>1.9514054391147035</v>
      </c>
      <c r="T188" s="22">
        <v>0.97</v>
      </c>
      <c r="U188" s="30"/>
      <c r="V188" s="30"/>
      <c r="W188" s="18">
        <v>1.0</v>
      </c>
      <c r="X188" s="22">
        <f t="shared" si="15"/>
        <v>0.4089397343</v>
      </c>
      <c r="Y188" s="20">
        <f t="shared" si="4"/>
        <v>41.75695524</v>
      </c>
      <c r="Z188" s="20">
        <f t="shared" si="6"/>
        <v>40.43255896</v>
      </c>
      <c r="AA188" s="20"/>
      <c r="AB188" s="20">
        <f>IFERROR(__xludf.DUMMYFUNCTION("iferror(PERCENTRANK.INC(FILTER($X$2:$X$423, $U$2:$U$423&lt;3.75), $X188), 1)"),0.601)</f>
        <v>0.601</v>
      </c>
      <c r="AC188" s="20">
        <f>IFERROR(__xludf.DUMMYFUNCTION("iferror(PERCENTRANK.INC(FILTER($X$2:$X$423, $U$2:$U$423&lt;4.25), $X188), 1)"),0.583)</f>
        <v>0.583</v>
      </c>
      <c r="AD188" s="20">
        <f>IFERROR(__xludf.DUMMYFUNCTION("iferror(PERCENTRANK.INC(FILTER($X$2:$X$423, $U$2:$U$423&gt;=4.1), $X188), 0.01)"),0.046)</f>
        <v>0.046</v>
      </c>
      <c r="AE188" s="20"/>
    </row>
    <row r="189" ht="14.25" customHeight="1">
      <c r="A189" s="17" t="s">
        <v>480</v>
      </c>
      <c r="B189" s="17" t="s">
        <v>481</v>
      </c>
      <c r="C189" s="18">
        <v>4.0</v>
      </c>
      <c r="D189" s="17" t="s">
        <v>98</v>
      </c>
      <c r="E189" s="17" t="s">
        <v>158</v>
      </c>
      <c r="F189" s="18">
        <v>214.0</v>
      </c>
      <c r="G189" s="18">
        <v>179.0</v>
      </c>
      <c r="H189" s="18">
        <v>120.0</v>
      </c>
      <c r="I189" s="19">
        <v>0.67</v>
      </c>
      <c r="J189" s="18">
        <v>1039.0</v>
      </c>
      <c r="K189" s="18">
        <v>5.8</v>
      </c>
      <c r="L189" s="18">
        <v>9.0</v>
      </c>
      <c r="M189" s="18">
        <v>3.0</v>
      </c>
      <c r="N189" s="18">
        <v>13.0</v>
      </c>
      <c r="O189" s="18">
        <v>3.0</v>
      </c>
      <c r="P189" s="20">
        <f t="shared" si="1"/>
        <v>2.053734515</v>
      </c>
      <c r="Q189" s="20">
        <f t="shared" si="2"/>
        <v>1.372920724</v>
      </c>
      <c r="R189" s="24"/>
      <c r="S189" s="20">
        <v>2.0537345152195474</v>
      </c>
      <c r="T189" s="22">
        <v>-0.11</v>
      </c>
      <c r="U189" s="30"/>
      <c r="V189" s="30"/>
      <c r="W189" s="18">
        <v>0.95</v>
      </c>
      <c r="X189" s="22">
        <f t="shared" si="15"/>
        <v>0.2607541596</v>
      </c>
      <c r="Y189" s="20">
        <f t="shared" si="4"/>
        <v>39.92463125</v>
      </c>
      <c r="Z189" s="20">
        <f t="shared" si="6"/>
        <v>38.55171053</v>
      </c>
      <c r="AA189" s="20"/>
      <c r="AB189" s="20">
        <f>IFERROR(__xludf.DUMMYFUNCTION("iferror(PERCENTRANK.INC(FILTER($X$2:$X$423, $U$2:$U$423&lt;3.75), $X189), 1)"),0.518)</f>
        <v>0.518</v>
      </c>
      <c r="AC189" s="20">
        <f>IFERROR(__xludf.DUMMYFUNCTION("iferror(PERCENTRANK.INC(FILTER($X$2:$X$423, $U$2:$U$423&lt;4.25), $X189), 1)"),0.503)</f>
        <v>0.503</v>
      </c>
      <c r="AD189" s="20">
        <f>IFERROR(__xludf.DUMMYFUNCTION("iferror(PERCENTRANK.INC(FILTER($X$2:$X$423, $U$2:$U$423&gt;=4.1), $X189), 0.01)"),0.044)</f>
        <v>0.044</v>
      </c>
      <c r="AE189" s="20"/>
    </row>
    <row r="190" ht="14.25" customHeight="1">
      <c r="A190" s="17" t="s">
        <v>482</v>
      </c>
      <c r="B190" s="17" t="s">
        <v>343</v>
      </c>
      <c r="C190" s="18">
        <v>12.0</v>
      </c>
      <c r="D190" s="17" t="s">
        <v>98</v>
      </c>
      <c r="E190" s="17" t="s">
        <v>105</v>
      </c>
      <c r="F190" s="18">
        <v>278.0</v>
      </c>
      <c r="G190" s="18">
        <v>225.0</v>
      </c>
      <c r="H190" s="18">
        <v>129.0</v>
      </c>
      <c r="I190" s="19">
        <v>0.573</v>
      </c>
      <c r="J190" s="18">
        <v>1653.0</v>
      </c>
      <c r="K190" s="18">
        <v>7.3</v>
      </c>
      <c r="L190" s="18">
        <v>7.0</v>
      </c>
      <c r="M190" s="18">
        <v>5.0</v>
      </c>
      <c r="N190" s="18">
        <v>26.0</v>
      </c>
      <c r="O190" s="18">
        <v>13.0</v>
      </c>
      <c r="P190" s="20">
        <f t="shared" si="1"/>
        <v>2.048663598</v>
      </c>
      <c r="Q190" s="20">
        <f t="shared" si="2"/>
        <v>1.370516095</v>
      </c>
      <c r="R190" s="24"/>
      <c r="S190" s="20">
        <v>2.0486635979216623</v>
      </c>
      <c r="T190" s="22">
        <v>-0.44</v>
      </c>
      <c r="U190" s="30"/>
      <c r="V190" s="30"/>
      <c r="W190" s="18">
        <v>0.9</v>
      </c>
      <c r="X190" s="22">
        <f t="shared" si="15"/>
        <v>0.2105695857</v>
      </c>
      <c r="Y190" s="20">
        <f t="shared" si="4"/>
        <v>39.30409583</v>
      </c>
      <c r="Z190" s="20">
        <f t="shared" si="6"/>
        <v>37.93357973</v>
      </c>
      <c r="AA190" s="20"/>
      <c r="AB190" s="20">
        <f>IFERROR(__xludf.DUMMYFUNCTION("iferror(PERCENTRANK.INC(FILTER($X$2:$X$423, $U$2:$U$423&lt;3.75), $X190), 1)"),0.479)</f>
        <v>0.479</v>
      </c>
      <c r="AC190" s="20">
        <f>IFERROR(__xludf.DUMMYFUNCTION("iferror(PERCENTRANK.INC(FILTER($X$2:$X$423, $U$2:$U$423&lt;4.25), $X190), 1)"),0.465)</f>
        <v>0.465</v>
      </c>
      <c r="AD190" s="20">
        <f>IFERROR(__xludf.DUMMYFUNCTION("iferror(PERCENTRANK.INC(FILTER($X$2:$X$423, $U$2:$U$423&gt;=4.1), $X190), 0.01)"),0.043)</f>
        <v>0.043</v>
      </c>
      <c r="AE190" s="20"/>
    </row>
    <row r="191" ht="14.25" customHeight="1">
      <c r="A191" s="17" t="s">
        <v>483</v>
      </c>
      <c r="B191" s="17" t="s">
        <v>484</v>
      </c>
      <c r="C191" s="18">
        <v>14.0</v>
      </c>
      <c r="D191" s="17" t="s">
        <v>98</v>
      </c>
      <c r="E191" s="17" t="s">
        <v>114</v>
      </c>
      <c r="F191" s="18">
        <v>259.0</v>
      </c>
      <c r="G191" s="18">
        <v>206.0</v>
      </c>
      <c r="H191" s="18">
        <v>112.0</v>
      </c>
      <c r="I191" s="19">
        <v>0.544</v>
      </c>
      <c r="J191" s="18">
        <v>1438.0</v>
      </c>
      <c r="K191" s="18">
        <v>7.0</v>
      </c>
      <c r="L191" s="18">
        <v>10.0</v>
      </c>
      <c r="M191" s="18">
        <v>6.0</v>
      </c>
      <c r="N191" s="18">
        <v>14.0</v>
      </c>
      <c r="O191" s="18">
        <v>10.0</v>
      </c>
      <c r="P191" s="20">
        <f t="shared" si="1"/>
        <v>2.041318994</v>
      </c>
      <c r="Q191" s="20">
        <f t="shared" si="2"/>
        <v>1.367033284</v>
      </c>
      <c r="R191" s="24"/>
      <c r="S191" s="20">
        <v>2.041318994489635</v>
      </c>
      <c r="T191" s="28">
        <v>10.0</v>
      </c>
      <c r="W191" s="25">
        <v>0.9</v>
      </c>
      <c r="X191" s="22">
        <f t="shared" si="15"/>
        <v>1.775578064</v>
      </c>
      <c r="Y191" s="20">
        <f t="shared" si="4"/>
        <v>58.65552448</v>
      </c>
      <c r="Z191" s="20">
        <f t="shared" si="6"/>
        <v>57.28849119</v>
      </c>
      <c r="AA191" s="20"/>
      <c r="AB191" s="20">
        <f>IFERROR(__xludf.DUMMYFUNCTION("iferror(PERCENTRANK.INC(FILTER($X$2:$X$423, $U$2:$U$423&lt;3.75), $X191), 1)"),0.979)</f>
        <v>0.979</v>
      </c>
      <c r="AC191" s="20">
        <f>IFERROR(__xludf.DUMMYFUNCTION("iferror(PERCENTRANK.INC(FILTER($X$2:$X$423, $U$2:$U$423&lt;4.25), $X191), 1)"),0.95)</f>
        <v>0.95</v>
      </c>
      <c r="AD191" s="20">
        <f>IFERROR(__xludf.DUMMYFUNCTION("iferror(PERCENTRANK.INC(FILTER($X$2:$X$423, $U$2:$U$423&gt;=4.1), $X191), 0.01)"),0.068)</f>
        <v>0.068</v>
      </c>
      <c r="AE191" s="20"/>
    </row>
    <row r="192" ht="14.25" customHeight="1">
      <c r="A192" s="17" t="s">
        <v>485</v>
      </c>
      <c r="B192" s="17" t="s">
        <v>433</v>
      </c>
      <c r="C192" s="18">
        <v>11.0</v>
      </c>
      <c r="D192" s="17" t="s">
        <v>98</v>
      </c>
      <c r="E192" s="17" t="s">
        <v>132</v>
      </c>
      <c r="F192" s="18">
        <v>39.0</v>
      </c>
      <c r="G192" s="18">
        <v>29.0</v>
      </c>
      <c r="H192" s="18">
        <v>16.0</v>
      </c>
      <c r="I192" s="19">
        <v>0.552</v>
      </c>
      <c r="J192" s="18">
        <v>374.0</v>
      </c>
      <c r="K192" s="18">
        <v>12.9</v>
      </c>
      <c r="L192" s="18">
        <v>4.0</v>
      </c>
      <c r="M192" s="18">
        <v>2.0</v>
      </c>
      <c r="N192" s="18">
        <v>4.0</v>
      </c>
      <c r="O192" s="18">
        <v>2.0</v>
      </c>
      <c r="P192" s="20">
        <f t="shared" si="1"/>
        <v>2.031327484</v>
      </c>
      <c r="Q192" s="20">
        <f t="shared" si="2"/>
        <v>1.36229531</v>
      </c>
      <c r="R192" s="24"/>
      <c r="S192" s="20">
        <v>2.0313274836427944</v>
      </c>
      <c r="T192" s="22">
        <v>0.52</v>
      </c>
      <c r="W192" s="25">
        <v>0.95</v>
      </c>
      <c r="X192" s="22">
        <f t="shared" si="15"/>
        <v>0.3826991225</v>
      </c>
      <c r="Y192" s="20">
        <f t="shared" si="4"/>
        <v>41.43248842</v>
      </c>
      <c r="Z192" s="20">
        <f t="shared" si="6"/>
        <v>40.07019311</v>
      </c>
      <c r="AA192" s="20"/>
      <c r="AB192" s="20">
        <f>IFERROR(__xludf.DUMMYFUNCTION("iferror(PERCENTRANK.INC(FILTER($X$2:$X$423, $U$2:$U$423&lt;3.75), $X192), 1)"),0.588)</f>
        <v>0.588</v>
      </c>
      <c r="AC192" s="20">
        <f>IFERROR(__xludf.DUMMYFUNCTION("iferror(PERCENTRANK.INC(FILTER($X$2:$X$423, $U$2:$U$423&lt;4.25), $X192), 1)"),0.57)</f>
        <v>0.57</v>
      </c>
      <c r="AD192" s="20">
        <f>IFERROR(__xludf.DUMMYFUNCTION("iferror(PERCENTRANK.INC(FILTER($X$2:$X$423, $U$2:$U$423&gt;=4.1), $X192), 0.01)"),0.046)</f>
        <v>0.046</v>
      </c>
      <c r="AE192" s="20"/>
    </row>
    <row r="193" ht="14.25" customHeight="1">
      <c r="A193" s="17" t="s">
        <v>486</v>
      </c>
      <c r="B193" s="17" t="s">
        <v>487</v>
      </c>
      <c r="C193" s="18">
        <v>8.0</v>
      </c>
      <c r="D193" s="17" t="s">
        <v>98</v>
      </c>
      <c r="E193" s="17" t="s">
        <v>102</v>
      </c>
      <c r="F193" s="18">
        <v>345.0</v>
      </c>
      <c r="G193" s="18">
        <v>309.0</v>
      </c>
      <c r="H193" s="18">
        <v>191.0</v>
      </c>
      <c r="I193" s="19">
        <v>0.618</v>
      </c>
      <c r="J193" s="18">
        <v>1880.0</v>
      </c>
      <c r="K193" s="18">
        <v>6.1</v>
      </c>
      <c r="L193" s="18">
        <v>6.0</v>
      </c>
      <c r="M193" s="18">
        <v>5.0</v>
      </c>
      <c r="N193" s="18">
        <v>12.0</v>
      </c>
      <c r="O193" s="18">
        <v>11.0</v>
      </c>
      <c r="P193" s="20">
        <f t="shared" si="1"/>
        <v>2.019064427</v>
      </c>
      <c r="Q193" s="20">
        <f t="shared" si="2"/>
        <v>1.356480169</v>
      </c>
      <c r="R193" s="24"/>
      <c r="S193" s="20">
        <v>2.019064426903053</v>
      </c>
      <c r="T193" s="22">
        <v>-0.24</v>
      </c>
      <c r="U193" s="30"/>
      <c r="V193" s="30"/>
      <c r="W193" s="18">
        <v>0.9</v>
      </c>
      <c r="X193" s="22">
        <f t="shared" si="15"/>
        <v>0.2365736976</v>
      </c>
      <c r="Y193" s="20">
        <f t="shared" si="4"/>
        <v>39.62563831</v>
      </c>
      <c r="Z193" s="20">
        <f t="shared" si="6"/>
        <v>38.26915814</v>
      </c>
      <c r="AA193" s="20"/>
      <c r="AB193" s="20">
        <f>IFERROR(__xludf.DUMMYFUNCTION("iferror(PERCENTRANK.INC(FILTER($X$2:$X$423, $U$2:$U$423&lt;3.75), $X193), 1)"),0.497)</f>
        <v>0.497</v>
      </c>
      <c r="AC193" s="20">
        <f>IFERROR(__xludf.DUMMYFUNCTION("iferror(PERCENTRANK.INC(FILTER($X$2:$X$423, $U$2:$U$423&lt;4.25), $X193), 1)"),0.483)</f>
        <v>0.483</v>
      </c>
      <c r="AD193" s="20">
        <f>IFERROR(__xludf.DUMMYFUNCTION("iferror(PERCENTRANK.INC(FILTER($X$2:$X$423, $U$2:$U$423&gt;=4.1), $X193), 0.01)"),0.044)</f>
        <v>0.044</v>
      </c>
      <c r="AE193" s="20"/>
    </row>
    <row r="194" ht="14.25" customHeight="1">
      <c r="A194" s="17" t="s">
        <v>488</v>
      </c>
      <c r="B194" s="17" t="s">
        <v>489</v>
      </c>
      <c r="C194" s="18">
        <v>12.0</v>
      </c>
      <c r="D194" s="17" t="s">
        <v>98</v>
      </c>
      <c r="E194" s="17" t="s">
        <v>138</v>
      </c>
      <c r="F194" s="18">
        <v>279.0</v>
      </c>
      <c r="G194" s="18">
        <v>223.0</v>
      </c>
      <c r="H194" s="18">
        <v>120.0</v>
      </c>
      <c r="I194" s="19">
        <v>0.538</v>
      </c>
      <c r="J194" s="18">
        <v>1358.0</v>
      </c>
      <c r="K194" s="18">
        <v>6.1</v>
      </c>
      <c r="L194" s="18">
        <v>6.0</v>
      </c>
      <c r="M194" s="18">
        <v>3.0</v>
      </c>
      <c r="N194" s="18">
        <v>19.0</v>
      </c>
      <c r="O194" s="18">
        <v>9.0</v>
      </c>
      <c r="P194" s="20">
        <f t="shared" si="1"/>
        <v>1.963778646</v>
      </c>
      <c r="Q194" s="20">
        <f t="shared" si="2"/>
        <v>1.330263654</v>
      </c>
      <c r="R194" s="24"/>
      <c r="S194" s="20">
        <v>1.9637786460613653</v>
      </c>
      <c r="T194" s="22">
        <v>-0.18</v>
      </c>
      <c r="W194" s="25">
        <v>0.9</v>
      </c>
      <c r="X194" s="22">
        <f t="shared" si="15"/>
        <v>0.2381101172</v>
      </c>
      <c r="Y194" s="20">
        <f t="shared" si="4"/>
        <v>39.64463624</v>
      </c>
      <c r="Z194" s="20">
        <f t="shared" si="6"/>
        <v>38.31437258</v>
      </c>
      <c r="AA194" s="20"/>
      <c r="AB194" s="20">
        <f>IFERROR(__xludf.DUMMYFUNCTION("iferror(PERCENTRANK.INC(FILTER($X$2:$X$423, $U$2:$U$423&lt;3.75), $X194), 1)"),0.5)</f>
        <v>0.5</v>
      </c>
      <c r="AC194" s="20">
        <f>IFERROR(__xludf.DUMMYFUNCTION("iferror(PERCENTRANK.INC(FILTER($X$2:$X$423, $U$2:$U$423&lt;4.25), $X194), 1)"),0.485)</f>
        <v>0.485</v>
      </c>
      <c r="AD194" s="20">
        <f>IFERROR(__xludf.DUMMYFUNCTION("iferror(PERCENTRANK.INC(FILTER($X$2:$X$423, $U$2:$U$423&gt;=4.1), $X194), 0.01)"),0.044)</f>
        <v>0.044</v>
      </c>
      <c r="AE194" s="20"/>
    </row>
    <row r="195" ht="14.25" customHeight="1">
      <c r="A195" s="17" t="s">
        <v>490</v>
      </c>
      <c r="B195" s="17" t="s">
        <v>491</v>
      </c>
      <c r="C195" s="18">
        <v>10.0</v>
      </c>
      <c r="D195" s="17" t="s">
        <v>98</v>
      </c>
      <c r="E195" s="17" t="s">
        <v>105</v>
      </c>
      <c r="F195" s="18">
        <v>319.0</v>
      </c>
      <c r="G195" s="18">
        <v>264.0</v>
      </c>
      <c r="H195" s="18">
        <v>159.0</v>
      </c>
      <c r="I195" s="19">
        <v>0.602</v>
      </c>
      <c r="J195" s="18">
        <v>1602.0</v>
      </c>
      <c r="K195" s="18">
        <v>6.1</v>
      </c>
      <c r="L195" s="18">
        <v>9.0</v>
      </c>
      <c r="M195" s="18">
        <v>6.0</v>
      </c>
      <c r="N195" s="18">
        <v>27.0</v>
      </c>
      <c r="O195" s="18">
        <v>9.0</v>
      </c>
      <c r="P195" s="20">
        <f t="shared" si="1"/>
        <v>1.907901774</v>
      </c>
      <c r="Q195" s="20">
        <f t="shared" si="2"/>
        <v>1.303766843</v>
      </c>
      <c r="R195" s="29"/>
      <c r="S195" s="20">
        <v>1.907901774294671</v>
      </c>
      <c r="T195" s="22">
        <v>-0.14</v>
      </c>
      <c r="U195" s="31"/>
      <c r="V195" s="30"/>
      <c r="W195" s="18">
        <v>0.9</v>
      </c>
      <c r="X195" s="22">
        <f t="shared" si="15"/>
        <v>0.2365667395</v>
      </c>
      <c r="Y195" s="20">
        <f t="shared" si="4"/>
        <v>39.62555228</v>
      </c>
      <c r="Z195" s="20">
        <f t="shared" si="6"/>
        <v>38.32178543</v>
      </c>
      <c r="AA195" s="20"/>
      <c r="AB195" s="20">
        <f>IFERROR(__xludf.DUMMYFUNCTION("iferror(PERCENTRANK.INC(FILTER($X$2:$X$423, $U$2:$U$423&lt;3.75), $X195), 1)"),0.495)</f>
        <v>0.495</v>
      </c>
      <c r="AC195" s="20">
        <f>IFERROR(__xludf.DUMMYFUNCTION("iferror(PERCENTRANK.INC(FILTER($X$2:$X$423, $U$2:$U$423&lt;4.25), $X195), 1)"),0.48)</f>
        <v>0.48</v>
      </c>
      <c r="AD195" s="20">
        <f>IFERROR(__xludf.DUMMYFUNCTION("iferror(PERCENTRANK.INC(FILTER($X$2:$X$423, $U$2:$U$423&gt;=4.1), $X195), 0.01)"),0.044)</f>
        <v>0.044</v>
      </c>
      <c r="AE195" s="20"/>
    </row>
    <row r="196" ht="14.25" customHeight="1">
      <c r="A196" s="17" t="s">
        <v>492</v>
      </c>
      <c r="B196" s="17" t="s">
        <v>493</v>
      </c>
      <c r="C196" s="18">
        <v>11.0</v>
      </c>
      <c r="D196" s="17" t="s">
        <v>98</v>
      </c>
      <c r="E196" s="17" t="s">
        <v>121</v>
      </c>
      <c r="F196" s="18">
        <v>281.0</v>
      </c>
      <c r="G196" s="18">
        <v>241.0</v>
      </c>
      <c r="H196" s="18">
        <v>126.0</v>
      </c>
      <c r="I196" s="19">
        <v>0.523</v>
      </c>
      <c r="J196" s="18">
        <v>1689.0</v>
      </c>
      <c r="K196" s="18">
        <v>7.0</v>
      </c>
      <c r="L196" s="18">
        <v>13.0</v>
      </c>
      <c r="M196" s="18">
        <v>9.0</v>
      </c>
      <c r="N196" s="18">
        <v>15.0</v>
      </c>
      <c r="O196" s="18">
        <v>13.0</v>
      </c>
      <c r="P196" s="20">
        <f t="shared" si="1"/>
        <v>1.99832669</v>
      </c>
      <c r="Q196" s="20">
        <f t="shared" si="2"/>
        <v>1.346646335</v>
      </c>
      <c r="R196" s="29"/>
      <c r="S196" s="20">
        <v>1.9983266901108963</v>
      </c>
      <c r="T196" s="22">
        <v>1.31</v>
      </c>
      <c r="U196" s="31"/>
      <c r="V196" s="30"/>
      <c r="W196" s="18">
        <v>0.9</v>
      </c>
      <c r="X196" s="22">
        <f t="shared" si="15"/>
        <v>0.4662741032</v>
      </c>
      <c r="Y196" s="20">
        <f t="shared" si="4"/>
        <v>42.46589833</v>
      </c>
      <c r="Z196" s="20">
        <f t="shared" si="6"/>
        <v>41.119252</v>
      </c>
      <c r="AA196" s="20"/>
      <c r="AB196" s="20">
        <f>IFERROR(__xludf.DUMMYFUNCTION("iferror(PERCENTRANK.INC(FILTER($X$2:$X$423, $U$2:$U$423&lt;3.75), $X196), 1)"),0.629)</f>
        <v>0.629</v>
      </c>
      <c r="AC196" s="20">
        <f>IFERROR(__xludf.DUMMYFUNCTION("iferror(PERCENTRANK.INC(FILTER($X$2:$X$423, $U$2:$U$423&lt;4.25), $X196), 1)"),0.61)</f>
        <v>0.61</v>
      </c>
      <c r="AD196" s="20">
        <f>IFERROR(__xludf.DUMMYFUNCTION("iferror(PERCENTRANK.INC(FILTER($X$2:$X$423, $U$2:$U$423&gt;=4.1), $X196), 0.01)"),0.047)</f>
        <v>0.047</v>
      </c>
      <c r="AE196" s="20"/>
    </row>
    <row r="197" ht="14.25" customHeight="1">
      <c r="A197" s="17" t="s">
        <v>494</v>
      </c>
      <c r="B197" s="17" t="s">
        <v>495</v>
      </c>
      <c r="C197" s="18">
        <v>2.0</v>
      </c>
      <c r="D197" s="17" t="s">
        <v>98</v>
      </c>
      <c r="E197" s="17" t="s">
        <v>182</v>
      </c>
      <c r="F197" s="18">
        <v>400.0</v>
      </c>
      <c r="G197" s="18">
        <v>355.0</v>
      </c>
      <c r="H197" s="18">
        <v>221.0</v>
      </c>
      <c r="I197" s="19">
        <v>0.623</v>
      </c>
      <c r="J197" s="18">
        <v>2455.0</v>
      </c>
      <c r="K197" s="18">
        <v>6.9</v>
      </c>
      <c r="L197" s="18">
        <v>16.0</v>
      </c>
      <c r="M197" s="18">
        <v>14.0</v>
      </c>
      <c r="N197" s="18">
        <v>24.0</v>
      </c>
      <c r="O197" s="18">
        <v>19.0</v>
      </c>
      <c r="P197" s="20">
        <f t="shared" si="1"/>
        <v>1.951544099</v>
      </c>
      <c r="Q197" s="20">
        <f t="shared" si="2"/>
        <v>1.324462032</v>
      </c>
      <c r="R197" s="24"/>
      <c r="S197" s="20">
        <v>1.9515440985915495</v>
      </c>
      <c r="T197" s="22">
        <v>-1.19</v>
      </c>
      <c r="U197" s="16">
        <v>5.27</v>
      </c>
      <c r="V197" s="16">
        <v>5.77</v>
      </c>
      <c r="W197" s="25">
        <v>1.0</v>
      </c>
      <c r="X197" s="22">
        <f t="shared" si="15"/>
        <v>3.788595034</v>
      </c>
      <c r="Y197" s="20">
        <f t="shared" si="4"/>
        <v>83.54660641</v>
      </c>
      <c r="Z197" s="20">
        <f t="shared" si="6"/>
        <v>82.22214438</v>
      </c>
      <c r="AA197" s="20"/>
      <c r="AB197" s="20">
        <f>IFERROR(__xludf.DUMMYFUNCTION("iferror(PERCENTRANK.INC(FILTER($X$2:$X$423, $U$2:$U$423&lt;3.75), $X197), 1)"),0.996)</f>
        <v>0.996</v>
      </c>
      <c r="AC197" s="20">
        <f>IFERROR(__xludf.DUMMYFUNCTION("iferror(PERCENTRANK.INC(FILTER($X$2:$X$423, $U$2:$U$423&lt;4.25), $X197), 1)"),0.995)</f>
        <v>0.995</v>
      </c>
      <c r="AD197" s="20">
        <f>IFERROR(__xludf.DUMMYFUNCTION("iferror(PERCENTRANK.INC(FILTER($X$2:$X$423, $U$2:$U$423&gt;=4.1), $X197), 0.01)"),0.6)</f>
        <v>0.6</v>
      </c>
      <c r="AE197" s="20"/>
    </row>
    <row r="198" ht="14.25" customHeight="1">
      <c r="A198" s="17" t="s">
        <v>496</v>
      </c>
      <c r="B198" s="17" t="s">
        <v>497</v>
      </c>
      <c r="C198" s="18">
        <v>15.0</v>
      </c>
      <c r="D198" s="17" t="s">
        <v>98</v>
      </c>
      <c r="E198" s="17" t="s">
        <v>105</v>
      </c>
      <c r="F198" s="18">
        <v>179.0</v>
      </c>
      <c r="G198" s="18">
        <v>153.0</v>
      </c>
      <c r="H198" s="18">
        <v>88.0</v>
      </c>
      <c r="I198" s="19">
        <v>0.575</v>
      </c>
      <c r="J198" s="18">
        <v>1104.0</v>
      </c>
      <c r="K198" s="18">
        <v>7.2</v>
      </c>
      <c r="L198" s="18">
        <v>8.0</v>
      </c>
      <c r="M198" s="18">
        <v>4.0</v>
      </c>
      <c r="N198" s="18">
        <v>15.0</v>
      </c>
      <c r="O198" s="18">
        <v>5.0</v>
      </c>
      <c r="P198" s="20">
        <f t="shared" si="1"/>
        <v>1.945282326</v>
      </c>
      <c r="Q198" s="20">
        <f t="shared" si="2"/>
        <v>1.3214927</v>
      </c>
      <c r="R198" s="24"/>
      <c r="S198" s="20">
        <v>1.9452823264687624</v>
      </c>
      <c r="T198" s="22">
        <v>-0.7</v>
      </c>
      <c r="W198" s="25">
        <v>0.9</v>
      </c>
      <c r="X198" s="22">
        <f t="shared" si="15"/>
        <v>0.1576131141</v>
      </c>
      <c r="Y198" s="20">
        <f t="shared" si="4"/>
        <v>38.64928571</v>
      </c>
      <c r="Z198" s="20">
        <f t="shared" si="6"/>
        <v>37.32779301</v>
      </c>
      <c r="AA198" s="20"/>
      <c r="AB198" s="20">
        <f>IFERROR(__xludf.DUMMYFUNCTION("iferror(PERCENTRANK.INC(FILTER($X$2:$X$423, $U$2:$U$423&lt;3.75), $X198), 1)"),0.436)</f>
        <v>0.436</v>
      </c>
      <c r="AC198" s="20">
        <f>IFERROR(__xludf.DUMMYFUNCTION("iferror(PERCENTRANK.INC(FILTER($X$2:$X$423, $U$2:$U$423&lt;4.25), $X198), 1)"),0.423)</f>
        <v>0.423</v>
      </c>
      <c r="AD198" s="20">
        <f>IFERROR(__xludf.DUMMYFUNCTION("iferror(PERCENTRANK.INC(FILTER($X$2:$X$423, $U$2:$U$423&gt;=4.1), $X198), 0.01)"),0.042)</f>
        <v>0.042</v>
      </c>
      <c r="AE198" s="20"/>
    </row>
    <row r="199" ht="14.25" customHeight="1">
      <c r="A199" s="17" t="s">
        <v>498</v>
      </c>
      <c r="B199" s="17" t="s">
        <v>499</v>
      </c>
      <c r="C199" s="18">
        <v>8.0</v>
      </c>
      <c r="D199" s="17" t="s">
        <v>98</v>
      </c>
      <c r="E199" s="17" t="s">
        <v>155</v>
      </c>
      <c r="F199" s="18">
        <v>248.0</v>
      </c>
      <c r="G199" s="18">
        <v>232.0</v>
      </c>
      <c r="H199" s="18">
        <v>128.0</v>
      </c>
      <c r="I199" s="19">
        <v>0.552</v>
      </c>
      <c r="J199" s="18">
        <v>1599.0</v>
      </c>
      <c r="K199" s="18">
        <v>6.9</v>
      </c>
      <c r="L199" s="18">
        <v>13.0</v>
      </c>
      <c r="M199" s="18">
        <v>9.0</v>
      </c>
      <c r="N199" s="18">
        <v>11.0</v>
      </c>
      <c r="O199" s="18">
        <v>7.0</v>
      </c>
      <c r="P199" s="20">
        <f t="shared" si="1"/>
        <v>1.94057123</v>
      </c>
      <c r="Q199" s="20">
        <f t="shared" si="2"/>
        <v>1.319258698</v>
      </c>
      <c r="R199" s="24"/>
      <c r="S199" s="20">
        <v>1.94057123025584</v>
      </c>
      <c r="T199" s="22">
        <v>4.52</v>
      </c>
      <c r="U199" s="30"/>
      <c r="V199" s="30"/>
      <c r="W199" s="18">
        <v>0.9</v>
      </c>
      <c r="X199" s="22">
        <f t="shared" si="15"/>
        <v>0.9690856845</v>
      </c>
      <c r="Y199" s="20">
        <f t="shared" si="4"/>
        <v>48.68319528</v>
      </c>
      <c r="Z199" s="20">
        <f t="shared" si="6"/>
        <v>47.36393658</v>
      </c>
      <c r="AA199" s="20"/>
      <c r="AB199" s="20">
        <f>IFERROR(__xludf.DUMMYFUNCTION("iferror(PERCENTRANK.INC(FILTER($X$2:$X$423, $U$2:$U$423&lt;3.75), $X199), 1)"),0.928)</f>
        <v>0.928</v>
      </c>
      <c r="AC199" s="20">
        <f>IFERROR(__xludf.DUMMYFUNCTION("iferror(PERCENTRANK.INC(FILTER($X$2:$X$423, $U$2:$U$423&lt;4.25), $X199), 1)"),0.9)</f>
        <v>0.9</v>
      </c>
      <c r="AD199" s="20">
        <f>IFERROR(__xludf.DUMMYFUNCTION("iferror(PERCENTRANK.INC(FILTER($X$2:$X$423, $U$2:$U$423&gt;=4.1), $X199), 0.01)"),0.055)</f>
        <v>0.055</v>
      </c>
      <c r="AE199" s="20"/>
    </row>
    <row r="200" ht="14.25" customHeight="1">
      <c r="A200" s="17" t="s">
        <v>500</v>
      </c>
      <c r="B200" s="17" t="s">
        <v>501</v>
      </c>
      <c r="C200" s="18">
        <v>12.0</v>
      </c>
      <c r="D200" s="17" t="s">
        <v>98</v>
      </c>
      <c r="E200" s="17" t="s">
        <v>127</v>
      </c>
      <c r="F200" s="18">
        <v>545.0</v>
      </c>
      <c r="G200" s="18">
        <v>454.0</v>
      </c>
      <c r="H200" s="18">
        <v>249.0</v>
      </c>
      <c r="I200" s="19">
        <v>0.549</v>
      </c>
      <c r="J200" s="18">
        <v>2696.0</v>
      </c>
      <c r="K200" s="18">
        <v>5.9</v>
      </c>
      <c r="L200" s="18">
        <v>14.0</v>
      </c>
      <c r="M200" s="18">
        <v>13.0</v>
      </c>
      <c r="N200" s="18">
        <v>48.0</v>
      </c>
      <c r="O200" s="18">
        <v>29.0</v>
      </c>
      <c r="P200" s="20">
        <f t="shared" si="1"/>
        <v>1.927468284</v>
      </c>
      <c r="Q200" s="20">
        <f t="shared" si="2"/>
        <v>1.313045281</v>
      </c>
      <c r="R200" s="24"/>
      <c r="S200" s="20">
        <v>1.9274682839186843</v>
      </c>
      <c r="T200" s="22">
        <v>-0.82</v>
      </c>
      <c r="U200" s="30"/>
      <c r="V200" s="30"/>
      <c r="W200" s="18">
        <v>0.9</v>
      </c>
      <c r="X200" s="22">
        <f t="shared" si="15"/>
        <v>0.1661202426</v>
      </c>
      <c r="Y200" s="20">
        <f t="shared" si="4"/>
        <v>38.75447689</v>
      </c>
      <c r="Z200" s="20">
        <f t="shared" si="6"/>
        <v>37.44143161</v>
      </c>
      <c r="AA200" s="20"/>
      <c r="AB200" s="20">
        <f>IFERROR(__xludf.DUMMYFUNCTION("iferror(PERCENTRANK.INC(FILTER($X$2:$X$423, $U$2:$U$423&lt;3.75), $X200), 1)"),0.441)</f>
        <v>0.441</v>
      </c>
      <c r="AC200" s="20">
        <f>IFERROR(__xludf.DUMMYFUNCTION("iferror(PERCENTRANK.INC(FILTER($X$2:$X$423, $U$2:$U$423&lt;4.25), $X200), 1)"),0.428)</f>
        <v>0.428</v>
      </c>
      <c r="AD200" s="20">
        <f>IFERROR(__xludf.DUMMYFUNCTION("iferror(PERCENTRANK.INC(FILTER($X$2:$X$423, $U$2:$U$423&gt;=4.1), $X200), 0.01)"),0.043)</f>
        <v>0.043</v>
      </c>
      <c r="AE200" s="20"/>
    </row>
    <row r="201" ht="14.25" customHeight="1">
      <c r="A201" s="17" t="s">
        <v>502</v>
      </c>
      <c r="B201" s="17" t="s">
        <v>503</v>
      </c>
      <c r="C201" s="18">
        <v>9.0</v>
      </c>
      <c r="D201" s="17" t="s">
        <v>98</v>
      </c>
      <c r="E201" s="17" t="s">
        <v>189</v>
      </c>
      <c r="F201" s="18">
        <v>404.0</v>
      </c>
      <c r="G201" s="18">
        <v>379.0</v>
      </c>
      <c r="H201" s="18">
        <v>238.0</v>
      </c>
      <c r="I201" s="19">
        <v>0.628</v>
      </c>
      <c r="J201" s="18">
        <v>2578.0</v>
      </c>
      <c r="K201" s="18">
        <v>6.8</v>
      </c>
      <c r="L201" s="18">
        <v>11.0</v>
      </c>
      <c r="M201" s="18">
        <v>12.0</v>
      </c>
      <c r="N201" s="18">
        <v>11.0</v>
      </c>
      <c r="O201" s="18">
        <v>16.0</v>
      </c>
      <c r="P201" s="20">
        <f t="shared" si="1"/>
        <v>1.87779519</v>
      </c>
      <c r="Q201" s="20">
        <f t="shared" si="2"/>
        <v>1.289490302</v>
      </c>
      <c r="R201" s="24"/>
      <c r="S201" s="20">
        <v>1.8777951901564824</v>
      </c>
      <c r="T201" s="22">
        <v>1.53</v>
      </c>
      <c r="U201" s="30"/>
      <c r="V201" s="30"/>
      <c r="W201" s="18">
        <v>0.9</v>
      </c>
      <c r="X201" s="22">
        <f t="shared" si="15"/>
        <v>0.4970858146</v>
      </c>
      <c r="Y201" s="20">
        <f t="shared" si="4"/>
        <v>42.84688709</v>
      </c>
      <c r="Z201" s="20">
        <f t="shared" si="6"/>
        <v>41.55739679</v>
      </c>
      <c r="AA201" s="20"/>
      <c r="AB201" s="20">
        <f>IFERROR(__xludf.DUMMYFUNCTION("iferror(PERCENTRANK.INC(FILTER($X$2:$X$423, $U$2:$U$423&lt;3.75), $X201), 1)"),0.649)</f>
        <v>0.649</v>
      </c>
      <c r="AC201" s="20">
        <f>IFERROR(__xludf.DUMMYFUNCTION("iferror(PERCENTRANK.INC(FILTER($X$2:$X$423, $U$2:$U$423&lt;4.25), $X201), 1)"),0.63)</f>
        <v>0.63</v>
      </c>
      <c r="AD201" s="20">
        <f>IFERROR(__xludf.DUMMYFUNCTION("iferror(PERCENTRANK.INC(FILTER($X$2:$X$423, $U$2:$U$423&gt;=4.1), $X201), 0.01)"),0.048)</f>
        <v>0.048</v>
      </c>
      <c r="AE201" s="20"/>
    </row>
    <row r="202" ht="14.25" customHeight="1">
      <c r="A202" s="17" t="s">
        <v>504</v>
      </c>
      <c r="B202" s="17" t="s">
        <v>505</v>
      </c>
      <c r="C202" s="18">
        <v>4.0</v>
      </c>
      <c r="D202" s="17" t="s">
        <v>98</v>
      </c>
      <c r="E202" s="17" t="s">
        <v>506</v>
      </c>
      <c r="F202" s="18">
        <v>323.0</v>
      </c>
      <c r="G202" s="18">
        <v>283.0</v>
      </c>
      <c r="H202" s="18">
        <v>171.0</v>
      </c>
      <c r="I202" s="19">
        <v>0.604</v>
      </c>
      <c r="J202" s="18">
        <v>1820.0</v>
      </c>
      <c r="K202" s="18">
        <v>6.4</v>
      </c>
      <c r="L202" s="18">
        <v>12.0</v>
      </c>
      <c r="M202" s="18">
        <v>9.0</v>
      </c>
      <c r="N202" s="18">
        <v>17.0</v>
      </c>
      <c r="O202" s="18">
        <v>9.0</v>
      </c>
      <c r="P202" s="20">
        <f t="shared" si="1"/>
        <v>1.918154725</v>
      </c>
      <c r="Q202" s="20">
        <f t="shared" si="2"/>
        <v>1.308628792</v>
      </c>
      <c r="R202" s="24"/>
      <c r="S202" s="20">
        <v>1.9181547249395572</v>
      </c>
      <c r="T202" s="22">
        <v>14.03</v>
      </c>
      <c r="U202" s="30"/>
      <c r="V202" s="30"/>
      <c r="W202" s="18">
        <v>0.95</v>
      </c>
      <c r="X202" s="22">
        <f t="shared" si="15"/>
        <v>2.363450888</v>
      </c>
      <c r="Y202" s="20">
        <f t="shared" si="4"/>
        <v>65.92460906</v>
      </c>
      <c r="Z202" s="20">
        <f t="shared" si="6"/>
        <v>64.61598027</v>
      </c>
      <c r="AA202" s="20"/>
      <c r="AB202" s="20">
        <f>IFERROR(__xludf.DUMMYFUNCTION("iferror(PERCENTRANK.INC(FILTER($X$2:$X$423, $U$2:$U$423&lt;3.75), $X202), 1)"),0.985)</f>
        <v>0.985</v>
      </c>
      <c r="AC202" s="20">
        <f>IFERROR(__xludf.DUMMYFUNCTION("iferror(PERCENTRANK.INC(FILTER($X$2:$X$423, $U$2:$U$423&lt;4.25), $X202), 1)"),0.955)</f>
        <v>0.955</v>
      </c>
      <c r="AD202" s="20">
        <f>IFERROR(__xludf.DUMMYFUNCTION("iferror(PERCENTRANK.INC(FILTER($X$2:$X$423, $U$2:$U$423&gt;=4.1), $X202), 0.01)"),0.077)</f>
        <v>0.077</v>
      </c>
      <c r="AE202" s="20"/>
    </row>
    <row r="203" ht="14.25" customHeight="1">
      <c r="A203" s="17" t="s">
        <v>507</v>
      </c>
      <c r="B203" s="17" t="s">
        <v>323</v>
      </c>
      <c r="C203" s="18">
        <v>16.0</v>
      </c>
      <c r="D203" s="17" t="s">
        <v>98</v>
      </c>
      <c r="E203" s="17" t="s">
        <v>189</v>
      </c>
      <c r="F203" s="18">
        <v>73.0</v>
      </c>
      <c r="G203" s="18">
        <v>69.0</v>
      </c>
      <c r="H203" s="18">
        <v>39.0</v>
      </c>
      <c r="I203" s="19">
        <v>0.565</v>
      </c>
      <c r="J203" s="18">
        <v>514.0</v>
      </c>
      <c r="K203" s="18">
        <v>7.5</v>
      </c>
      <c r="L203" s="18">
        <v>7.0</v>
      </c>
      <c r="M203" s="18">
        <v>2.0</v>
      </c>
      <c r="N203" s="18">
        <v>0.0</v>
      </c>
      <c r="O203" s="18">
        <v>1.0</v>
      </c>
      <c r="P203" s="20">
        <f t="shared" si="1"/>
        <v>1.893560797</v>
      </c>
      <c r="Q203" s="20">
        <f t="shared" si="2"/>
        <v>1.296966352</v>
      </c>
      <c r="R203" s="24"/>
      <c r="S203" s="20">
        <v>1.8935607971014494</v>
      </c>
      <c r="T203" s="22">
        <v>-1.2</v>
      </c>
      <c r="W203" s="25">
        <v>0.9</v>
      </c>
      <c r="X203" s="22">
        <f t="shared" si="15"/>
        <v>0.07563070761</v>
      </c>
      <c r="Y203" s="20">
        <f t="shared" si="4"/>
        <v>37.63556808</v>
      </c>
      <c r="Z203" s="20">
        <f t="shared" si="6"/>
        <v>36.33860173</v>
      </c>
      <c r="AA203" s="20"/>
      <c r="AB203" s="20">
        <f>IFERROR(__xludf.DUMMYFUNCTION("iferror(PERCENTRANK.INC(FILTER($X$2:$X$423, $U$2:$U$423&lt;3.75), $X203), 1)"),0.345)</f>
        <v>0.345</v>
      </c>
      <c r="AC203" s="20">
        <f>IFERROR(__xludf.DUMMYFUNCTION("iferror(PERCENTRANK.INC(FILTER($X$2:$X$423, $U$2:$U$423&lt;4.25), $X203), 1)"),0.335)</f>
        <v>0.335</v>
      </c>
      <c r="AD203" s="20">
        <f>IFERROR(__xludf.DUMMYFUNCTION("iferror(PERCENTRANK.INC(FILTER($X$2:$X$423, $U$2:$U$423&gt;=4.1), $X203), 0.01)"),0.041)</f>
        <v>0.041</v>
      </c>
      <c r="AE203" s="20"/>
    </row>
    <row r="204" ht="14.25" customHeight="1">
      <c r="A204" s="17" t="s">
        <v>508</v>
      </c>
      <c r="B204" s="17" t="s">
        <v>509</v>
      </c>
      <c r="C204" s="18">
        <v>3.0</v>
      </c>
      <c r="D204" s="17" t="s">
        <v>98</v>
      </c>
      <c r="E204" s="17" t="s">
        <v>99</v>
      </c>
      <c r="F204" s="18">
        <v>277.0</v>
      </c>
      <c r="G204" s="18">
        <v>217.0</v>
      </c>
      <c r="H204" s="18">
        <v>130.0</v>
      </c>
      <c r="I204" s="19">
        <v>0.599</v>
      </c>
      <c r="J204" s="18">
        <v>1517.0</v>
      </c>
      <c r="K204" s="18">
        <v>7.0</v>
      </c>
      <c r="L204" s="18">
        <v>10.0</v>
      </c>
      <c r="M204" s="18">
        <v>7.0</v>
      </c>
      <c r="N204" s="18">
        <v>17.0</v>
      </c>
      <c r="O204" s="18">
        <v>12.0</v>
      </c>
      <c r="P204" s="20">
        <f t="shared" si="1"/>
        <v>1.892181528</v>
      </c>
      <c r="Q204" s="20">
        <f t="shared" si="2"/>
        <v>1.296312303</v>
      </c>
      <c r="R204" s="29"/>
      <c r="S204" s="20">
        <v>1.8921815275083602</v>
      </c>
      <c r="T204" s="22">
        <v>1.86</v>
      </c>
      <c r="U204" s="31"/>
      <c r="V204" s="30"/>
      <c r="W204" s="18">
        <v>1.0</v>
      </c>
      <c r="X204" s="22">
        <f t="shared" si="15"/>
        <v>0.5486358677</v>
      </c>
      <c r="Y204" s="20">
        <f t="shared" si="4"/>
        <v>43.48430675</v>
      </c>
      <c r="Z204" s="20">
        <f t="shared" si="6"/>
        <v>42.18799445</v>
      </c>
      <c r="AA204" s="20"/>
      <c r="AB204" s="20">
        <f>IFERROR(__xludf.DUMMYFUNCTION("iferror(PERCENTRANK.INC(FILTER($X$2:$X$423, $U$2:$U$423&lt;3.75), $X204), 1)"),0.688)</f>
        <v>0.688</v>
      </c>
      <c r="AC204" s="20">
        <f>IFERROR(__xludf.DUMMYFUNCTION("iferror(PERCENTRANK.INC(FILTER($X$2:$X$423, $U$2:$U$423&lt;4.25), $X204), 1)"),0.668)</f>
        <v>0.668</v>
      </c>
      <c r="AD204" s="20">
        <f>IFERROR(__xludf.DUMMYFUNCTION("iferror(PERCENTRANK.INC(FILTER($X$2:$X$423, $U$2:$U$423&gt;=4.1), $X204), 0.01)"),0.049)</f>
        <v>0.049</v>
      </c>
      <c r="AE204" s="20"/>
    </row>
    <row r="205" ht="14.25" customHeight="1">
      <c r="A205" s="17" t="s">
        <v>510</v>
      </c>
      <c r="B205" s="17" t="s">
        <v>511</v>
      </c>
      <c r="C205" s="18">
        <v>11.0</v>
      </c>
      <c r="D205" s="17" t="s">
        <v>98</v>
      </c>
      <c r="E205" s="17" t="s">
        <v>182</v>
      </c>
      <c r="F205" s="18">
        <v>295.0</v>
      </c>
      <c r="G205" s="18">
        <v>224.0</v>
      </c>
      <c r="H205" s="18">
        <v>137.0</v>
      </c>
      <c r="I205" s="19">
        <v>0.612</v>
      </c>
      <c r="J205" s="18">
        <v>1332.0</v>
      </c>
      <c r="K205" s="18">
        <v>6.0</v>
      </c>
      <c r="L205" s="18">
        <v>6.0</v>
      </c>
      <c r="M205" s="18">
        <v>3.0</v>
      </c>
      <c r="N205" s="18">
        <v>33.0</v>
      </c>
      <c r="O205" s="18">
        <v>9.0</v>
      </c>
      <c r="P205" s="20">
        <f t="shared" si="1"/>
        <v>1.885876736</v>
      </c>
      <c r="Q205" s="20">
        <f t="shared" si="2"/>
        <v>1.293322571</v>
      </c>
      <c r="R205" s="24"/>
      <c r="S205" s="20">
        <v>1.885876736077482</v>
      </c>
      <c r="T205" s="22">
        <v>-0.77</v>
      </c>
      <c r="U205" s="30"/>
      <c r="V205" s="30"/>
      <c r="W205" s="18">
        <v>1.0</v>
      </c>
      <c r="X205" s="22">
        <f t="shared" si="15"/>
        <v>0.1390933594</v>
      </c>
      <c r="Y205" s="20">
        <f t="shared" si="4"/>
        <v>38.42028777</v>
      </c>
      <c r="Z205" s="20">
        <f t="shared" si="6"/>
        <v>37.1269652</v>
      </c>
      <c r="AA205" s="20"/>
      <c r="AB205" s="20">
        <f>IFERROR(__xludf.DUMMYFUNCTION("iferror(PERCENTRANK.INC(FILTER($X$2:$X$423, $U$2:$U$423&lt;3.75), $X205), 1)"),0.418)</f>
        <v>0.418</v>
      </c>
      <c r="AC205" s="20">
        <f>IFERROR(__xludf.DUMMYFUNCTION("iferror(PERCENTRANK.INC(FILTER($X$2:$X$423, $U$2:$U$423&lt;4.25), $X205), 1)"),0.405)</f>
        <v>0.405</v>
      </c>
      <c r="AD205" s="20">
        <f>IFERROR(__xludf.DUMMYFUNCTION("iferror(PERCENTRANK.INC(FILTER($X$2:$X$423, $U$2:$U$423&gt;=4.1), $X205), 0.01)"),0.042)</f>
        <v>0.042</v>
      </c>
      <c r="AE205" s="20"/>
    </row>
    <row r="206" ht="14.25" customHeight="1">
      <c r="A206" s="17" t="s">
        <v>512</v>
      </c>
      <c r="B206" s="17" t="s">
        <v>513</v>
      </c>
      <c r="C206" s="18">
        <v>16.0</v>
      </c>
      <c r="D206" s="17" t="s">
        <v>98</v>
      </c>
      <c r="E206" s="17" t="s">
        <v>144</v>
      </c>
      <c r="F206" s="18">
        <v>235.0</v>
      </c>
      <c r="G206" s="18">
        <v>207.0</v>
      </c>
      <c r="H206" s="18">
        <v>132.0</v>
      </c>
      <c r="I206" s="19">
        <v>0.638</v>
      </c>
      <c r="J206" s="18">
        <v>1374.0</v>
      </c>
      <c r="K206" s="18">
        <v>6.6</v>
      </c>
      <c r="L206" s="18">
        <v>9.0</v>
      </c>
      <c r="M206" s="18">
        <v>6.0</v>
      </c>
      <c r="N206" s="18">
        <v>13.0</v>
      </c>
      <c r="O206" s="18">
        <v>7.0</v>
      </c>
      <c r="P206" s="20">
        <f t="shared" si="1"/>
        <v>1.825293711</v>
      </c>
      <c r="Q206" s="20">
        <f t="shared" si="2"/>
        <v>1.264594103</v>
      </c>
      <c r="R206" s="24"/>
      <c r="S206" s="20">
        <v>1.8252937109672112</v>
      </c>
      <c r="T206" s="22">
        <v>2.15</v>
      </c>
      <c r="W206" s="25">
        <v>0.95</v>
      </c>
      <c r="X206" s="22">
        <f t="shared" si="15"/>
        <v>0.5962940566</v>
      </c>
      <c r="Y206" s="20">
        <f t="shared" si="4"/>
        <v>44.07360326</v>
      </c>
      <c r="Z206" s="20">
        <f t="shared" si="6"/>
        <v>42.80900916</v>
      </c>
      <c r="AA206" s="20"/>
      <c r="AB206" s="20">
        <f>IFERROR(__xludf.DUMMYFUNCTION("iferror(PERCENTRANK.INC(FILTER($X$2:$X$423, $U$2:$U$423&lt;3.75), $X206), 1)"),0.719)</f>
        <v>0.719</v>
      </c>
      <c r="AC206" s="20">
        <f>IFERROR(__xludf.DUMMYFUNCTION("iferror(PERCENTRANK.INC(FILTER($X$2:$X$423, $U$2:$U$423&lt;4.25), $X206), 1)"),0.698)</f>
        <v>0.698</v>
      </c>
      <c r="AD206" s="20">
        <f>IFERROR(__xludf.DUMMYFUNCTION("iferror(PERCENTRANK.INC(FILTER($X$2:$X$423, $U$2:$U$423&gt;=4.1), $X206), 0.01)"),0.049)</f>
        <v>0.049</v>
      </c>
      <c r="AE206" s="20"/>
    </row>
    <row r="207" ht="14.25" customHeight="1">
      <c r="A207" s="17" t="s">
        <v>514</v>
      </c>
      <c r="B207" s="17" t="s">
        <v>216</v>
      </c>
      <c r="C207" s="18">
        <v>12.0</v>
      </c>
      <c r="D207" s="17" t="s">
        <v>98</v>
      </c>
      <c r="E207" s="17" t="s">
        <v>172</v>
      </c>
      <c r="F207" s="18">
        <v>41.0</v>
      </c>
      <c r="G207" s="18">
        <v>39.0</v>
      </c>
      <c r="H207" s="18">
        <v>23.0</v>
      </c>
      <c r="I207" s="19">
        <v>0.59</v>
      </c>
      <c r="J207" s="18">
        <v>362.0</v>
      </c>
      <c r="K207" s="18">
        <v>9.3</v>
      </c>
      <c r="L207" s="18">
        <v>4.0</v>
      </c>
      <c r="M207" s="18">
        <v>1.0</v>
      </c>
      <c r="N207" s="18">
        <v>0.0</v>
      </c>
      <c r="O207" s="18">
        <v>1.0</v>
      </c>
      <c r="P207" s="20">
        <f t="shared" si="1"/>
        <v>1.855217179</v>
      </c>
      <c r="Q207" s="20">
        <f t="shared" si="2"/>
        <v>1.27878381</v>
      </c>
      <c r="R207" s="24"/>
      <c r="S207" s="20">
        <v>1.85521717948718</v>
      </c>
      <c r="T207" s="22">
        <v>0.04</v>
      </c>
      <c r="U207" s="30"/>
      <c r="V207" s="30"/>
      <c r="W207" s="18">
        <v>0.9</v>
      </c>
      <c r="X207" s="22">
        <f t="shared" si="15"/>
        <v>0.2564543192</v>
      </c>
      <c r="Y207" s="20">
        <f t="shared" si="4"/>
        <v>39.87146345</v>
      </c>
      <c r="Z207" s="20">
        <f t="shared" si="6"/>
        <v>38.59267964</v>
      </c>
      <c r="AA207" s="20"/>
      <c r="AB207" s="20">
        <f>IFERROR(__xludf.DUMMYFUNCTION("iferror(PERCENTRANK.INC(FILTER($X$2:$X$423, $U$2:$U$423&lt;3.75), $X207), 1)"),0.515)</f>
        <v>0.515</v>
      </c>
      <c r="AC207" s="20">
        <f>IFERROR(__xludf.DUMMYFUNCTION("iferror(PERCENTRANK.INC(FILTER($X$2:$X$423, $U$2:$U$423&lt;4.25), $X207), 1)"),0.5)</f>
        <v>0.5</v>
      </c>
      <c r="AD207" s="20">
        <f>IFERROR(__xludf.DUMMYFUNCTION("iferror(PERCENTRANK.INC(FILTER($X$2:$X$423, $U$2:$U$423&gt;=4.1), $X207), 0.01)"),0.044)</f>
        <v>0.044</v>
      </c>
      <c r="AE207" s="20"/>
    </row>
    <row r="208" ht="14.25" customHeight="1">
      <c r="A208" s="17" t="s">
        <v>515</v>
      </c>
      <c r="B208" s="17" t="s">
        <v>149</v>
      </c>
      <c r="C208" s="18">
        <v>6.0</v>
      </c>
      <c r="D208" s="17" t="s">
        <v>98</v>
      </c>
      <c r="E208" s="17" t="s">
        <v>114</v>
      </c>
      <c r="F208" s="18">
        <v>130.0</v>
      </c>
      <c r="G208" s="18">
        <v>117.0</v>
      </c>
      <c r="H208" s="18">
        <v>76.0</v>
      </c>
      <c r="I208" s="19">
        <v>0.65</v>
      </c>
      <c r="J208" s="18">
        <v>871.0</v>
      </c>
      <c r="K208" s="18">
        <v>7.4</v>
      </c>
      <c r="L208" s="18">
        <v>8.0</v>
      </c>
      <c r="M208" s="18">
        <v>4.0</v>
      </c>
      <c r="N208" s="18">
        <v>4.0</v>
      </c>
      <c r="O208" s="18">
        <v>2.0</v>
      </c>
      <c r="P208" s="20">
        <f t="shared" si="1"/>
        <v>1.852905556</v>
      </c>
      <c r="Q208" s="20">
        <f t="shared" si="2"/>
        <v>1.277687638</v>
      </c>
      <c r="R208" s="24"/>
      <c r="S208" s="20">
        <v>1.8529055555555558</v>
      </c>
      <c r="T208" s="22">
        <v>2.32</v>
      </c>
      <c r="U208" s="30"/>
      <c r="V208" s="30"/>
      <c r="W208" s="18">
        <v>0.9</v>
      </c>
      <c r="X208" s="22">
        <f t="shared" si="15"/>
        <v>0.6120390417</v>
      </c>
      <c r="Y208" s="20">
        <f t="shared" si="4"/>
        <v>44.268291</v>
      </c>
      <c r="Z208" s="20">
        <f t="shared" si="6"/>
        <v>42.99060336</v>
      </c>
      <c r="AA208" s="20"/>
      <c r="AB208" s="20">
        <f>IFERROR(__xludf.DUMMYFUNCTION("iferror(PERCENTRANK.INC(FILTER($X$2:$X$423, $U$2:$U$423&lt;3.75), $X208), 1)"),0.735)</f>
        <v>0.735</v>
      </c>
      <c r="AC208" s="20">
        <f>IFERROR(__xludf.DUMMYFUNCTION("iferror(PERCENTRANK.INC(FILTER($X$2:$X$423, $U$2:$U$423&lt;4.25), $X208), 1)"),0.713)</f>
        <v>0.713</v>
      </c>
      <c r="AD208" s="20">
        <f>IFERROR(__xludf.DUMMYFUNCTION("iferror(PERCENTRANK.INC(FILTER($X$2:$X$423, $U$2:$U$423&gt;=4.1), $X208), 0.01)"),0.05)</f>
        <v>0.05</v>
      </c>
      <c r="AE208" s="20"/>
    </row>
    <row r="209" ht="14.25" customHeight="1">
      <c r="A209" s="17" t="s">
        <v>516</v>
      </c>
      <c r="B209" s="17" t="s">
        <v>517</v>
      </c>
      <c r="C209" s="18">
        <v>2.0</v>
      </c>
      <c r="D209" s="17" t="s">
        <v>98</v>
      </c>
      <c r="E209" s="17" t="s">
        <v>117</v>
      </c>
      <c r="F209" s="18">
        <v>236.0</v>
      </c>
      <c r="G209" s="18">
        <v>195.0</v>
      </c>
      <c r="H209" s="18">
        <v>108.0</v>
      </c>
      <c r="I209" s="19">
        <v>0.554</v>
      </c>
      <c r="J209" s="18">
        <v>1345.0</v>
      </c>
      <c r="K209" s="18">
        <v>6.9</v>
      </c>
      <c r="L209" s="18">
        <v>10.0</v>
      </c>
      <c r="M209" s="18">
        <v>7.0</v>
      </c>
      <c r="N209" s="18">
        <v>15.0</v>
      </c>
      <c r="O209" s="18">
        <v>8.0</v>
      </c>
      <c r="P209" s="20">
        <f t="shared" si="1"/>
        <v>1.749498165</v>
      </c>
      <c r="Q209" s="20">
        <f t="shared" si="2"/>
        <v>1.228651858</v>
      </c>
      <c r="R209" s="24"/>
      <c r="S209" s="20">
        <v>1.749498165145589</v>
      </c>
      <c r="T209" s="22">
        <v>-0.37</v>
      </c>
      <c r="W209" s="25">
        <v>0.95</v>
      </c>
      <c r="X209" s="22">
        <f t="shared" si="15"/>
        <v>0.1938034885</v>
      </c>
      <c r="Y209" s="20">
        <f t="shared" si="4"/>
        <v>39.09678198</v>
      </c>
      <c r="Z209" s="20">
        <f t="shared" si="6"/>
        <v>37.86813012</v>
      </c>
      <c r="AA209" s="20"/>
      <c r="AB209" s="20">
        <f>IFERROR(__xludf.DUMMYFUNCTION("iferror(PERCENTRANK.INC(FILTER($X$2:$X$423, $U$2:$U$423&lt;3.75), $X209), 1)"),0.466)</f>
        <v>0.466</v>
      </c>
      <c r="AC209" s="20">
        <f>IFERROR(__xludf.DUMMYFUNCTION("iferror(PERCENTRANK.INC(FILTER($X$2:$X$423, $U$2:$U$423&lt;4.25), $X209), 1)"),0.453)</f>
        <v>0.453</v>
      </c>
      <c r="AD209" s="20">
        <f>IFERROR(__xludf.DUMMYFUNCTION("iferror(PERCENTRANK.INC(FILTER($X$2:$X$423, $U$2:$U$423&gt;=4.1), $X209), 0.01)"),0.043)</f>
        <v>0.043</v>
      </c>
      <c r="AE209" s="20"/>
    </row>
    <row r="210" ht="14.25" customHeight="1">
      <c r="A210" s="17" t="s">
        <v>518</v>
      </c>
      <c r="B210" s="17" t="s">
        <v>519</v>
      </c>
      <c r="C210" s="18">
        <v>15.0</v>
      </c>
      <c r="D210" s="17" t="s">
        <v>98</v>
      </c>
      <c r="E210" s="17" t="s">
        <v>127</v>
      </c>
      <c r="F210" s="18">
        <v>94.0</v>
      </c>
      <c r="G210" s="18">
        <v>91.0</v>
      </c>
      <c r="H210" s="18">
        <v>55.0</v>
      </c>
      <c r="I210" s="19">
        <v>0.604</v>
      </c>
      <c r="J210" s="18">
        <v>624.0</v>
      </c>
      <c r="K210" s="18">
        <v>6.9</v>
      </c>
      <c r="L210" s="18">
        <v>5.0</v>
      </c>
      <c r="M210" s="18">
        <v>1.0</v>
      </c>
      <c r="N210" s="18">
        <v>1.0</v>
      </c>
      <c r="O210" s="18">
        <v>2.0</v>
      </c>
      <c r="P210" s="20">
        <f t="shared" si="1"/>
        <v>1.841207285</v>
      </c>
      <c r="Q210" s="20">
        <f t="shared" si="2"/>
        <v>1.272140319</v>
      </c>
      <c r="R210" s="24"/>
      <c r="S210" s="20">
        <v>1.8412072845452423</v>
      </c>
      <c r="T210" s="22">
        <v>7.42</v>
      </c>
      <c r="U210" s="30"/>
      <c r="V210" s="30"/>
      <c r="W210" s="18">
        <v>0.9</v>
      </c>
      <c r="X210" s="22">
        <f t="shared" si="15"/>
        <v>1.375372038</v>
      </c>
      <c r="Y210" s="20">
        <f t="shared" si="4"/>
        <v>53.7069517</v>
      </c>
      <c r="Z210" s="20">
        <f t="shared" si="6"/>
        <v>52.43481138</v>
      </c>
      <c r="AA210" s="20"/>
      <c r="AB210" s="20">
        <f>IFERROR(__xludf.DUMMYFUNCTION("iferror(PERCENTRANK.INC(FILTER($X$2:$X$423, $U$2:$U$423&lt;3.75), $X210), 1)"),0.964)</f>
        <v>0.964</v>
      </c>
      <c r="AC210" s="20">
        <f>IFERROR(__xludf.DUMMYFUNCTION("iferror(PERCENTRANK.INC(FILTER($X$2:$X$423, $U$2:$U$423&lt;4.25), $X210), 1)"),0.935)</f>
        <v>0.935</v>
      </c>
      <c r="AD210" s="20">
        <f>IFERROR(__xludf.DUMMYFUNCTION("iferror(PERCENTRANK.INC(FILTER($X$2:$X$423, $U$2:$U$423&gt;=4.1), $X210), 0.01)"),0.061)</f>
        <v>0.061</v>
      </c>
      <c r="AE210" s="20"/>
    </row>
    <row r="211" ht="14.25" customHeight="1">
      <c r="A211" s="17" t="s">
        <v>520</v>
      </c>
      <c r="B211" s="17" t="s">
        <v>521</v>
      </c>
      <c r="C211" s="18">
        <v>8.0</v>
      </c>
      <c r="D211" s="17" t="s">
        <v>98</v>
      </c>
      <c r="E211" s="17" t="s">
        <v>108</v>
      </c>
      <c r="F211" s="18">
        <v>397.0</v>
      </c>
      <c r="G211" s="18">
        <v>366.0</v>
      </c>
      <c r="H211" s="18">
        <v>208.0</v>
      </c>
      <c r="I211" s="19">
        <v>0.568</v>
      </c>
      <c r="J211" s="18">
        <v>2225.0</v>
      </c>
      <c r="K211" s="18">
        <v>6.1</v>
      </c>
      <c r="L211" s="18">
        <v>14.0</v>
      </c>
      <c r="M211" s="18">
        <v>12.0</v>
      </c>
      <c r="N211" s="18">
        <v>16.0</v>
      </c>
      <c r="O211" s="18">
        <v>20.0</v>
      </c>
      <c r="P211" s="20">
        <f t="shared" si="1"/>
        <v>1.833957886</v>
      </c>
      <c r="Q211" s="20">
        <f t="shared" si="2"/>
        <v>1.268702654</v>
      </c>
      <c r="R211" s="29"/>
      <c r="S211" s="20">
        <v>1.8339578860029453</v>
      </c>
      <c r="T211" s="22">
        <v>-0.51</v>
      </c>
      <c r="U211" s="31"/>
      <c r="V211" s="30"/>
      <c r="W211" s="18">
        <v>1.0</v>
      </c>
      <c r="X211" s="22">
        <f t="shared" si="15"/>
        <v>0.1710843146</v>
      </c>
      <c r="Y211" s="20">
        <f t="shared" si="4"/>
        <v>38.81585796</v>
      </c>
      <c r="Z211" s="20">
        <f t="shared" si="6"/>
        <v>37.5471553</v>
      </c>
      <c r="AA211" s="20"/>
      <c r="AB211" s="20">
        <f>IFERROR(__xludf.DUMMYFUNCTION("iferror(PERCENTRANK.INC(FILTER($X$2:$X$423, $U$2:$U$423&lt;3.75), $X211), 1)"),0.443)</f>
        <v>0.443</v>
      </c>
      <c r="AC211" s="20">
        <f>IFERROR(__xludf.DUMMYFUNCTION("iferror(PERCENTRANK.INC(FILTER($X$2:$X$423, $U$2:$U$423&lt;4.25), $X211), 1)"),0.43)</f>
        <v>0.43</v>
      </c>
      <c r="AD211" s="20">
        <f>IFERROR(__xludf.DUMMYFUNCTION("iferror(PERCENTRANK.INC(FILTER($X$2:$X$423, $U$2:$U$423&gt;=4.1), $X211), 0.01)"),0.043)</f>
        <v>0.043</v>
      </c>
      <c r="AE211" s="20"/>
    </row>
    <row r="212" ht="14.25" customHeight="1">
      <c r="A212" s="17" t="s">
        <v>522</v>
      </c>
      <c r="B212" s="17" t="s">
        <v>523</v>
      </c>
      <c r="C212" s="18">
        <v>3.0</v>
      </c>
      <c r="D212" s="17" t="s">
        <v>98</v>
      </c>
      <c r="E212" s="17" t="s">
        <v>189</v>
      </c>
      <c r="F212" s="18">
        <v>135.0</v>
      </c>
      <c r="G212" s="18">
        <v>124.0</v>
      </c>
      <c r="H212" s="18">
        <v>65.0</v>
      </c>
      <c r="I212" s="19">
        <v>0.524</v>
      </c>
      <c r="J212" s="18">
        <v>731.0</v>
      </c>
      <c r="K212" s="18">
        <v>5.9</v>
      </c>
      <c r="L212" s="18">
        <v>7.0</v>
      </c>
      <c r="M212" s="18">
        <v>2.0</v>
      </c>
      <c r="N212" s="18">
        <v>6.0</v>
      </c>
      <c r="O212" s="18">
        <v>5.0</v>
      </c>
      <c r="P212" s="20">
        <f t="shared" si="1"/>
        <v>1.777765491</v>
      </c>
      <c r="Q212" s="20">
        <f t="shared" si="2"/>
        <v>1.242056223</v>
      </c>
      <c r="R212" s="24"/>
      <c r="S212" s="20">
        <v>1.7777654910394265</v>
      </c>
      <c r="T212" s="22">
        <v>-0.68</v>
      </c>
      <c r="U212" s="30"/>
      <c r="V212" s="30"/>
      <c r="W212" s="18">
        <v>0.9</v>
      </c>
      <c r="X212" s="22">
        <f t="shared" si="15"/>
        <v>0.1646648237</v>
      </c>
      <c r="Y212" s="20">
        <f t="shared" si="4"/>
        <v>38.73648055</v>
      </c>
      <c r="Z212" s="20">
        <f t="shared" si="6"/>
        <v>37.49442432</v>
      </c>
      <c r="AA212" s="20"/>
      <c r="AB212" s="20">
        <f>IFERROR(__xludf.DUMMYFUNCTION("iferror(PERCENTRANK.INC(FILTER($X$2:$X$423, $U$2:$U$423&lt;3.75), $X212), 1)"),0.438)</f>
        <v>0.438</v>
      </c>
      <c r="AC212" s="20">
        <f>IFERROR(__xludf.DUMMYFUNCTION("iferror(PERCENTRANK.INC(FILTER($X$2:$X$423, $U$2:$U$423&lt;4.25), $X212), 1)"),0.425)</f>
        <v>0.425</v>
      </c>
      <c r="AD212" s="20">
        <f>IFERROR(__xludf.DUMMYFUNCTION("iferror(PERCENTRANK.INC(FILTER($X$2:$X$423, $U$2:$U$423&gt;=4.1), $X212), 0.01)"),0.043)</f>
        <v>0.043</v>
      </c>
      <c r="AE212" s="20"/>
    </row>
    <row r="213" ht="14.25" customHeight="1">
      <c r="A213" s="17" t="s">
        <v>524</v>
      </c>
      <c r="B213" s="17" t="s">
        <v>525</v>
      </c>
      <c r="C213" s="18">
        <v>4.0</v>
      </c>
      <c r="D213" s="17" t="s">
        <v>98</v>
      </c>
      <c r="E213" s="17" t="s">
        <v>132</v>
      </c>
      <c r="F213" s="18">
        <v>296.0</v>
      </c>
      <c r="G213" s="18">
        <v>263.0</v>
      </c>
      <c r="H213" s="18">
        <v>151.0</v>
      </c>
      <c r="I213" s="19">
        <v>0.574</v>
      </c>
      <c r="J213" s="18">
        <v>1943.0</v>
      </c>
      <c r="K213" s="18">
        <v>7.4</v>
      </c>
      <c r="L213" s="18">
        <v>9.0</v>
      </c>
      <c r="M213" s="18">
        <v>9.0</v>
      </c>
      <c r="N213" s="18">
        <v>17.0</v>
      </c>
      <c r="O213" s="18">
        <v>13.0</v>
      </c>
      <c r="P213" s="20">
        <f t="shared" si="1"/>
        <v>1.777441841</v>
      </c>
      <c r="Q213" s="20">
        <f t="shared" si="2"/>
        <v>1.241902748</v>
      </c>
      <c r="R213" s="24"/>
      <c r="S213" s="20">
        <v>1.777441841331826</v>
      </c>
      <c r="T213" s="22">
        <v>1.24</v>
      </c>
      <c r="U213" s="30"/>
      <c r="V213" s="30"/>
      <c r="W213" s="18">
        <v>0.95</v>
      </c>
      <c r="X213" s="22">
        <f t="shared" si="15"/>
        <v>0.4526162762</v>
      </c>
      <c r="Y213" s="20">
        <f t="shared" si="4"/>
        <v>42.29701844</v>
      </c>
      <c r="Z213" s="20">
        <f t="shared" si="6"/>
        <v>41.05511569</v>
      </c>
      <c r="AA213" s="20"/>
      <c r="AB213" s="20">
        <f>IFERROR(__xludf.DUMMYFUNCTION("iferror(PERCENTRANK.INC(FILTER($X$2:$X$423, $U$2:$U$423&lt;3.75), $X213), 1)"),0.621)</f>
        <v>0.621</v>
      </c>
      <c r="AC213" s="20">
        <f>IFERROR(__xludf.DUMMYFUNCTION("iferror(PERCENTRANK.INC(FILTER($X$2:$X$423, $U$2:$U$423&lt;4.25), $X213), 1)"),0.603)</f>
        <v>0.603</v>
      </c>
      <c r="AD213" s="20">
        <f>IFERROR(__xludf.DUMMYFUNCTION("iferror(PERCENTRANK.INC(FILTER($X$2:$X$423, $U$2:$U$423&gt;=4.1), $X213), 0.01)"),0.047)</f>
        <v>0.047</v>
      </c>
      <c r="AE213" s="20"/>
    </row>
    <row r="214" ht="14.25" customHeight="1">
      <c r="A214" s="17" t="s">
        <v>526</v>
      </c>
      <c r="B214" s="17" t="s">
        <v>527</v>
      </c>
      <c r="C214" s="18">
        <v>12.0</v>
      </c>
      <c r="D214" s="17" t="s">
        <v>98</v>
      </c>
      <c r="E214" s="17" t="s">
        <v>132</v>
      </c>
      <c r="F214" s="18">
        <v>396.0</v>
      </c>
      <c r="G214" s="18">
        <v>365.0</v>
      </c>
      <c r="H214" s="18">
        <v>196.0</v>
      </c>
      <c r="I214" s="19">
        <v>0.537</v>
      </c>
      <c r="J214" s="18">
        <v>2023.0</v>
      </c>
      <c r="K214" s="18">
        <v>5.5</v>
      </c>
      <c r="L214" s="18">
        <v>12.0</v>
      </c>
      <c r="M214" s="18">
        <v>10.0</v>
      </c>
      <c r="N214" s="18">
        <v>17.0</v>
      </c>
      <c r="O214" s="18">
        <v>16.0</v>
      </c>
      <c r="P214" s="20">
        <f t="shared" si="1"/>
        <v>1.754161214</v>
      </c>
      <c r="Q214" s="20">
        <f t="shared" si="2"/>
        <v>1.230863075</v>
      </c>
      <c r="R214" s="29"/>
      <c r="S214" s="20">
        <v>1.7541612139200224</v>
      </c>
      <c r="T214" s="22">
        <v>-0.32</v>
      </c>
      <c r="U214" s="31"/>
      <c r="V214" s="30"/>
      <c r="W214" s="18">
        <v>0.95</v>
      </c>
      <c r="X214" s="22">
        <f t="shared" si="15"/>
        <v>0.1888117639</v>
      </c>
      <c r="Y214" s="20">
        <f t="shared" si="4"/>
        <v>39.03505899</v>
      </c>
      <c r="Z214" s="20">
        <f t="shared" si="6"/>
        <v>37.80419591</v>
      </c>
      <c r="AA214" s="20"/>
      <c r="AB214" s="20">
        <f>IFERROR(__xludf.DUMMYFUNCTION("iferror(PERCENTRANK.INC(FILTER($X$2:$X$423, $U$2:$U$423&lt;3.75), $X214), 1)"),0.464)</f>
        <v>0.464</v>
      </c>
      <c r="AC214" s="20">
        <f>IFERROR(__xludf.DUMMYFUNCTION("iferror(PERCENTRANK.INC(FILTER($X$2:$X$423, $U$2:$U$423&lt;4.25), $X214), 1)"),0.45)</f>
        <v>0.45</v>
      </c>
      <c r="AD214" s="20">
        <f>IFERROR(__xludf.DUMMYFUNCTION("iferror(PERCENTRANK.INC(FILTER($X$2:$X$423, $U$2:$U$423&gt;=4.1), $X214), 0.01)"),0.043)</f>
        <v>0.043</v>
      </c>
      <c r="AE214" s="20"/>
    </row>
    <row r="215" ht="14.25" customHeight="1">
      <c r="A215" s="17" t="s">
        <v>528</v>
      </c>
      <c r="B215" s="17" t="s">
        <v>529</v>
      </c>
      <c r="C215" s="18">
        <v>5.0</v>
      </c>
      <c r="D215" s="17" t="s">
        <v>98</v>
      </c>
      <c r="E215" s="17" t="s">
        <v>144</v>
      </c>
      <c r="F215" s="18">
        <v>198.0</v>
      </c>
      <c r="G215" s="18">
        <v>167.0</v>
      </c>
      <c r="H215" s="18">
        <v>104.0</v>
      </c>
      <c r="I215" s="19">
        <v>0.623</v>
      </c>
      <c r="J215" s="18">
        <v>1254.0</v>
      </c>
      <c r="K215" s="18">
        <v>7.5</v>
      </c>
      <c r="L215" s="18">
        <v>5.0</v>
      </c>
      <c r="M215" s="18">
        <v>4.0</v>
      </c>
      <c r="N215" s="18">
        <v>8.0</v>
      </c>
      <c r="O215" s="18">
        <v>5.0</v>
      </c>
      <c r="P215" s="20">
        <f t="shared" si="1"/>
        <v>1.793204864</v>
      </c>
      <c r="Q215" s="20">
        <f t="shared" si="2"/>
        <v>1.249377573</v>
      </c>
      <c r="R215" s="24"/>
      <c r="S215" s="20">
        <v>1.7932048637875764</v>
      </c>
      <c r="T215" s="22">
        <v>-0.61</v>
      </c>
      <c r="U215" s="30"/>
      <c r="V215" s="30"/>
      <c r="W215" s="18">
        <v>0.95</v>
      </c>
      <c r="X215" s="22">
        <f t="shared" si="15"/>
        <v>0.1505826566</v>
      </c>
      <c r="Y215" s="20">
        <f t="shared" si="4"/>
        <v>38.56235366</v>
      </c>
      <c r="Z215" s="20">
        <f t="shared" si="6"/>
        <v>37.31297609</v>
      </c>
      <c r="AA215" s="20"/>
      <c r="AB215" s="20">
        <f>IFERROR(__xludf.DUMMYFUNCTION("iferror(PERCENTRANK.INC(FILTER($X$2:$X$423, $U$2:$U$423&lt;3.75), $X215), 1)"),0.428)</f>
        <v>0.428</v>
      </c>
      <c r="AC215" s="20">
        <f>IFERROR(__xludf.DUMMYFUNCTION("iferror(PERCENTRANK.INC(FILTER($X$2:$X$423, $U$2:$U$423&lt;4.25), $X215), 1)"),0.415)</f>
        <v>0.415</v>
      </c>
      <c r="AD215" s="20">
        <f>IFERROR(__xludf.DUMMYFUNCTION("iferror(PERCENTRANK.INC(FILTER($X$2:$X$423, $U$2:$U$423&gt;=4.1), $X215), 0.01)"),0.042)</f>
        <v>0.042</v>
      </c>
      <c r="AE215" s="20"/>
    </row>
    <row r="216" ht="14.25" customHeight="1">
      <c r="A216" s="17" t="s">
        <v>530</v>
      </c>
      <c r="B216" s="17" t="s">
        <v>531</v>
      </c>
      <c r="C216" s="18">
        <v>2.0</v>
      </c>
      <c r="D216" s="17" t="s">
        <v>98</v>
      </c>
      <c r="E216" s="17" t="s">
        <v>114</v>
      </c>
      <c r="F216" s="18">
        <v>203.0</v>
      </c>
      <c r="G216" s="18">
        <v>178.0</v>
      </c>
      <c r="H216" s="18">
        <v>93.0</v>
      </c>
      <c r="I216" s="19">
        <v>0.523</v>
      </c>
      <c r="J216" s="18">
        <v>1371.0</v>
      </c>
      <c r="K216" s="18">
        <v>7.7</v>
      </c>
      <c r="L216" s="18">
        <v>6.0</v>
      </c>
      <c r="M216" s="18">
        <v>5.0</v>
      </c>
      <c r="N216" s="18">
        <v>13.0</v>
      </c>
      <c r="O216" s="18">
        <v>11.0</v>
      </c>
      <c r="P216" s="20">
        <f t="shared" si="1"/>
        <v>1.784983389</v>
      </c>
      <c r="Q216" s="20">
        <f t="shared" si="2"/>
        <v>1.24547895</v>
      </c>
      <c r="R216" s="24"/>
      <c r="S216" s="20">
        <v>1.7849833888858138</v>
      </c>
      <c r="T216" s="22">
        <v>2.57</v>
      </c>
      <c r="W216" s="25">
        <v>0.9</v>
      </c>
      <c r="X216" s="22">
        <f t="shared" si="15"/>
        <v>0.6264727575</v>
      </c>
      <c r="Y216" s="20">
        <f t="shared" si="4"/>
        <v>44.44676481</v>
      </c>
      <c r="Z216" s="20">
        <f t="shared" si="6"/>
        <v>43.20128586</v>
      </c>
      <c r="AA216" s="20"/>
      <c r="AB216" s="20">
        <f>IFERROR(__xludf.DUMMYFUNCTION("iferror(PERCENTRANK.INC(FILTER($X$2:$X$423, $U$2:$U$423&lt;3.75), $X216), 1)"),0.737)</f>
        <v>0.737</v>
      </c>
      <c r="AC216" s="20">
        <f>IFERROR(__xludf.DUMMYFUNCTION("iferror(PERCENTRANK.INC(FILTER($X$2:$X$423, $U$2:$U$423&lt;4.25), $X216), 1)"),0.715)</f>
        <v>0.715</v>
      </c>
      <c r="AD216" s="20">
        <f>IFERROR(__xludf.DUMMYFUNCTION("iferror(PERCENTRANK.INC(FILTER($X$2:$X$423, $U$2:$U$423&gt;=4.1), $X216), 0.01)"),0.05)</f>
        <v>0.05</v>
      </c>
      <c r="AE216" s="20"/>
    </row>
    <row r="217" ht="14.25" customHeight="1">
      <c r="A217" s="17" t="s">
        <v>532</v>
      </c>
      <c r="B217" s="17" t="s">
        <v>351</v>
      </c>
      <c r="C217" s="18">
        <v>3.0</v>
      </c>
      <c r="D217" s="17" t="s">
        <v>98</v>
      </c>
      <c r="E217" s="17" t="s">
        <v>135</v>
      </c>
      <c r="F217" s="18">
        <v>189.0</v>
      </c>
      <c r="G217" s="18">
        <v>161.0</v>
      </c>
      <c r="H217" s="18">
        <v>89.0</v>
      </c>
      <c r="I217" s="19">
        <v>0.553</v>
      </c>
      <c r="J217" s="18">
        <v>1219.0</v>
      </c>
      <c r="K217" s="18">
        <v>7.6</v>
      </c>
      <c r="L217" s="18">
        <v>7.0</v>
      </c>
      <c r="M217" s="18">
        <v>5.0</v>
      </c>
      <c r="N217" s="18">
        <v>17.0</v>
      </c>
      <c r="O217" s="18">
        <v>11.0</v>
      </c>
      <c r="P217" s="20">
        <f t="shared" si="1"/>
        <v>1.738465525</v>
      </c>
      <c r="Q217" s="20">
        <f t="shared" si="2"/>
        <v>1.22342018</v>
      </c>
      <c r="R217" s="24"/>
      <c r="S217" s="20">
        <v>1.7384655249597423</v>
      </c>
      <c r="T217" s="22">
        <v>4.63</v>
      </c>
      <c r="U217" s="30"/>
      <c r="V217" s="30"/>
      <c r="W217" s="18">
        <v>1.0</v>
      </c>
      <c r="X217" s="22">
        <f t="shared" si="15"/>
        <v>0.9422313373</v>
      </c>
      <c r="Y217" s="20">
        <f t="shared" si="4"/>
        <v>48.35113958</v>
      </c>
      <c r="Z217" s="20">
        <f t="shared" si="6"/>
        <v>47.1277194</v>
      </c>
      <c r="AA217" s="20"/>
      <c r="AB217" s="20">
        <f>IFERROR(__xludf.DUMMYFUNCTION("iferror(PERCENTRANK.INC(FILTER($X$2:$X$423, $U$2:$U$423&lt;3.75), $X217), 1)"),0.918)</f>
        <v>0.918</v>
      </c>
      <c r="AC217" s="20">
        <f>IFERROR(__xludf.DUMMYFUNCTION("iferror(PERCENTRANK.INC(FILTER($X$2:$X$423, $U$2:$U$423&lt;4.25), $X217), 1)"),0.89)</f>
        <v>0.89</v>
      </c>
      <c r="AD217" s="20">
        <f>IFERROR(__xludf.DUMMYFUNCTION("iferror(PERCENTRANK.INC(FILTER($X$2:$X$423, $U$2:$U$423&gt;=4.1), $X217), 0.01)"),0.055)</f>
        <v>0.055</v>
      </c>
      <c r="AE217" s="20"/>
    </row>
    <row r="218" ht="14.25" customHeight="1">
      <c r="A218" s="17" t="s">
        <v>533</v>
      </c>
      <c r="B218" s="17" t="s">
        <v>534</v>
      </c>
      <c r="C218" s="18">
        <v>11.0</v>
      </c>
      <c r="D218" s="17" t="s">
        <v>98</v>
      </c>
      <c r="E218" s="17" t="s">
        <v>108</v>
      </c>
      <c r="F218" s="18">
        <v>297.0</v>
      </c>
      <c r="G218" s="18">
        <v>252.0</v>
      </c>
      <c r="H218" s="18">
        <v>153.0</v>
      </c>
      <c r="I218" s="19">
        <v>0.607</v>
      </c>
      <c r="J218" s="18">
        <v>1546.0</v>
      </c>
      <c r="K218" s="18">
        <v>6.1</v>
      </c>
      <c r="L218" s="18">
        <v>8.0</v>
      </c>
      <c r="M218" s="18">
        <v>6.0</v>
      </c>
      <c r="N218" s="18">
        <v>17.0</v>
      </c>
      <c r="O218" s="18">
        <v>7.0</v>
      </c>
      <c r="P218" s="20">
        <f t="shared" si="1"/>
        <v>1.775587721</v>
      </c>
      <c r="Q218" s="20">
        <f t="shared" si="2"/>
        <v>1.241023524</v>
      </c>
      <c r="R218" s="29"/>
      <c r="S218" s="20">
        <v>1.7755877205387207</v>
      </c>
      <c r="T218" s="22">
        <v>-0.84</v>
      </c>
      <c r="U218" s="31"/>
      <c r="V218" s="30"/>
      <c r="W218" s="18">
        <v>1.0</v>
      </c>
      <c r="X218" s="22">
        <f t="shared" si="15"/>
        <v>0.1270212502</v>
      </c>
      <c r="Y218" s="20">
        <f t="shared" si="4"/>
        <v>38.27101538</v>
      </c>
      <c r="Z218" s="20">
        <f t="shared" si="6"/>
        <v>37.02999186</v>
      </c>
      <c r="AA218" s="20"/>
      <c r="AB218" s="20">
        <f>IFERROR(__xludf.DUMMYFUNCTION("iferror(PERCENTRANK.INC(FILTER($X$2:$X$423, $U$2:$U$423&lt;3.75), $X218), 1)"),0.405)</f>
        <v>0.405</v>
      </c>
      <c r="AC218" s="20">
        <f>IFERROR(__xludf.DUMMYFUNCTION("iferror(PERCENTRANK.INC(FILTER($X$2:$X$423, $U$2:$U$423&lt;4.25), $X218), 1)"),0.393)</f>
        <v>0.393</v>
      </c>
      <c r="AD218" s="20">
        <f>IFERROR(__xludf.DUMMYFUNCTION("iferror(PERCENTRANK.INC(FILTER($X$2:$X$423, $U$2:$U$423&gt;=4.1), $X218), 0.01)"),0.042)</f>
        <v>0.042</v>
      </c>
      <c r="AE218" s="20"/>
    </row>
    <row r="219" ht="14.25" customHeight="1">
      <c r="A219" s="17" t="s">
        <v>535</v>
      </c>
      <c r="B219" s="17" t="s">
        <v>459</v>
      </c>
      <c r="C219" s="18">
        <v>9.0</v>
      </c>
      <c r="D219" s="17" t="s">
        <v>98</v>
      </c>
      <c r="E219" s="17" t="s">
        <v>121</v>
      </c>
      <c r="F219" s="18">
        <v>80.0</v>
      </c>
      <c r="G219" s="18">
        <v>60.0</v>
      </c>
      <c r="H219" s="18">
        <v>36.0</v>
      </c>
      <c r="I219" s="19">
        <v>0.6</v>
      </c>
      <c r="J219" s="18">
        <v>509.0</v>
      </c>
      <c r="K219" s="18">
        <v>8.5</v>
      </c>
      <c r="L219" s="18">
        <v>4.0</v>
      </c>
      <c r="M219" s="18">
        <v>1.0</v>
      </c>
      <c r="N219" s="18">
        <v>8.0</v>
      </c>
      <c r="O219" s="18">
        <v>3.0</v>
      </c>
      <c r="P219" s="20">
        <f t="shared" si="1"/>
        <v>1.7414</v>
      </c>
      <c r="Q219" s="20">
        <f t="shared" si="2"/>
        <v>1.224811708</v>
      </c>
      <c r="R219" s="24"/>
      <c r="S219" s="20">
        <v>1.7414</v>
      </c>
      <c r="T219" s="22">
        <v>3.18</v>
      </c>
      <c r="W219" s="25">
        <v>0.9</v>
      </c>
      <c r="X219" s="22">
        <f t="shared" si="15"/>
        <v>0.712089</v>
      </c>
      <c r="Y219" s="20">
        <f t="shared" si="4"/>
        <v>45.50541505</v>
      </c>
      <c r="Z219" s="20">
        <f t="shared" si="6"/>
        <v>44.28060334</v>
      </c>
      <c r="AA219" s="20"/>
      <c r="AB219" s="20">
        <f>IFERROR(__xludf.DUMMYFUNCTION("iferror(PERCENTRANK.INC(FILTER($X$2:$X$423, $U$2:$U$423&lt;3.75), $X219), 1)"),0.776)</f>
        <v>0.776</v>
      </c>
      <c r="AC219" s="20">
        <f>IFERROR(__xludf.DUMMYFUNCTION("iferror(PERCENTRANK.INC(FILTER($X$2:$X$423, $U$2:$U$423&lt;4.25), $X219), 1)"),0.753)</f>
        <v>0.753</v>
      </c>
      <c r="AD219" s="20">
        <f>IFERROR(__xludf.DUMMYFUNCTION("iferror(PERCENTRANK.INC(FILTER($X$2:$X$423, $U$2:$U$423&gt;=4.1), $X219), 0.01)"),0.051)</f>
        <v>0.051</v>
      </c>
      <c r="AE219" s="20"/>
    </row>
    <row r="220" ht="14.25" customHeight="1">
      <c r="A220" s="17" t="s">
        <v>536</v>
      </c>
      <c r="B220" s="17" t="s">
        <v>537</v>
      </c>
      <c r="C220" s="18">
        <v>0.0</v>
      </c>
      <c r="D220" s="17" t="s">
        <v>98</v>
      </c>
      <c r="E220" s="17" t="s">
        <v>179</v>
      </c>
      <c r="F220" s="18">
        <v>272.0</v>
      </c>
      <c r="G220" s="18">
        <v>216.0</v>
      </c>
      <c r="H220" s="18">
        <v>121.0</v>
      </c>
      <c r="I220" s="19">
        <v>0.56</v>
      </c>
      <c r="J220" s="18">
        <v>1535.0</v>
      </c>
      <c r="K220" s="18">
        <v>7.1</v>
      </c>
      <c r="L220" s="18">
        <v>7.0</v>
      </c>
      <c r="M220" s="18">
        <v>6.0</v>
      </c>
      <c r="N220" s="18">
        <v>25.0</v>
      </c>
      <c r="O220" s="18">
        <v>10.0</v>
      </c>
      <c r="P220" s="20">
        <f t="shared" si="1"/>
        <v>1.736971198</v>
      </c>
      <c r="Q220" s="20">
        <f t="shared" si="2"/>
        <v>1.222711571</v>
      </c>
      <c r="R220" s="24"/>
      <c r="S220" s="20">
        <v>1.7369711982570806</v>
      </c>
      <c r="T220" s="22">
        <v>0.05</v>
      </c>
      <c r="W220" s="25">
        <v>0.9</v>
      </c>
      <c r="X220" s="22">
        <f t="shared" si="15"/>
        <v>0.2550183958</v>
      </c>
      <c r="Y220" s="20">
        <f t="shared" si="4"/>
        <v>39.85370817</v>
      </c>
      <c r="Z220" s="20">
        <f t="shared" si="6"/>
        <v>38.6309966</v>
      </c>
      <c r="AA220" s="20"/>
      <c r="AB220" s="20">
        <f>IFERROR(__xludf.DUMMYFUNCTION("iferror(PERCENTRANK.INC(FILTER($X$2:$X$423, $U$2:$U$423&lt;3.75), $X220), 1)"),0.513)</f>
        <v>0.513</v>
      </c>
      <c r="AC220" s="20">
        <f>IFERROR(__xludf.DUMMYFUNCTION("iferror(PERCENTRANK.INC(FILTER($X$2:$X$423, $U$2:$U$423&lt;4.25), $X220), 1)"),0.498)</f>
        <v>0.498</v>
      </c>
      <c r="AD220" s="20">
        <f>IFERROR(__xludf.DUMMYFUNCTION("iferror(PERCENTRANK.INC(FILTER($X$2:$X$423, $U$2:$U$423&gt;=4.1), $X220), 0.01)"),0.044)</f>
        <v>0.044</v>
      </c>
      <c r="AE220" s="20"/>
    </row>
    <row r="221" ht="14.25" customHeight="1">
      <c r="A221" s="17" t="s">
        <v>538</v>
      </c>
      <c r="B221" s="17" t="s">
        <v>523</v>
      </c>
      <c r="C221" s="18">
        <v>1.0</v>
      </c>
      <c r="D221" s="17" t="s">
        <v>98</v>
      </c>
      <c r="E221" s="17" t="s">
        <v>189</v>
      </c>
      <c r="F221" s="18">
        <v>101.0</v>
      </c>
      <c r="G221" s="18">
        <v>86.0</v>
      </c>
      <c r="H221" s="18">
        <v>44.0</v>
      </c>
      <c r="I221" s="19">
        <v>0.512</v>
      </c>
      <c r="J221" s="18">
        <v>769.0</v>
      </c>
      <c r="K221" s="18">
        <v>8.9</v>
      </c>
      <c r="L221" s="18">
        <v>6.0</v>
      </c>
      <c r="M221" s="18">
        <v>4.0</v>
      </c>
      <c r="N221" s="18">
        <v>7.0</v>
      </c>
      <c r="O221" s="18">
        <v>4.0</v>
      </c>
      <c r="P221" s="20">
        <f t="shared" si="1"/>
        <v>1.678267767</v>
      </c>
      <c r="Q221" s="20">
        <f t="shared" si="2"/>
        <v>1.194874406</v>
      </c>
      <c r="R221" s="24"/>
      <c r="S221" s="20">
        <v>1.6782677669813495</v>
      </c>
      <c r="T221" s="22">
        <v>3.8</v>
      </c>
      <c r="W221" s="25">
        <v>0.9</v>
      </c>
      <c r="X221" s="22">
        <f t="shared" si="15"/>
        <v>0.7965661485</v>
      </c>
      <c r="Y221" s="20">
        <f t="shared" si="4"/>
        <v>46.54998033</v>
      </c>
      <c r="Z221" s="20">
        <f t="shared" si="6"/>
        <v>45.35510592</v>
      </c>
      <c r="AA221" s="20"/>
      <c r="AB221" s="20">
        <f>IFERROR(__xludf.DUMMYFUNCTION("iferror(PERCENTRANK.INC(FILTER($X$2:$X$423, $U$2:$U$423&lt;3.75), $X221), 1)"),0.825)</f>
        <v>0.825</v>
      </c>
      <c r="AC221" s="20">
        <f>IFERROR(__xludf.DUMMYFUNCTION("iferror(PERCENTRANK.INC(FILTER($X$2:$X$423, $U$2:$U$423&lt;4.25), $X221), 1)"),0.8)</f>
        <v>0.8</v>
      </c>
      <c r="AD221" s="20">
        <f>IFERROR(__xludf.DUMMYFUNCTION("iferror(PERCENTRANK.INC(FILTER($X$2:$X$423, $U$2:$U$423&gt;=4.1), $X221), 0.01)"),0.052)</f>
        <v>0.052</v>
      </c>
      <c r="AE221" s="20"/>
    </row>
    <row r="222" ht="14.25" customHeight="1">
      <c r="A222" s="17" t="s">
        <v>539</v>
      </c>
      <c r="B222" s="17" t="s">
        <v>299</v>
      </c>
      <c r="C222" s="18">
        <v>7.0</v>
      </c>
      <c r="D222" s="17" t="s">
        <v>98</v>
      </c>
      <c r="E222" s="17" t="s">
        <v>147</v>
      </c>
      <c r="F222" s="18">
        <v>37.0</v>
      </c>
      <c r="G222" s="18">
        <v>25.0</v>
      </c>
      <c r="H222" s="18">
        <v>14.0</v>
      </c>
      <c r="I222" s="19">
        <v>0.56</v>
      </c>
      <c r="J222" s="18">
        <v>239.0</v>
      </c>
      <c r="K222" s="18">
        <v>9.6</v>
      </c>
      <c r="L222" s="18">
        <v>2.0</v>
      </c>
      <c r="M222" s="18">
        <v>0.0</v>
      </c>
      <c r="N222" s="18">
        <v>3.0</v>
      </c>
      <c r="O222" s="18">
        <v>2.0</v>
      </c>
      <c r="P222" s="20">
        <f t="shared" si="1"/>
        <v>1.634038919</v>
      </c>
      <c r="Q222" s="20">
        <f t="shared" si="2"/>
        <v>1.173901088</v>
      </c>
      <c r="R222" s="24"/>
      <c r="S222" s="20">
        <v>1.634038918918919</v>
      </c>
      <c r="T222" s="22">
        <v>1.46</v>
      </c>
      <c r="W222" s="25">
        <v>0.95</v>
      </c>
      <c r="X222" s="22">
        <f t="shared" si="15"/>
        <v>0.4395952541</v>
      </c>
      <c r="Y222" s="20">
        <f t="shared" si="4"/>
        <v>42.13601268</v>
      </c>
      <c r="Z222" s="20">
        <f t="shared" si="6"/>
        <v>40.96211159</v>
      </c>
      <c r="AA222" s="20"/>
      <c r="AB222" s="20">
        <f>IFERROR(__xludf.DUMMYFUNCTION("iferror(PERCENTRANK.INC(FILTER($X$2:$X$423, $U$2:$U$423&lt;3.75), $X222), 1)"),0.616)</f>
        <v>0.616</v>
      </c>
      <c r="AC222" s="20">
        <f>IFERROR(__xludf.DUMMYFUNCTION("iferror(PERCENTRANK.INC(FILTER($X$2:$X$423, $U$2:$U$423&lt;4.25), $X222), 1)"),0.598)</f>
        <v>0.598</v>
      </c>
      <c r="AD222" s="20">
        <f>IFERROR(__xludf.DUMMYFUNCTION("iferror(PERCENTRANK.INC(FILTER($X$2:$X$423, $U$2:$U$423&gt;=4.1), $X222), 0.01)"),0.047)</f>
        <v>0.047</v>
      </c>
      <c r="AE222" s="20"/>
    </row>
    <row r="223" ht="14.25" customHeight="1">
      <c r="A223" s="17" t="s">
        <v>540</v>
      </c>
      <c r="B223" s="17" t="s">
        <v>541</v>
      </c>
      <c r="C223" s="18">
        <v>1.0</v>
      </c>
      <c r="D223" s="17" t="s">
        <v>98</v>
      </c>
      <c r="E223" s="17" t="s">
        <v>147</v>
      </c>
      <c r="F223" s="18">
        <v>393.0</v>
      </c>
      <c r="G223" s="18">
        <v>289.0</v>
      </c>
      <c r="H223" s="18">
        <v>161.0</v>
      </c>
      <c r="I223" s="19">
        <v>0.557</v>
      </c>
      <c r="J223" s="18">
        <v>1625.0</v>
      </c>
      <c r="K223" s="18">
        <v>5.6</v>
      </c>
      <c r="L223" s="18">
        <v>11.0</v>
      </c>
      <c r="M223" s="18">
        <v>8.0</v>
      </c>
      <c r="N223" s="18">
        <v>53.0</v>
      </c>
      <c r="O223" s="18">
        <v>17.0</v>
      </c>
      <c r="P223" s="20">
        <f t="shared" si="1"/>
        <v>1.625980126</v>
      </c>
      <c r="Q223" s="20">
        <f t="shared" si="2"/>
        <v>1.170079608</v>
      </c>
      <c r="R223" s="24"/>
      <c r="S223" s="20">
        <v>1.6259801255800028</v>
      </c>
      <c r="T223" s="22">
        <v>-1.26</v>
      </c>
      <c r="U223" s="30"/>
      <c r="V223" s="30"/>
      <c r="W223" s="18">
        <v>0.95</v>
      </c>
      <c r="X223" s="22">
        <f t="shared" si="15"/>
        <v>0.03050731695</v>
      </c>
      <c r="Y223" s="20">
        <f t="shared" si="4"/>
        <v>37.0776145</v>
      </c>
      <c r="Z223" s="20">
        <f t="shared" si="6"/>
        <v>35.9075349</v>
      </c>
      <c r="AA223" s="20"/>
      <c r="AB223" s="20">
        <f>IFERROR(__xludf.DUMMYFUNCTION("iferror(PERCENTRANK.INC(FILTER($X$2:$X$423, $U$2:$U$423&lt;3.75), $X223), 1)"),0.304)</f>
        <v>0.304</v>
      </c>
      <c r="AC223" s="20">
        <f>IFERROR(__xludf.DUMMYFUNCTION("iferror(PERCENTRANK.INC(FILTER($X$2:$X$423, $U$2:$U$423&lt;4.25), $X223), 1)"),0.295)</f>
        <v>0.295</v>
      </c>
      <c r="AD223" s="20">
        <f>IFERROR(__xludf.DUMMYFUNCTION("iferror(PERCENTRANK.INC(FILTER($X$2:$X$423, $U$2:$U$423&gt;=4.1), $X223), 0.01)"),0.04)</f>
        <v>0.04</v>
      </c>
      <c r="AE223" s="20"/>
    </row>
    <row r="224" ht="14.25" customHeight="1">
      <c r="A224" s="17" t="s">
        <v>542</v>
      </c>
      <c r="B224" s="17" t="s">
        <v>259</v>
      </c>
      <c r="C224" s="18">
        <v>2.0</v>
      </c>
      <c r="D224" s="17" t="s">
        <v>98</v>
      </c>
      <c r="E224" s="17" t="s">
        <v>243</v>
      </c>
      <c r="F224" s="18">
        <v>177.0</v>
      </c>
      <c r="G224" s="18">
        <v>149.0</v>
      </c>
      <c r="H224" s="18">
        <v>84.0</v>
      </c>
      <c r="I224" s="19">
        <v>0.564</v>
      </c>
      <c r="J224" s="18">
        <v>1029.0</v>
      </c>
      <c r="K224" s="18">
        <v>6.9</v>
      </c>
      <c r="L224" s="18">
        <v>5.0</v>
      </c>
      <c r="M224" s="18">
        <v>3.0</v>
      </c>
      <c r="N224" s="18">
        <v>11.0</v>
      </c>
      <c r="O224" s="18">
        <v>4.0</v>
      </c>
      <c r="P224" s="20">
        <f t="shared" si="1"/>
        <v>1.709524597</v>
      </c>
      <c r="Q224" s="20">
        <f t="shared" si="2"/>
        <v>1.209696393</v>
      </c>
      <c r="R224" s="29"/>
      <c r="S224" s="20">
        <v>1.7095245972775186</v>
      </c>
      <c r="T224" s="22">
        <v>-1.82</v>
      </c>
      <c r="U224" s="31"/>
      <c r="V224" s="30"/>
      <c r="W224" s="18">
        <v>0.9</v>
      </c>
      <c r="X224" s="22">
        <f t="shared" si="15"/>
        <v>-0.01657131041</v>
      </c>
      <c r="Y224" s="20">
        <f t="shared" si="4"/>
        <v>36.4954843</v>
      </c>
      <c r="Z224" s="20">
        <f t="shared" si="6"/>
        <v>35.28578791</v>
      </c>
      <c r="AA224" s="20"/>
      <c r="AB224" s="20">
        <f>IFERROR(__xludf.DUMMYFUNCTION("iferror(PERCENTRANK.INC(FILTER($X$2:$X$423, $U$2:$U$423&lt;3.75), $X224), 1)"),0.24)</f>
        <v>0.24</v>
      </c>
      <c r="AC224" s="20">
        <f>IFERROR(__xludf.DUMMYFUNCTION("iferror(PERCENTRANK.INC(FILTER($X$2:$X$423, $U$2:$U$423&lt;4.25), $X224), 1)"),0.233)</f>
        <v>0.233</v>
      </c>
      <c r="AD224" s="20">
        <f>IFERROR(__xludf.DUMMYFUNCTION("iferror(PERCENTRANK.INC(FILTER($X$2:$X$423, $U$2:$U$423&gt;=4.1), $X224), 0.01)"),0.01)</f>
        <v>0.01</v>
      </c>
      <c r="AE224" s="20"/>
    </row>
    <row r="225" ht="14.25" customHeight="1">
      <c r="A225" s="17" t="s">
        <v>543</v>
      </c>
      <c r="B225" s="17" t="s">
        <v>544</v>
      </c>
      <c r="C225" s="18">
        <v>15.0</v>
      </c>
      <c r="D225" s="17" t="s">
        <v>98</v>
      </c>
      <c r="E225" s="17" t="s">
        <v>158</v>
      </c>
      <c r="F225" s="18">
        <v>115.0</v>
      </c>
      <c r="G225" s="18">
        <v>103.0</v>
      </c>
      <c r="H225" s="18">
        <v>68.0</v>
      </c>
      <c r="I225" s="19">
        <v>0.66</v>
      </c>
      <c r="J225" s="18">
        <v>757.0</v>
      </c>
      <c r="K225" s="18">
        <v>7.3</v>
      </c>
      <c r="L225" s="18">
        <v>4.0</v>
      </c>
      <c r="M225" s="18">
        <v>2.0</v>
      </c>
      <c r="N225" s="18">
        <v>3.0</v>
      </c>
      <c r="O225" s="18">
        <v>3.0</v>
      </c>
      <c r="P225" s="20">
        <f t="shared" si="1"/>
        <v>1.662832073</v>
      </c>
      <c r="Q225" s="20">
        <f t="shared" si="2"/>
        <v>1.1875548</v>
      </c>
      <c r="R225" s="24"/>
      <c r="S225" s="20">
        <v>1.6628320726044745</v>
      </c>
      <c r="T225" s="22">
        <v>7.51</v>
      </c>
      <c r="U225" s="30"/>
      <c r="V225" s="30"/>
      <c r="W225" s="18">
        <v>0.95</v>
      </c>
      <c r="X225" s="22">
        <f t="shared" si="15"/>
        <v>1.35098233</v>
      </c>
      <c r="Y225" s="20">
        <f t="shared" si="4"/>
        <v>53.40537141</v>
      </c>
      <c r="Z225" s="20">
        <f t="shared" si="6"/>
        <v>52.21781661</v>
      </c>
      <c r="AA225" s="20"/>
      <c r="AB225" s="20">
        <f>IFERROR(__xludf.DUMMYFUNCTION("iferror(PERCENTRANK.INC(FILTER($X$2:$X$423, $U$2:$U$423&lt;3.75), $X225), 1)"),0.961)</f>
        <v>0.961</v>
      </c>
      <c r="AC225" s="20">
        <f>IFERROR(__xludf.DUMMYFUNCTION("iferror(PERCENTRANK.INC(FILTER($X$2:$X$423, $U$2:$U$423&lt;4.25), $X225), 1)"),0.933)</f>
        <v>0.933</v>
      </c>
      <c r="AD225" s="20">
        <f>IFERROR(__xludf.DUMMYFUNCTION("iferror(PERCENTRANK.INC(FILTER($X$2:$X$423, $U$2:$U$423&gt;=4.1), $X225), 0.01)"),0.061)</f>
        <v>0.061</v>
      </c>
      <c r="AE225" s="20"/>
    </row>
    <row r="226" ht="14.25" customHeight="1">
      <c r="A226" s="17" t="s">
        <v>545</v>
      </c>
      <c r="B226" s="17" t="s">
        <v>377</v>
      </c>
      <c r="C226" s="18">
        <v>8.0</v>
      </c>
      <c r="D226" s="17" t="s">
        <v>98</v>
      </c>
      <c r="E226" s="17" t="s">
        <v>138</v>
      </c>
      <c r="F226" s="18">
        <v>273.0</v>
      </c>
      <c r="G226" s="18">
        <v>243.0</v>
      </c>
      <c r="H226" s="18">
        <v>138.0</v>
      </c>
      <c r="I226" s="19">
        <v>0.568</v>
      </c>
      <c r="J226" s="18">
        <v>1415.0</v>
      </c>
      <c r="K226" s="18">
        <v>5.8</v>
      </c>
      <c r="L226" s="18">
        <v>8.0</v>
      </c>
      <c r="M226" s="18">
        <v>6.0</v>
      </c>
      <c r="N226" s="18">
        <v>13.0</v>
      </c>
      <c r="O226" s="18">
        <v>12.0</v>
      </c>
      <c r="P226" s="20">
        <f t="shared" si="1"/>
        <v>1.62085078</v>
      </c>
      <c r="Q226" s="20">
        <f t="shared" si="2"/>
        <v>1.167647272</v>
      </c>
      <c r="R226" s="24"/>
      <c r="S226" s="20">
        <v>1.6208507795414462</v>
      </c>
      <c r="T226" s="22">
        <v>1.39</v>
      </c>
      <c r="W226" s="25">
        <v>0.9</v>
      </c>
      <c r="X226" s="22">
        <f t="shared" si="15"/>
        <v>0.4273148552</v>
      </c>
      <c r="Y226" s="20">
        <f t="shared" si="4"/>
        <v>41.98416477</v>
      </c>
      <c r="Z226" s="20">
        <f t="shared" si="6"/>
        <v>40.8165175</v>
      </c>
      <c r="AA226" s="20"/>
      <c r="AB226" s="20">
        <f>IFERROR(__xludf.DUMMYFUNCTION("iferror(PERCENTRANK.INC(FILTER($X$2:$X$423, $U$2:$U$423&lt;3.75), $X226), 1)"),0.611)</f>
        <v>0.611</v>
      </c>
      <c r="AC226" s="20">
        <f>IFERROR(__xludf.DUMMYFUNCTION("iferror(PERCENTRANK.INC(FILTER($X$2:$X$423, $U$2:$U$423&lt;4.25), $X226), 1)"),0.593)</f>
        <v>0.593</v>
      </c>
      <c r="AD226" s="20">
        <f>IFERROR(__xludf.DUMMYFUNCTION("iferror(PERCENTRANK.INC(FILTER($X$2:$X$423, $U$2:$U$423&gt;=4.1), $X226), 0.01)"),0.047)</f>
        <v>0.047</v>
      </c>
      <c r="AE226" s="20"/>
    </row>
    <row r="227" ht="14.25" customHeight="1">
      <c r="A227" s="17" t="s">
        <v>546</v>
      </c>
      <c r="B227" s="17" t="s">
        <v>531</v>
      </c>
      <c r="C227" s="18">
        <v>11.0</v>
      </c>
      <c r="D227" s="17" t="s">
        <v>98</v>
      </c>
      <c r="E227" s="17" t="s">
        <v>114</v>
      </c>
      <c r="F227" s="18">
        <v>267.0</v>
      </c>
      <c r="G227" s="18">
        <v>215.0</v>
      </c>
      <c r="H227" s="18">
        <v>128.0</v>
      </c>
      <c r="I227" s="19">
        <v>0.595</v>
      </c>
      <c r="J227" s="18">
        <v>1463.0</v>
      </c>
      <c r="K227" s="18">
        <v>6.8</v>
      </c>
      <c r="L227" s="18">
        <v>11.0</v>
      </c>
      <c r="M227" s="18">
        <v>8.0</v>
      </c>
      <c r="N227" s="18">
        <v>18.0</v>
      </c>
      <c r="O227" s="18">
        <v>21.0</v>
      </c>
      <c r="P227" s="20">
        <f t="shared" si="1"/>
        <v>1.701009735</v>
      </c>
      <c r="Q227" s="20">
        <f t="shared" si="2"/>
        <v>1.205658646</v>
      </c>
      <c r="R227" s="24"/>
      <c r="S227" s="20">
        <v>1.7010097347792004</v>
      </c>
      <c r="T227" s="22">
        <v>0.16</v>
      </c>
      <c r="U227" s="30"/>
      <c r="V227" s="30"/>
      <c r="W227" s="18">
        <v>0.9</v>
      </c>
      <c r="X227" s="22">
        <f t="shared" si="15"/>
        <v>0.2663938872</v>
      </c>
      <c r="Y227" s="20">
        <f t="shared" si="4"/>
        <v>39.99436684</v>
      </c>
      <c r="Z227" s="20">
        <f t="shared" si="6"/>
        <v>38.78870819</v>
      </c>
      <c r="AA227" s="20"/>
      <c r="AB227" s="20">
        <f>IFERROR(__xludf.DUMMYFUNCTION("iferror(PERCENTRANK.INC(FILTER($X$2:$X$423, $U$2:$U$423&lt;3.75), $X227), 1)"),0.523)</f>
        <v>0.523</v>
      </c>
      <c r="AC227" s="20">
        <f>IFERROR(__xludf.DUMMYFUNCTION("iferror(PERCENTRANK.INC(FILTER($X$2:$X$423, $U$2:$U$423&lt;4.25), $X227), 1)"),0.508)</f>
        <v>0.508</v>
      </c>
      <c r="AD227" s="20">
        <f>IFERROR(__xludf.DUMMYFUNCTION("iferror(PERCENTRANK.INC(FILTER($X$2:$X$423, $U$2:$U$423&gt;=4.1), $X227), 0.01)"),0.044)</f>
        <v>0.044</v>
      </c>
      <c r="AE227" s="20"/>
    </row>
    <row r="228" ht="14.25" customHeight="1">
      <c r="A228" s="17" t="s">
        <v>547</v>
      </c>
      <c r="B228" s="17" t="s">
        <v>548</v>
      </c>
      <c r="C228" s="18">
        <v>2.0</v>
      </c>
      <c r="D228" s="17" t="s">
        <v>98</v>
      </c>
      <c r="E228" s="17" t="s">
        <v>121</v>
      </c>
      <c r="F228" s="18">
        <v>309.0</v>
      </c>
      <c r="G228" s="18">
        <v>270.0</v>
      </c>
      <c r="H228" s="18">
        <v>179.0</v>
      </c>
      <c r="I228" s="19">
        <v>0.663</v>
      </c>
      <c r="J228" s="18">
        <v>1692.0</v>
      </c>
      <c r="K228" s="18">
        <v>6.3</v>
      </c>
      <c r="L228" s="18">
        <v>6.0</v>
      </c>
      <c r="M228" s="18">
        <v>6.0</v>
      </c>
      <c r="N228" s="18">
        <v>27.0</v>
      </c>
      <c r="O228" s="18">
        <v>9.0</v>
      </c>
      <c r="P228" s="20">
        <f t="shared" si="1"/>
        <v>1.646195693</v>
      </c>
      <c r="Q228" s="20">
        <f t="shared" si="2"/>
        <v>1.179665829</v>
      </c>
      <c r="R228" s="24"/>
      <c r="S228" s="20">
        <v>1.6461956925566346</v>
      </c>
      <c r="T228" s="22">
        <v>-0.92</v>
      </c>
      <c r="U228" s="30"/>
      <c r="V228" s="30"/>
      <c r="W228" s="18">
        <v>0.9</v>
      </c>
      <c r="X228" s="22">
        <f t="shared" si="15"/>
        <v>0.0842364185</v>
      </c>
      <c r="Y228" s="20">
        <f t="shared" si="4"/>
        <v>37.74197824</v>
      </c>
      <c r="Z228" s="20">
        <f t="shared" si="6"/>
        <v>36.56231241</v>
      </c>
      <c r="AA228" s="20"/>
      <c r="AB228" s="20">
        <f>IFERROR(__xludf.DUMMYFUNCTION("iferror(PERCENTRANK.INC(FILTER($X$2:$X$423, $U$2:$U$423&lt;3.75), $X228), 1)"),0.353)</f>
        <v>0.353</v>
      </c>
      <c r="AC228" s="20">
        <f>IFERROR(__xludf.DUMMYFUNCTION("iferror(PERCENTRANK.INC(FILTER($X$2:$X$423, $U$2:$U$423&lt;4.25), $X228), 1)"),0.343)</f>
        <v>0.343</v>
      </c>
      <c r="AD228" s="20">
        <f>IFERROR(__xludf.DUMMYFUNCTION("iferror(PERCENTRANK.INC(FILTER($X$2:$X$423, $U$2:$U$423&gt;=4.1), $X228), 0.01)"),0.041)</f>
        <v>0.041</v>
      </c>
      <c r="AE228" s="20"/>
    </row>
    <row r="229" ht="14.25" customHeight="1">
      <c r="A229" s="17" t="s">
        <v>549</v>
      </c>
      <c r="B229" s="17" t="s">
        <v>457</v>
      </c>
      <c r="C229" s="18">
        <v>17.0</v>
      </c>
      <c r="D229" s="17" t="s">
        <v>98</v>
      </c>
      <c r="E229" s="17" t="s">
        <v>108</v>
      </c>
      <c r="F229" s="18">
        <v>181.0</v>
      </c>
      <c r="G229" s="18">
        <v>153.0</v>
      </c>
      <c r="H229" s="18">
        <v>100.0</v>
      </c>
      <c r="I229" s="19">
        <v>0.654</v>
      </c>
      <c r="J229" s="18">
        <v>1079.0</v>
      </c>
      <c r="K229" s="18">
        <v>7.0</v>
      </c>
      <c r="L229" s="18">
        <v>6.0</v>
      </c>
      <c r="M229" s="18">
        <v>4.0</v>
      </c>
      <c r="N229" s="18">
        <v>12.0</v>
      </c>
      <c r="O229" s="18">
        <v>5.0</v>
      </c>
      <c r="P229" s="20">
        <f t="shared" si="1"/>
        <v>1.675335867</v>
      </c>
      <c r="Q229" s="20">
        <f t="shared" si="2"/>
        <v>1.193484099</v>
      </c>
      <c r="R229" s="24"/>
      <c r="S229" s="20">
        <v>1.6753358666088907</v>
      </c>
      <c r="T229" s="22">
        <v>-2.87</v>
      </c>
      <c r="W229" s="25">
        <v>1.0</v>
      </c>
      <c r="X229" s="22">
        <f t="shared" si="15"/>
        <v>-0.17919962</v>
      </c>
      <c r="Y229" s="20">
        <f t="shared" si="4"/>
        <v>34.48457499</v>
      </c>
      <c r="Z229" s="20">
        <f t="shared" si="6"/>
        <v>33.29109089</v>
      </c>
      <c r="AA229" s="20"/>
      <c r="AB229" s="20">
        <f>IFERROR(__xludf.DUMMYFUNCTION("iferror(PERCENTRANK.INC(FILTER($X$2:$X$423, $U$2:$U$423&lt;3.75), $X229), 1)"),0.124)</f>
        <v>0.124</v>
      </c>
      <c r="AC229" s="20">
        <f>IFERROR(__xludf.DUMMYFUNCTION("iferror(PERCENTRANK.INC(FILTER($X$2:$X$423, $U$2:$U$423&lt;4.25), $X229), 1)"),0.12)</f>
        <v>0.12</v>
      </c>
      <c r="AD229" s="20">
        <f>IFERROR(__xludf.DUMMYFUNCTION("iferror(PERCENTRANK.INC(FILTER($X$2:$X$423, $U$2:$U$423&gt;=4.1), $X229), 0.01)"),0.01)</f>
        <v>0.01</v>
      </c>
      <c r="AE229" s="20"/>
    </row>
    <row r="230" ht="14.25" customHeight="1">
      <c r="A230" s="17" t="s">
        <v>550</v>
      </c>
      <c r="B230" s="17" t="s">
        <v>551</v>
      </c>
      <c r="C230" s="18">
        <v>2.0</v>
      </c>
      <c r="D230" s="17" t="s">
        <v>98</v>
      </c>
      <c r="E230" s="17" t="s">
        <v>179</v>
      </c>
      <c r="F230" s="18">
        <v>234.0</v>
      </c>
      <c r="G230" s="18">
        <v>195.0</v>
      </c>
      <c r="H230" s="18">
        <v>117.0</v>
      </c>
      <c r="I230" s="19">
        <v>0.6</v>
      </c>
      <c r="J230" s="18">
        <v>1267.0</v>
      </c>
      <c r="K230" s="18">
        <v>6.5</v>
      </c>
      <c r="L230" s="18">
        <v>7.0</v>
      </c>
      <c r="M230" s="18">
        <v>5.0</v>
      </c>
      <c r="N230" s="18">
        <v>15.0</v>
      </c>
      <c r="O230" s="18">
        <v>13.0</v>
      </c>
      <c r="P230" s="20">
        <f t="shared" si="1"/>
        <v>1.650364103</v>
      </c>
      <c r="Q230" s="20">
        <f t="shared" si="2"/>
        <v>1.181642489</v>
      </c>
      <c r="R230" s="24"/>
      <c r="S230" s="20">
        <v>1.6503641025641027</v>
      </c>
      <c r="T230" s="22">
        <v>-0.78</v>
      </c>
      <c r="U230" s="30"/>
      <c r="V230" s="30"/>
      <c r="W230" s="18">
        <v>0.9</v>
      </c>
      <c r="X230" s="22">
        <f t="shared" si="15"/>
        <v>0.1181768846</v>
      </c>
      <c r="Y230" s="20">
        <f t="shared" si="4"/>
        <v>38.16165424</v>
      </c>
      <c r="Z230" s="20">
        <f t="shared" si="6"/>
        <v>36.98001175</v>
      </c>
      <c r="AA230" s="20"/>
      <c r="AB230" s="20">
        <f>IFERROR(__xludf.DUMMYFUNCTION("iferror(PERCENTRANK.INC(FILTER($X$2:$X$423, $U$2:$U$423&lt;3.75), $X230), 1)"),0.389)</f>
        <v>0.389</v>
      </c>
      <c r="AC230" s="20">
        <f>IFERROR(__xludf.DUMMYFUNCTION("iferror(PERCENTRANK.INC(FILTER($X$2:$X$423, $U$2:$U$423&lt;4.25), $X230), 1)"),0.378)</f>
        <v>0.378</v>
      </c>
      <c r="AD230" s="20">
        <f>IFERROR(__xludf.DUMMYFUNCTION("iferror(PERCENTRANK.INC(FILTER($X$2:$X$423, $U$2:$U$423&gt;=4.1), $X230), 0.01)"),0.042)</f>
        <v>0.042</v>
      </c>
      <c r="AE230" s="20"/>
    </row>
    <row r="231" ht="14.25" customHeight="1">
      <c r="A231" s="17" t="s">
        <v>552</v>
      </c>
      <c r="B231" s="17" t="s">
        <v>553</v>
      </c>
      <c r="C231" s="18">
        <v>13.0</v>
      </c>
      <c r="D231" s="17" t="s">
        <v>98</v>
      </c>
      <c r="E231" s="17" t="s">
        <v>243</v>
      </c>
      <c r="F231" s="18">
        <v>93.0</v>
      </c>
      <c r="G231" s="18">
        <v>73.0</v>
      </c>
      <c r="H231" s="18">
        <v>45.0</v>
      </c>
      <c r="I231" s="19">
        <v>0.616</v>
      </c>
      <c r="J231" s="18">
        <v>705.0</v>
      </c>
      <c r="K231" s="18">
        <v>9.7</v>
      </c>
      <c r="L231" s="18">
        <v>3.0</v>
      </c>
      <c r="M231" s="18">
        <v>3.0</v>
      </c>
      <c r="N231" s="18">
        <v>9.0</v>
      </c>
      <c r="O231" s="18">
        <v>2.0</v>
      </c>
      <c r="P231" s="20">
        <f t="shared" si="1"/>
        <v>1.567619998</v>
      </c>
      <c r="Q231" s="20">
        <f t="shared" si="2"/>
        <v>1.142405238</v>
      </c>
      <c r="R231" s="24"/>
      <c r="S231" s="20">
        <v>1.5676199982324346</v>
      </c>
      <c r="T231" s="22">
        <v>2.2</v>
      </c>
      <c r="U231" s="30"/>
      <c r="V231" s="30"/>
      <c r="W231" s="18">
        <v>0.9</v>
      </c>
      <c r="X231" s="22">
        <f t="shared" si="15"/>
        <v>0.5416286998</v>
      </c>
      <c r="Y231" s="20">
        <f t="shared" si="4"/>
        <v>43.39766267</v>
      </c>
      <c r="Z231" s="20">
        <f t="shared" si="6"/>
        <v>42.25525744</v>
      </c>
      <c r="AA231" s="20"/>
      <c r="AB231" s="20">
        <f>IFERROR(__xludf.DUMMYFUNCTION("iferror(PERCENTRANK.INC(FILTER($X$2:$X$423, $U$2:$U$423&lt;3.75), $X231), 1)"),0.683)</f>
        <v>0.683</v>
      </c>
      <c r="AC231" s="20">
        <f>IFERROR(__xludf.DUMMYFUNCTION("iferror(PERCENTRANK.INC(FILTER($X$2:$X$423, $U$2:$U$423&lt;4.25), $X231), 1)"),0.663)</f>
        <v>0.663</v>
      </c>
      <c r="AD231" s="20">
        <f>IFERROR(__xludf.DUMMYFUNCTION("iferror(PERCENTRANK.INC(FILTER($X$2:$X$423, $U$2:$U$423&gt;=4.1), $X231), 0.01)"),0.048)</f>
        <v>0.048</v>
      </c>
      <c r="AE231" s="20"/>
    </row>
    <row r="232" ht="14.25" customHeight="1">
      <c r="A232" s="17" t="s">
        <v>554</v>
      </c>
      <c r="B232" s="17" t="s">
        <v>555</v>
      </c>
      <c r="C232" s="18">
        <v>10.0</v>
      </c>
      <c r="D232" s="17" t="s">
        <v>98</v>
      </c>
      <c r="E232" s="17" t="s">
        <v>117</v>
      </c>
      <c r="F232" s="18">
        <v>99.0</v>
      </c>
      <c r="G232" s="18">
        <v>86.0</v>
      </c>
      <c r="H232" s="18">
        <v>42.0</v>
      </c>
      <c r="I232" s="19">
        <v>0.488</v>
      </c>
      <c r="J232" s="18">
        <v>515.0</v>
      </c>
      <c r="K232" s="18">
        <v>6.0</v>
      </c>
      <c r="L232" s="18">
        <v>7.0</v>
      </c>
      <c r="M232" s="18">
        <v>2.0</v>
      </c>
      <c r="N232" s="18">
        <v>4.0</v>
      </c>
      <c r="O232" s="18">
        <v>3.0</v>
      </c>
      <c r="P232" s="20">
        <f t="shared" si="1"/>
        <v>1.627104983</v>
      </c>
      <c r="Q232" s="20">
        <f t="shared" si="2"/>
        <v>1.170613015</v>
      </c>
      <c r="R232" s="24"/>
      <c r="S232" s="20">
        <v>1.6271049828517739</v>
      </c>
      <c r="T232" s="22">
        <v>-0.39</v>
      </c>
      <c r="U232" s="30"/>
      <c r="V232" s="30"/>
      <c r="W232" s="18">
        <v>0.95</v>
      </c>
      <c r="X232" s="22">
        <f t="shared" si="15"/>
        <v>0.1855657474</v>
      </c>
      <c r="Y232" s="20">
        <f t="shared" si="4"/>
        <v>38.99492179</v>
      </c>
      <c r="Z232" s="20">
        <f t="shared" si="6"/>
        <v>37.82430877</v>
      </c>
      <c r="AA232" s="20"/>
      <c r="AB232" s="20">
        <f>IFERROR(__xludf.DUMMYFUNCTION("iferror(PERCENTRANK.INC(FILTER($X$2:$X$423, $U$2:$U$423&lt;3.75), $X232), 1)"),0.461)</f>
        <v>0.461</v>
      </c>
      <c r="AC232" s="20">
        <f>IFERROR(__xludf.DUMMYFUNCTION("iferror(PERCENTRANK.INC(FILTER($X$2:$X$423, $U$2:$U$423&lt;4.25), $X232), 1)"),0.448)</f>
        <v>0.448</v>
      </c>
      <c r="AD232" s="20">
        <f>IFERROR(__xludf.DUMMYFUNCTION("iferror(PERCENTRANK.INC(FILTER($X$2:$X$423, $U$2:$U$423&gt;=4.1), $X232), 0.01)"),0.043)</f>
        <v>0.043</v>
      </c>
      <c r="AE232" s="20"/>
    </row>
    <row r="233" ht="14.25" customHeight="1">
      <c r="A233" s="17" t="s">
        <v>556</v>
      </c>
      <c r="B233" s="17" t="s">
        <v>392</v>
      </c>
      <c r="C233" s="18">
        <v>11.0</v>
      </c>
      <c r="D233" s="17" t="s">
        <v>98</v>
      </c>
      <c r="E233" s="17" t="s">
        <v>121</v>
      </c>
      <c r="F233" s="18">
        <v>227.0</v>
      </c>
      <c r="G233" s="18">
        <v>202.0</v>
      </c>
      <c r="H233" s="18">
        <v>130.0</v>
      </c>
      <c r="I233" s="19">
        <v>0.644</v>
      </c>
      <c r="J233" s="18">
        <v>1380.0</v>
      </c>
      <c r="K233" s="18">
        <v>6.8</v>
      </c>
      <c r="L233" s="18">
        <v>7.0</v>
      </c>
      <c r="M233" s="18">
        <v>6.0</v>
      </c>
      <c r="N233" s="18">
        <v>14.0</v>
      </c>
      <c r="O233" s="18">
        <v>3.0</v>
      </c>
      <c r="P233" s="20">
        <f t="shared" si="1"/>
        <v>1.626952803</v>
      </c>
      <c r="Q233" s="20">
        <f t="shared" si="2"/>
        <v>1.170540852</v>
      </c>
      <c r="R233" s="29"/>
      <c r="S233" s="20">
        <v>1.6269528030706153</v>
      </c>
      <c r="T233" s="22">
        <v>-0.71</v>
      </c>
      <c r="U233" s="31"/>
      <c r="V233" s="30"/>
      <c r="W233" s="18">
        <v>0.9</v>
      </c>
      <c r="X233" s="22">
        <f t="shared" si="15"/>
        <v>0.1253407744</v>
      </c>
      <c r="Y233" s="20">
        <f t="shared" si="4"/>
        <v>38.25023619</v>
      </c>
      <c r="Z233" s="20">
        <f t="shared" si="6"/>
        <v>37.07969534</v>
      </c>
      <c r="AA233" s="20"/>
      <c r="AB233" s="20">
        <f>IFERROR(__xludf.DUMMYFUNCTION("iferror(PERCENTRANK.INC(FILTER($X$2:$X$423, $U$2:$U$423&lt;3.75), $X233), 1)"),0.402)</f>
        <v>0.402</v>
      </c>
      <c r="AC233" s="20">
        <f>IFERROR(__xludf.DUMMYFUNCTION("iferror(PERCENTRANK.INC(FILTER($X$2:$X$423, $U$2:$U$423&lt;4.25), $X233), 1)"),0.39)</f>
        <v>0.39</v>
      </c>
      <c r="AD233" s="20">
        <f>IFERROR(__xludf.DUMMYFUNCTION("iferror(PERCENTRANK.INC(FILTER($X$2:$X$423, $U$2:$U$423&gt;=4.1), $X233), 0.01)"),0.042)</f>
        <v>0.042</v>
      </c>
      <c r="AE233" s="20"/>
    </row>
    <row r="234" ht="14.25" customHeight="1">
      <c r="A234" s="17" t="s">
        <v>557</v>
      </c>
      <c r="B234" s="17" t="s">
        <v>558</v>
      </c>
      <c r="C234" s="18">
        <v>15.0</v>
      </c>
      <c r="D234" s="17" t="s">
        <v>98</v>
      </c>
      <c r="E234" s="17" t="s">
        <v>99</v>
      </c>
      <c r="F234" s="18">
        <v>196.0</v>
      </c>
      <c r="G234" s="18">
        <v>175.0</v>
      </c>
      <c r="H234" s="18">
        <v>101.0</v>
      </c>
      <c r="I234" s="19">
        <v>0.577</v>
      </c>
      <c r="J234" s="18">
        <v>1276.0</v>
      </c>
      <c r="K234" s="18">
        <v>7.3</v>
      </c>
      <c r="L234" s="18">
        <v>7.0</v>
      </c>
      <c r="M234" s="18">
        <v>6.0</v>
      </c>
      <c r="N234" s="18">
        <v>16.0</v>
      </c>
      <c r="O234" s="18">
        <v>7.0</v>
      </c>
      <c r="P234" s="20">
        <f t="shared" si="1"/>
        <v>1.573206347</v>
      </c>
      <c r="Q234" s="20">
        <f t="shared" si="2"/>
        <v>1.145054284</v>
      </c>
      <c r="R234" s="24"/>
      <c r="S234" s="20">
        <v>1.5732063469387756</v>
      </c>
      <c r="T234" s="22">
        <v>-1.56</v>
      </c>
      <c r="W234" s="25">
        <v>1.0</v>
      </c>
      <c r="X234" s="22">
        <f t="shared" si="15"/>
        <v>-0.009818095561</v>
      </c>
      <c r="Y234" s="20">
        <f t="shared" si="4"/>
        <v>36.57898823</v>
      </c>
      <c r="Z234" s="20">
        <f t="shared" si="6"/>
        <v>35.43393395</v>
      </c>
      <c r="AA234" s="20"/>
      <c r="AB234" s="20">
        <f>IFERROR(__xludf.DUMMYFUNCTION("iferror(PERCENTRANK.INC(FILTER($X$2:$X$423, $U$2:$U$423&lt;3.75), $X234), 1)"),0.245)</f>
        <v>0.245</v>
      </c>
      <c r="AC234" s="20">
        <f>IFERROR(__xludf.DUMMYFUNCTION("iferror(PERCENTRANK.INC(FILTER($X$2:$X$423, $U$2:$U$423&lt;4.25), $X234), 1)"),0.238)</f>
        <v>0.238</v>
      </c>
      <c r="AD234" s="20">
        <f>IFERROR(__xludf.DUMMYFUNCTION("iferror(PERCENTRANK.INC(FILTER($X$2:$X$423, $U$2:$U$423&gt;=4.1), $X234), 0.01)"),0.01)</f>
        <v>0.01</v>
      </c>
      <c r="AE234" s="20"/>
    </row>
    <row r="235" ht="14.25" customHeight="1">
      <c r="A235" s="17" t="s">
        <v>559</v>
      </c>
      <c r="B235" s="17" t="s">
        <v>143</v>
      </c>
      <c r="C235" s="18">
        <v>5.0</v>
      </c>
      <c r="D235" s="17" t="s">
        <v>98</v>
      </c>
      <c r="E235" s="17" t="s">
        <v>144</v>
      </c>
      <c r="F235" s="18">
        <v>147.0</v>
      </c>
      <c r="G235" s="18">
        <v>131.0</v>
      </c>
      <c r="H235" s="18">
        <v>69.0</v>
      </c>
      <c r="I235" s="19">
        <v>0.527</v>
      </c>
      <c r="J235" s="18">
        <v>797.0</v>
      </c>
      <c r="K235" s="18">
        <v>6.1</v>
      </c>
      <c r="L235" s="18">
        <v>6.0</v>
      </c>
      <c r="M235" s="18">
        <v>3.0</v>
      </c>
      <c r="N235" s="18">
        <v>4.0</v>
      </c>
      <c r="O235" s="18">
        <v>7.0</v>
      </c>
      <c r="P235" s="20">
        <f t="shared" si="1"/>
        <v>1.545330024</v>
      </c>
      <c r="Q235" s="20">
        <f t="shared" si="2"/>
        <v>1.131835333</v>
      </c>
      <c r="R235" s="29"/>
      <c r="S235" s="20">
        <v>1.5453300240432046</v>
      </c>
      <c r="T235" s="22">
        <v>0.81</v>
      </c>
      <c r="U235" s="31"/>
      <c r="V235" s="30"/>
      <c r="W235" s="18">
        <v>0.95</v>
      </c>
      <c r="X235" s="22">
        <f t="shared" si="15"/>
        <v>0.3301195532</v>
      </c>
      <c r="Y235" s="20">
        <f t="shared" si="4"/>
        <v>40.78233872</v>
      </c>
      <c r="Z235" s="20">
        <f t="shared" si="6"/>
        <v>39.65050339</v>
      </c>
      <c r="AA235" s="20"/>
      <c r="AB235" s="20">
        <f>IFERROR(__xludf.DUMMYFUNCTION("iferror(PERCENTRANK.INC(FILTER($X$2:$X$423, $U$2:$U$423&lt;3.75), $X235), 1)"),0.557)</f>
        <v>0.557</v>
      </c>
      <c r="AC235" s="20">
        <f>IFERROR(__xludf.DUMMYFUNCTION("iferror(PERCENTRANK.INC(FILTER($X$2:$X$423, $U$2:$U$423&lt;4.25), $X235), 1)"),0.54)</f>
        <v>0.54</v>
      </c>
      <c r="AD235" s="20">
        <f>IFERROR(__xludf.DUMMYFUNCTION("iferror(PERCENTRANK.INC(FILTER($X$2:$X$423, $U$2:$U$423&gt;=4.1), $X235), 0.01)"),0.045)</f>
        <v>0.045</v>
      </c>
      <c r="AE235" s="20"/>
    </row>
    <row r="236" ht="14.25" customHeight="1">
      <c r="A236" s="17" t="s">
        <v>560</v>
      </c>
      <c r="B236" s="17" t="s">
        <v>297</v>
      </c>
      <c r="C236" s="18">
        <v>12.0</v>
      </c>
      <c r="D236" s="17" t="s">
        <v>98</v>
      </c>
      <c r="E236" s="17" t="s">
        <v>114</v>
      </c>
      <c r="F236" s="18">
        <v>103.0</v>
      </c>
      <c r="G236" s="18">
        <v>89.0</v>
      </c>
      <c r="H236" s="18">
        <v>53.0</v>
      </c>
      <c r="I236" s="19">
        <v>0.596</v>
      </c>
      <c r="J236" s="18">
        <v>544.0</v>
      </c>
      <c r="K236" s="18">
        <v>6.1</v>
      </c>
      <c r="L236" s="18">
        <v>6.0</v>
      </c>
      <c r="M236" s="18">
        <v>2.0</v>
      </c>
      <c r="N236" s="18">
        <v>2.0</v>
      </c>
      <c r="O236" s="18">
        <v>6.0</v>
      </c>
      <c r="P236" s="20">
        <f t="shared" si="1"/>
        <v>1.54002194</v>
      </c>
      <c r="Q236" s="20">
        <f t="shared" si="2"/>
        <v>1.12931824</v>
      </c>
      <c r="R236" s="24"/>
      <c r="S236" s="20">
        <v>1.5400219400021817</v>
      </c>
      <c r="T236" s="22">
        <v>-0.91</v>
      </c>
      <c r="W236" s="25">
        <v>0.9</v>
      </c>
      <c r="X236" s="22">
        <f t="shared" si="15"/>
        <v>0.0714029619</v>
      </c>
      <c r="Y236" s="20">
        <f t="shared" si="4"/>
        <v>37.58329174</v>
      </c>
      <c r="Z236" s="20">
        <f t="shared" si="6"/>
        <v>36.4539735</v>
      </c>
      <c r="AA236" s="20"/>
      <c r="AB236" s="20">
        <f>IFERROR(__xludf.DUMMYFUNCTION("iferror(PERCENTRANK.INC(FILTER($X$2:$X$423, $U$2:$U$423&lt;3.75), $X236), 1)"),0.34)</f>
        <v>0.34</v>
      </c>
      <c r="AC236" s="20">
        <f>IFERROR(__xludf.DUMMYFUNCTION("iferror(PERCENTRANK.INC(FILTER($X$2:$X$423, $U$2:$U$423&lt;4.25), $X236), 1)"),0.33)</f>
        <v>0.33</v>
      </c>
      <c r="AD236" s="20">
        <f>IFERROR(__xludf.DUMMYFUNCTION("iferror(PERCENTRANK.INC(FILTER($X$2:$X$423, $U$2:$U$423&gt;=4.1), $X236), 0.01)"),0.041)</f>
        <v>0.041</v>
      </c>
      <c r="AE236" s="20"/>
    </row>
    <row r="237" ht="14.25" customHeight="1">
      <c r="A237" s="17" t="s">
        <v>561</v>
      </c>
      <c r="B237" s="17" t="s">
        <v>562</v>
      </c>
      <c r="C237" s="18">
        <v>5.0</v>
      </c>
      <c r="D237" s="17" t="s">
        <v>98</v>
      </c>
      <c r="E237" s="17" t="s">
        <v>135</v>
      </c>
      <c r="F237" s="18">
        <v>97.0</v>
      </c>
      <c r="G237" s="18">
        <v>89.0</v>
      </c>
      <c r="H237" s="18">
        <v>43.0</v>
      </c>
      <c r="I237" s="19">
        <v>0.483</v>
      </c>
      <c r="J237" s="18">
        <v>623.0</v>
      </c>
      <c r="K237" s="18">
        <v>7.0</v>
      </c>
      <c r="L237" s="18">
        <v>6.0</v>
      </c>
      <c r="M237" s="18">
        <v>3.0</v>
      </c>
      <c r="N237" s="18">
        <v>4.0</v>
      </c>
      <c r="O237" s="18">
        <v>5.0</v>
      </c>
      <c r="P237" s="20">
        <f t="shared" si="1"/>
        <v>1.515600066</v>
      </c>
      <c r="Q237" s="20">
        <f t="shared" si="2"/>
        <v>1.117737388</v>
      </c>
      <c r="R237" s="24"/>
      <c r="S237" s="20">
        <v>1.515600066373219</v>
      </c>
      <c r="T237" s="22">
        <v>1.79</v>
      </c>
      <c r="W237" s="25">
        <v>1.0</v>
      </c>
      <c r="X237" s="22">
        <f t="shared" si="15"/>
        <v>0.4844730095</v>
      </c>
      <c r="Y237" s="20">
        <f t="shared" si="4"/>
        <v>42.69092896</v>
      </c>
      <c r="Z237" s="20">
        <f t="shared" si="6"/>
        <v>41.57319157</v>
      </c>
      <c r="AA237" s="20"/>
      <c r="AB237" s="20">
        <f>IFERROR(__xludf.DUMMYFUNCTION("iferror(PERCENTRANK.INC(FILTER($X$2:$X$423, $U$2:$U$423&lt;3.75), $X237), 1)"),0.642)</f>
        <v>0.642</v>
      </c>
      <c r="AC237" s="20">
        <f>IFERROR(__xludf.DUMMYFUNCTION("iferror(PERCENTRANK.INC(FILTER($X$2:$X$423, $U$2:$U$423&lt;4.25), $X237), 1)"),0.623)</f>
        <v>0.623</v>
      </c>
      <c r="AD237" s="20">
        <f>IFERROR(__xludf.DUMMYFUNCTION("iferror(PERCENTRANK.INC(FILTER($X$2:$X$423, $U$2:$U$423&gt;=4.1), $X237), 0.01)"),0.048)</f>
        <v>0.048</v>
      </c>
      <c r="AE237" s="20"/>
    </row>
    <row r="238" ht="14.25" customHeight="1">
      <c r="A238" s="17" t="s">
        <v>563</v>
      </c>
      <c r="B238" s="17" t="s">
        <v>431</v>
      </c>
      <c r="C238" s="18">
        <v>16.0</v>
      </c>
      <c r="D238" s="17" t="s">
        <v>98</v>
      </c>
      <c r="E238" s="17" t="s">
        <v>144</v>
      </c>
      <c r="F238" s="18">
        <v>161.0</v>
      </c>
      <c r="G238" s="18">
        <v>137.0</v>
      </c>
      <c r="H238" s="18">
        <v>80.0</v>
      </c>
      <c r="I238" s="19">
        <v>0.584</v>
      </c>
      <c r="J238" s="18">
        <v>936.0</v>
      </c>
      <c r="K238" s="18">
        <v>6.8</v>
      </c>
      <c r="L238" s="18">
        <v>9.0</v>
      </c>
      <c r="M238" s="18">
        <v>6.0</v>
      </c>
      <c r="N238" s="18">
        <v>7.0</v>
      </c>
      <c r="O238" s="18">
        <v>5.0</v>
      </c>
      <c r="P238" s="20">
        <f t="shared" si="1"/>
        <v>1.512212659</v>
      </c>
      <c r="Q238" s="20">
        <f t="shared" si="2"/>
        <v>1.11613108</v>
      </c>
      <c r="R238" s="24"/>
      <c r="S238" s="20">
        <v>1.5122126588384637</v>
      </c>
      <c r="T238" s="22">
        <v>-1.63</v>
      </c>
      <c r="U238" s="30"/>
      <c r="V238" s="30"/>
      <c r="W238" s="18">
        <v>0.95</v>
      </c>
      <c r="X238" s="22">
        <f t="shared" ref="X238:X243" si="16">IFERROR((U238*0.7+T238*0.15+S238*0.15*W244),0)</f>
        <v>-0.01766810117</v>
      </c>
      <c r="Y238" s="20">
        <f t="shared" si="4"/>
        <v>36.48192242</v>
      </c>
      <c r="Z238" s="20">
        <f t="shared" si="6"/>
        <v>35.36579134</v>
      </c>
      <c r="AA238" s="20"/>
      <c r="AB238" s="20">
        <f>IFERROR(__xludf.DUMMYFUNCTION("iferror(PERCENTRANK.INC(FILTER($X$2:$X$423, $U$2:$U$423&lt;3.75), $X238), 1)"),0.235)</f>
        <v>0.235</v>
      </c>
      <c r="AC238" s="20">
        <f>IFERROR(__xludf.DUMMYFUNCTION("iferror(PERCENTRANK.INC(FILTER($X$2:$X$423, $U$2:$U$423&lt;4.25), $X238), 1)"),0.228)</f>
        <v>0.228</v>
      </c>
      <c r="AD238" s="20">
        <f>IFERROR(__xludf.DUMMYFUNCTION("iferror(PERCENTRANK.INC(FILTER($X$2:$X$423, $U$2:$U$423&gt;=4.1), $X238), 0.01)"),0.01)</f>
        <v>0.01</v>
      </c>
      <c r="AE238" s="20"/>
    </row>
    <row r="239" ht="14.25" customHeight="1">
      <c r="A239" s="17" t="s">
        <v>564</v>
      </c>
      <c r="B239" s="17" t="s">
        <v>565</v>
      </c>
      <c r="C239" s="18">
        <v>6.0</v>
      </c>
      <c r="D239" s="17" t="s">
        <v>98</v>
      </c>
      <c r="E239" s="17" t="s">
        <v>506</v>
      </c>
      <c r="F239" s="18">
        <v>305.0</v>
      </c>
      <c r="G239" s="18">
        <v>290.0</v>
      </c>
      <c r="H239" s="18">
        <v>164.0</v>
      </c>
      <c r="I239" s="19">
        <v>0.565</v>
      </c>
      <c r="J239" s="18">
        <v>1820.0</v>
      </c>
      <c r="K239" s="18">
        <v>6.3</v>
      </c>
      <c r="L239" s="18">
        <v>9.0</v>
      </c>
      <c r="M239" s="18">
        <v>9.0</v>
      </c>
      <c r="N239" s="18">
        <v>12.0</v>
      </c>
      <c r="O239" s="18">
        <v>12.0</v>
      </c>
      <c r="P239" s="20">
        <f t="shared" si="1"/>
        <v>1.549507289</v>
      </c>
      <c r="Q239" s="20">
        <f t="shared" si="2"/>
        <v>1.133816192</v>
      </c>
      <c r="R239" s="24"/>
      <c r="S239" s="20">
        <v>1.549507289429056</v>
      </c>
      <c r="T239" s="22">
        <v>1.02</v>
      </c>
      <c r="U239" s="30"/>
      <c r="V239" s="30"/>
      <c r="W239" s="18">
        <v>0.95</v>
      </c>
      <c r="X239" s="22">
        <f t="shared" si="16"/>
        <v>0.3621834841</v>
      </c>
      <c r="Y239" s="20">
        <f t="shared" si="4"/>
        <v>41.17881125</v>
      </c>
      <c r="Z239" s="20">
        <f t="shared" si="6"/>
        <v>40.04499506</v>
      </c>
      <c r="AA239" s="20"/>
      <c r="AB239" s="20">
        <f>IFERROR(__xludf.DUMMYFUNCTION("iferror(PERCENTRANK.INC(FILTER($X$2:$X$423, $U$2:$U$423&lt;3.75), $X239), 1)"),0.58)</f>
        <v>0.58</v>
      </c>
      <c r="AC239" s="20">
        <f>IFERROR(__xludf.DUMMYFUNCTION("iferror(PERCENTRANK.INC(FILTER($X$2:$X$423, $U$2:$U$423&lt;4.25), $X239), 1)"),0.563)</f>
        <v>0.563</v>
      </c>
      <c r="AD239" s="20">
        <f>IFERROR(__xludf.DUMMYFUNCTION("iferror(PERCENTRANK.INC(FILTER($X$2:$X$423, $U$2:$U$423&gt;=4.1), $X239), 0.01)"),0.046)</f>
        <v>0.046</v>
      </c>
      <c r="AE239" s="20"/>
    </row>
    <row r="240" ht="14.25" customHeight="1">
      <c r="A240" s="17" t="s">
        <v>566</v>
      </c>
      <c r="B240" s="17" t="s">
        <v>567</v>
      </c>
      <c r="C240" s="18">
        <v>0.0</v>
      </c>
      <c r="D240" s="17" t="s">
        <v>98</v>
      </c>
      <c r="E240" s="17" t="s">
        <v>138</v>
      </c>
      <c r="F240" s="18">
        <v>153.0</v>
      </c>
      <c r="G240" s="18">
        <v>118.0</v>
      </c>
      <c r="H240" s="18">
        <v>54.0</v>
      </c>
      <c r="I240" s="19">
        <v>0.458</v>
      </c>
      <c r="J240" s="18">
        <v>689.0</v>
      </c>
      <c r="K240" s="18">
        <v>5.8</v>
      </c>
      <c r="L240" s="18">
        <v>5.0</v>
      </c>
      <c r="M240" s="18">
        <v>2.0</v>
      </c>
      <c r="N240" s="18">
        <v>12.0</v>
      </c>
      <c r="O240" s="18">
        <v>7.0</v>
      </c>
      <c r="P240" s="20">
        <f t="shared" si="1"/>
        <v>1.440517</v>
      </c>
      <c r="Q240" s="20">
        <f t="shared" si="2"/>
        <v>1.082133001</v>
      </c>
      <c r="R240" s="24"/>
      <c r="S240" s="20">
        <v>1.4405170003323362</v>
      </c>
      <c r="T240" s="22">
        <v>-1.83</v>
      </c>
      <c r="U240" s="30"/>
      <c r="V240" s="30"/>
      <c r="W240" s="18">
        <v>0.9</v>
      </c>
      <c r="X240" s="22">
        <f t="shared" si="16"/>
        <v>-0.06922632745</v>
      </c>
      <c r="Y240" s="20">
        <f t="shared" si="4"/>
        <v>35.84440169</v>
      </c>
      <c r="Z240" s="20">
        <f t="shared" si="6"/>
        <v>34.76226869</v>
      </c>
      <c r="AA240" s="20"/>
      <c r="AB240" s="20">
        <f>IFERROR(__xludf.DUMMYFUNCTION("iferror(PERCENTRANK.INC(FILTER($X$2:$X$423, $U$2:$U$423&lt;3.75), $X240), 1)"),0.201)</f>
        <v>0.201</v>
      </c>
      <c r="AC240" s="20">
        <f>IFERROR(__xludf.DUMMYFUNCTION("iferror(PERCENTRANK.INC(FILTER($X$2:$X$423, $U$2:$U$423&lt;4.25), $X240), 1)"),0.195)</f>
        <v>0.195</v>
      </c>
      <c r="AD240" s="20">
        <f>IFERROR(__xludf.DUMMYFUNCTION("iferror(PERCENTRANK.INC(FILTER($X$2:$X$423, $U$2:$U$423&gt;=4.1), $X240), 0.01)"),0.01)</f>
        <v>0.01</v>
      </c>
      <c r="AE240" s="20"/>
    </row>
    <row r="241" ht="14.25" customHeight="1">
      <c r="A241" s="17" t="s">
        <v>568</v>
      </c>
      <c r="B241" s="17" t="s">
        <v>373</v>
      </c>
      <c r="C241" s="18">
        <v>1.0</v>
      </c>
      <c r="D241" s="17" t="s">
        <v>98</v>
      </c>
      <c r="E241" s="17" t="s">
        <v>179</v>
      </c>
      <c r="F241" s="18">
        <v>60.0</v>
      </c>
      <c r="G241" s="18">
        <v>48.0</v>
      </c>
      <c r="H241" s="18">
        <v>29.0</v>
      </c>
      <c r="I241" s="19">
        <v>0.604</v>
      </c>
      <c r="J241" s="18">
        <v>453.0</v>
      </c>
      <c r="K241" s="18">
        <v>9.4</v>
      </c>
      <c r="L241" s="18">
        <v>1.0</v>
      </c>
      <c r="M241" s="18">
        <v>1.0</v>
      </c>
      <c r="N241" s="18">
        <v>4.0</v>
      </c>
      <c r="O241" s="18">
        <v>4.0</v>
      </c>
      <c r="P241" s="20">
        <f t="shared" si="1"/>
        <v>1.469294667</v>
      </c>
      <c r="Q241" s="20">
        <f t="shared" si="2"/>
        <v>1.095779369</v>
      </c>
      <c r="R241" s="29"/>
      <c r="S241" s="20">
        <v>1.4692946666666669</v>
      </c>
      <c r="T241" s="22">
        <v>-2.06</v>
      </c>
      <c r="U241" s="31"/>
      <c r="V241" s="30"/>
      <c r="W241" s="18">
        <v>0.9</v>
      </c>
      <c r="X241" s="22">
        <f t="shared" si="16"/>
        <v>-0.09962551</v>
      </c>
      <c r="Y241" s="20">
        <f t="shared" si="4"/>
        <v>35.46851388</v>
      </c>
      <c r="Z241" s="20">
        <f t="shared" si="6"/>
        <v>34.37273451</v>
      </c>
      <c r="AA241" s="20"/>
      <c r="AB241" s="20">
        <f>IFERROR(__xludf.DUMMYFUNCTION("iferror(PERCENTRANK.INC(FILTER($X$2:$X$423, $U$2:$U$423&lt;3.75), $X241), 1)"),0.18)</f>
        <v>0.18</v>
      </c>
      <c r="AC241" s="20">
        <f>IFERROR(__xludf.DUMMYFUNCTION("iferror(PERCENTRANK.INC(FILTER($X$2:$X$423, $U$2:$U$423&lt;4.25), $X241), 1)"),0.175)</f>
        <v>0.175</v>
      </c>
      <c r="AD241" s="20">
        <f>IFERROR(__xludf.DUMMYFUNCTION("iferror(PERCENTRANK.INC(FILTER($X$2:$X$423, $U$2:$U$423&gt;=4.1), $X241), 0.01)"),0.01)</f>
        <v>0.01</v>
      </c>
      <c r="AE241" s="20"/>
    </row>
    <row r="242" ht="14.25" customHeight="1">
      <c r="A242" s="17" t="s">
        <v>569</v>
      </c>
      <c r="B242" s="17" t="s">
        <v>570</v>
      </c>
      <c r="C242" s="18">
        <v>4.0</v>
      </c>
      <c r="D242" s="17" t="s">
        <v>98</v>
      </c>
      <c r="E242" s="17" t="s">
        <v>144</v>
      </c>
      <c r="F242" s="18">
        <v>447.0</v>
      </c>
      <c r="G242" s="18">
        <v>388.0</v>
      </c>
      <c r="H242" s="18">
        <v>210.0</v>
      </c>
      <c r="I242" s="19">
        <v>0.541</v>
      </c>
      <c r="J242" s="18">
        <v>2284.0</v>
      </c>
      <c r="K242" s="18">
        <v>5.9</v>
      </c>
      <c r="L242" s="18">
        <v>11.0</v>
      </c>
      <c r="M242" s="18">
        <v>12.0</v>
      </c>
      <c r="N242" s="18">
        <v>31.0</v>
      </c>
      <c r="O242" s="18">
        <v>19.0</v>
      </c>
      <c r="P242" s="20">
        <f t="shared" si="1"/>
        <v>1.468460512</v>
      </c>
      <c r="Q242" s="20">
        <f t="shared" si="2"/>
        <v>1.095383813</v>
      </c>
      <c r="R242" s="29"/>
      <c r="S242" s="20">
        <v>1.4684605118429856</v>
      </c>
      <c r="T242" s="28">
        <v>10.0</v>
      </c>
      <c r="U242" s="31"/>
      <c r="V242" s="30"/>
      <c r="W242" s="18">
        <v>0.95</v>
      </c>
      <c r="X242" s="22">
        <f t="shared" si="16"/>
        <v>1.720269077</v>
      </c>
      <c r="Y242" s="20">
        <f t="shared" si="4"/>
        <v>57.97162536</v>
      </c>
      <c r="Z242" s="20">
        <f t="shared" si="6"/>
        <v>56.87624154</v>
      </c>
      <c r="AA242" s="20"/>
      <c r="AB242" s="20">
        <f>IFERROR(__xludf.DUMMYFUNCTION("iferror(PERCENTRANK.INC(FILTER($X$2:$X$423, $U$2:$U$423&lt;3.75), $X242), 1)"),0.977)</f>
        <v>0.977</v>
      </c>
      <c r="AC242" s="20">
        <f>IFERROR(__xludf.DUMMYFUNCTION("iferror(PERCENTRANK.INC(FILTER($X$2:$X$423, $U$2:$U$423&lt;4.25), $X242), 1)"),0.948)</f>
        <v>0.948</v>
      </c>
      <c r="AD242" s="20">
        <f>IFERROR(__xludf.DUMMYFUNCTION("iferror(PERCENTRANK.INC(FILTER($X$2:$X$423, $U$2:$U$423&gt;=4.1), $X242), 0.01)"),0.067)</f>
        <v>0.067</v>
      </c>
      <c r="AE242" s="20"/>
    </row>
    <row r="243" ht="14.25" customHeight="1">
      <c r="A243" s="25" t="s">
        <v>571</v>
      </c>
      <c r="B243" s="23" t="s">
        <v>572</v>
      </c>
      <c r="C243" s="32">
        <v>5.0</v>
      </c>
      <c r="D243" s="23" t="s">
        <v>98</v>
      </c>
      <c r="E243" s="23" t="s">
        <v>135</v>
      </c>
      <c r="F243" s="32">
        <v>8.0</v>
      </c>
      <c r="G243" s="32">
        <v>4.0</v>
      </c>
      <c r="H243" s="32">
        <v>2.0</v>
      </c>
      <c r="I243" s="33">
        <v>0.5</v>
      </c>
      <c r="J243" s="32">
        <v>77.0</v>
      </c>
      <c r="K243" s="18">
        <f>J243/H243</f>
        <v>38.5</v>
      </c>
      <c r="L243" s="32">
        <v>0.0</v>
      </c>
      <c r="M243" s="32">
        <v>0.0</v>
      </c>
      <c r="N243" s="32">
        <v>0.0</v>
      </c>
      <c r="O243" s="32">
        <v>0.0</v>
      </c>
      <c r="P243" s="20">
        <f t="shared" si="1"/>
        <v>5.4551</v>
      </c>
      <c r="Q243" s="20">
        <f t="shared" si="2"/>
        <v>2.985848109</v>
      </c>
      <c r="R243" s="24"/>
      <c r="S243" s="34">
        <v>5.4551</v>
      </c>
      <c r="T243" s="28">
        <v>-2.0</v>
      </c>
      <c r="U243" s="16">
        <v>4.1</v>
      </c>
      <c r="V243" s="16">
        <v>-2.39</v>
      </c>
      <c r="W243" s="25">
        <v>1.0</v>
      </c>
      <c r="X243" s="22">
        <f t="shared" si="16"/>
        <v>3.34735175</v>
      </c>
      <c r="Y243" s="20">
        <f t="shared" si="4"/>
        <v>78.09060534</v>
      </c>
      <c r="Z243" s="20">
        <f t="shared" si="6"/>
        <v>75.10475724</v>
      </c>
      <c r="AA243" s="20"/>
      <c r="AB243" s="20">
        <f>IFERROR(__xludf.DUMMYFUNCTION("iferror(PERCENTRANK.INC(FILTER($X$2:$X$423, $U$2:$U$423&lt;3.75), $X243), 1)"),0.995)</f>
        <v>0.995</v>
      </c>
      <c r="AC243" s="20">
        <f>IFERROR(__xludf.DUMMYFUNCTION("iferror(PERCENTRANK.INC(FILTER($X$2:$X$423, $U$2:$U$423&lt;4.25), $X243), 1)"),0.985)</f>
        <v>0.985</v>
      </c>
      <c r="AD243" s="20">
        <f>IFERROR(__xludf.DUMMYFUNCTION("iferror(PERCENTRANK.INC(FILTER($X$2:$X$423, $U$2:$U$423&gt;=4.1), $X243), 0.01)"),0.24)</f>
        <v>0.24</v>
      </c>
      <c r="AE243" s="20"/>
    </row>
    <row r="244" ht="14.25" customHeight="1">
      <c r="A244" s="17" t="s">
        <v>573</v>
      </c>
      <c r="B244" s="17" t="s">
        <v>574</v>
      </c>
      <c r="C244" s="18">
        <v>2.0</v>
      </c>
      <c r="D244" s="17" t="s">
        <v>98</v>
      </c>
      <c r="E244" s="17" t="s">
        <v>135</v>
      </c>
      <c r="F244" s="18">
        <v>152.0</v>
      </c>
      <c r="G244" s="18">
        <v>136.0</v>
      </c>
      <c r="H244" s="18">
        <v>74.0</v>
      </c>
      <c r="I244" s="19">
        <v>0.544</v>
      </c>
      <c r="J244" s="18">
        <v>829.0</v>
      </c>
      <c r="K244" s="18">
        <v>6.1</v>
      </c>
      <c r="L244" s="18">
        <v>4.0</v>
      </c>
      <c r="M244" s="18">
        <v>2.0</v>
      </c>
      <c r="N244" s="18">
        <v>13.0</v>
      </c>
      <c r="O244" s="18">
        <v>5.0</v>
      </c>
      <c r="P244" s="20">
        <f t="shared" si="1"/>
        <v>1.48606992</v>
      </c>
      <c r="Q244" s="20">
        <f t="shared" si="2"/>
        <v>1.103734194</v>
      </c>
      <c r="R244" s="24"/>
      <c r="S244" s="20">
        <v>1.4860699195046438</v>
      </c>
      <c r="T244" s="22">
        <v>-0.5</v>
      </c>
      <c r="W244" s="25">
        <v>1.0</v>
      </c>
      <c r="X244" s="22">
        <f t="shared" ref="X244:X416" si="17">IFERROR((U244*0.7+T244*0.15+S244*0.15*W249),0)</f>
        <v>0.1367649635</v>
      </c>
      <c r="Y244" s="20">
        <f t="shared" si="4"/>
        <v>38.39149701</v>
      </c>
      <c r="Z244" s="20">
        <f t="shared" si="6"/>
        <v>37.28776282</v>
      </c>
      <c r="AA244" s="20"/>
      <c r="AB244" s="20">
        <f>IFERROR(__xludf.DUMMYFUNCTION("iferror(PERCENTRANK.INC(FILTER($X$2:$X$423, $U$2:$U$423&lt;3.75), $X244), 1)"),0.412)</f>
        <v>0.412</v>
      </c>
      <c r="AC244" s="20">
        <f>IFERROR(__xludf.DUMMYFUNCTION("iferror(PERCENTRANK.INC(FILTER($X$2:$X$423, $U$2:$U$423&lt;4.25), $X244), 1)"),0.4)</f>
        <v>0.4</v>
      </c>
      <c r="AD244" s="20">
        <f>IFERROR(__xludf.DUMMYFUNCTION("iferror(PERCENTRANK.INC(FILTER($X$2:$X$423, $U$2:$U$423&gt;=4.1), $X244), 0.01)"),0.042)</f>
        <v>0.042</v>
      </c>
      <c r="AE244" s="20"/>
    </row>
    <row r="245" ht="14.25" customHeight="1">
      <c r="A245" s="17" t="s">
        <v>575</v>
      </c>
      <c r="B245" s="17" t="s">
        <v>449</v>
      </c>
      <c r="C245" s="18">
        <v>2.0</v>
      </c>
      <c r="D245" s="17" t="s">
        <v>98</v>
      </c>
      <c r="E245" s="17" t="s">
        <v>172</v>
      </c>
      <c r="F245" s="18">
        <v>49.0</v>
      </c>
      <c r="G245" s="18">
        <v>36.0</v>
      </c>
      <c r="H245" s="18">
        <v>26.0</v>
      </c>
      <c r="I245" s="19">
        <v>0.722</v>
      </c>
      <c r="J245" s="18">
        <v>305.0</v>
      </c>
      <c r="K245" s="18">
        <v>8.5</v>
      </c>
      <c r="L245" s="18">
        <v>3.0</v>
      </c>
      <c r="M245" s="18">
        <v>1.0</v>
      </c>
      <c r="N245" s="18">
        <v>5.0</v>
      </c>
      <c r="O245" s="18">
        <v>1.0</v>
      </c>
      <c r="P245" s="20">
        <f t="shared" si="1"/>
        <v>1.474790961</v>
      </c>
      <c r="Q245" s="20">
        <f t="shared" si="2"/>
        <v>1.098385712</v>
      </c>
      <c r="R245" s="24"/>
      <c r="S245" s="20">
        <v>1.474790961451247</v>
      </c>
      <c r="T245" s="22">
        <v>-0.22</v>
      </c>
      <c r="U245" s="30"/>
      <c r="V245" s="30"/>
      <c r="W245" s="18">
        <v>0.9</v>
      </c>
      <c r="X245" s="22">
        <f t="shared" si="17"/>
        <v>0.177157712</v>
      </c>
      <c r="Y245" s="20">
        <f t="shared" si="4"/>
        <v>38.8909559</v>
      </c>
      <c r="Z245" s="20">
        <f t="shared" si="6"/>
        <v>37.79257019</v>
      </c>
      <c r="AA245" s="20"/>
      <c r="AB245" s="20">
        <f>IFERROR(__xludf.DUMMYFUNCTION("iferror(PERCENTRANK.INC(FILTER($X$2:$X$423, $U$2:$U$423&lt;3.75), $X245), 1)"),0.448)</f>
        <v>0.448</v>
      </c>
      <c r="AC245" s="20">
        <f>IFERROR(__xludf.DUMMYFUNCTION("iferror(PERCENTRANK.INC(FILTER($X$2:$X$423, $U$2:$U$423&lt;4.25), $X245), 1)"),0.435)</f>
        <v>0.435</v>
      </c>
      <c r="AD245" s="20">
        <f>IFERROR(__xludf.DUMMYFUNCTION("iferror(PERCENTRANK.INC(FILTER($X$2:$X$423, $U$2:$U$423&gt;=4.1), $X245), 0.01)"),0.043)</f>
        <v>0.043</v>
      </c>
      <c r="AE245" s="20"/>
    </row>
    <row r="246" ht="14.25" customHeight="1">
      <c r="A246" s="17" t="s">
        <v>576</v>
      </c>
      <c r="B246" s="17" t="s">
        <v>577</v>
      </c>
      <c r="C246" s="18">
        <v>15.0</v>
      </c>
      <c r="D246" s="17" t="s">
        <v>98</v>
      </c>
      <c r="E246" s="17" t="s">
        <v>144</v>
      </c>
      <c r="F246" s="18">
        <v>316.0</v>
      </c>
      <c r="G246" s="18">
        <v>284.0</v>
      </c>
      <c r="H246" s="18">
        <v>157.0</v>
      </c>
      <c r="I246" s="19">
        <v>0.553</v>
      </c>
      <c r="J246" s="18">
        <v>2098.0</v>
      </c>
      <c r="K246" s="18">
        <v>7.4</v>
      </c>
      <c r="L246" s="18">
        <v>10.0</v>
      </c>
      <c r="M246" s="18">
        <v>12.0</v>
      </c>
      <c r="N246" s="18">
        <v>15.0</v>
      </c>
      <c r="O246" s="18">
        <v>16.0</v>
      </c>
      <c r="P246" s="20">
        <f t="shared" si="1"/>
        <v>1.425732223</v>
      </c>
      <c r="Q246" s="20">
        <f t="shared" si="2"/>
        <v>1.07512206</v>
      </c>
      <c r="R246" s="24"/>
      <c r="S246" s="20">
        <v>1.4257322230344087</v>
      </c>
      <c r="T246" s="22">
        <v>0.01</v>
      </c>
      <c r="U246" s="30"/>
      <c r="V246" s="30"/>
      <c r="W246" s="18">
        <v>0.95</v>
      </c>
      <c r="X246" s="22">
        <f t="shared" si="17"/>
        <v>0.2046668418</v>
      </c>
      <c r="Y246" s="20">
        <f t="shared" si="4"/>
        <v>39.23110803</v>
      </c>
      <c r="Z246" s="20">
        <f t="shared" si="6"/>
        <v>38.15598596</v>
      </c>
      <c r="AA246" s="20"/>
      <c r="AB246" s="20">
        <f>IFERROR(__xludf.DUMMYFUNCTION("iferror(PERCENTRANK.INC(FILTER($X$2:$X$423, $U$2:$U$423&lt;3.75), $X246), 1)"),0.474)</f>
        <v>0.474</v>
      </c>
      <c r="AC246" s="20">
        <f>IFERROR(__xludf.DUMMYFUNCTION("iferror(PERCENTRANK.INC(FILTER($X$2:$X$423, $U$2:$U$423&lt;4.25), $X246), 1)"),0.46)</f>
        <v>0.46</v>
      </c>
      <c r="AD246" s="20">
        <f>IFERROR(__xludf.DUMMYFUNCTION("iferror(PERCENTRANK.INC(FILTER($X$2:$X$423, $U$2:$U$423&gt;=4.1), $X246), 0.01)"),0.043)</f>
        <v>0.043</v>
      </c>
      <c r="AE246" s="20"/>
    </row>
    <row r="247" ht="14.25" customHeight="1">
      <c r="A247" s="17" t="s">
        <v>578</v>
      </c>
      <c r="B247" s="17" t="s">
        <v>579</v>
      </c>
      <c r="C247" s="18">
        <v>13.0</v>
      </c>
      <c r="D247" s="17" t="s">
        <v>98</v>
      </c>
      <c r="E247" s="17" t="s">
        <v>158</v>
      </c>
      <c r="F247" s="18">
        <v>46.0</v>
      </c>
      <c r="G247" s="18">
        <v>38.0</v>
      </c>
      <c r="H247" s="18">
        <v>27.0</v>
      </c>
      <c r="I247" s="19">
        <v>0.71</v>
      </c>
      <c r="J247" s="18">
        <v>264.0</v>
      </c>
      <c r="K247" s="18">
        <v>7.0</v>
      </c>
      <c r="L247" s="18">
        <v>2.0</v>
      </c>
      <c r="M247" s="18">
        <v>0.0</v>
      </c>
      <c r="N247" s="18">
        <v>1.0</v>
      </c>
      <c r="O247" s="18">
        <v>0.0</v>
      </c>
      <c r="P247" s="20">
        <f t="shared" si="1"/>
        <v>1.41443087</v>
      </c>
      <c r="Q247" s="20">
        <f t="shared" si="2"/>
        <v>1.069762959</v>
      </c>
      <c r="R247" s="24"/>
      <c r="S247" s="20">
        <v>1.4144308695652175</v>
      </c>
      <c r="T247" s="22">
        <v>0.92</v>
      </c>
      <c r="U247" s="30"/>
      <c r="V247" s="30"/>
      <c r="W247" s="18">
        <v>0.95</v>
      </c>
      <c r="X247" s="22">
        <f t="shared" si="17"/>
        <v>0.3395563989</v>
      </c>
      <c r="Y247" s="20">
        <f t="shared" si="4"/>
        <v>40.89902592</v>
      </c>
      <c r="Z247" s="20">
        <f t="shared" si="6"/>
        <v>39.82926296</v>
      </c>
      <c r="AA247" s="20"/>
      <c r="AB247" s="20">
        <f>IFERROR(__xludf.DUMMYFUNCTION("iferror(PERCENTRANK.INC(FILTER($X$2:$X$423, $U$2:$U$423&lt;3.75), $X247), 1)"),0.567)</f>
        <v>0.567</v>
      </c>
      <c r="AC247" s="20">
        <f>IFERROR(__xludf.DUMMYFUNCTION("iferror(PERCENTRANK.INC(FILTER($X$2:$X$423, $U$2:$U$423&lt;4.25), $X247), 1)"),0.55)</f>
        <v>0.55</v>
      </c>
      <c r="AD247" s="20">
        <f>IFERROR(__xludf.DUMMYFUNCTION("iferror(PERCENTRANK.INC(FILTER($X$2:$X$423, $U$2:$U$423&gt;=4.1), $X247), 0.01)"),0.045)</f>
        <v>0.045</v>
      </c>
      <c r="AE247" s="20"/>
    </row>
    <row r="248" ht="14.25" customHeight="1">
      <c r="A248" s="17" t="s">
        <v>580</v>
      </c>
      <c r="B248" s="17" t="s">
        <v>581</v>
      </c>
      <c r="C248" s="18">
        <v>3.0</v>
      </c>
      <c r="D248" s="17" t="s">
        <v>98</v>
      </c>
      <c r="E248" s="17" t="s">
        <v>108</v>
      </c>
      <c r="F248" s="18">
        <v>75.0</v>
      </c>
      <c r="G248" s="18">
        <v>68.0</v>
      </c>
      <c r="H248" s="18">
        <v>39.0</v>
      </c>
      <c r="I248" s="19">
        <v>0.574</v>
      </c>
      <c r="J248" s="18">
        <v>440.0</v>
      </c>
      <c r="K248" s="18">
        <v>6.5</v>
      </c>
      <c r="L248" s="18">
        <v>5.0</v>
      </c>
      <c r="M248" s="18">
        <v>2.0</v>
      </c>
      <c r="N248" s="18">
        <v>3.0</v>
      </c>
      <c r="O248" s="18">
        <v>4.0</v>
      </c>
      <c r="P248" s="20">
        <f t="shared" si="1"/>
        <v>1.378959176</v>
      </c>
      <c r="Q248" s="20">
        <f t="shared" si="2"/>
        <v>1.052942283</v>
      </c>
      <c r="R248" s="24"/>
      <c r="S248" s="20">
        <v>1.3789591764705877</v>
      </c>
      <c r="T248" s="22">
        <v>-4.28</v>
      </c>
      <c r="U248" s="30"/>
      <c r="V248" s="30"/>
      <c r="W248" s="18">
        <v>1.0</v>
      </c>
      <c r="X248" s="22">
        <f t="shared" si="17"/>
        <v>-0.4351561235</v>
      </c>
      <c r="Y248" s="20">
        <f t="shared" si="4"/>
        <v>31.31965666</v>
      </c>
      <c r="Z248" s="20">
        <f t="shared" si="6"/>
        <v>30.26671438</v>
      </c>
      <c r="AA248" s="20"/>
      <c r="AB248" s="20">
        <f>IFERROR(__xludf.DUMMYFUNCTION("iferror(PERCENTRANK.INC(FILTER($X$2:$X$423, $U$2:$U$423&lt;3.75), $X248), 1)"),0.062)</f>
        <v>0.062</v>
      </c>
      <c r="AC248" s="20">
        <f>IFERROR(__xludf.DUMMYFUNCTION("iferror(PERCENTRANK.INC(FILTER($X$2:$X$423, $U$2:$U$423&lt;4.25), $X248), 1)"),0.06)</f>
        <v>0.06</v>
      </c>
      <c r="AD248" s="20">
        <f>IFERROR(__xludf.DUMMYFUNCTION("iferror(PERCENTRANK.INC(FILTER($X$2:$X$423, $U$2:$U$423&gt;=4.1), $X248), 0.01)"),0.01)</f>
        <v>0.01</v>
      </c>
      <c r="AE248" s="20"/>
    </row>
    <row r="249" ht="14.25" customHeight="1">
      <c r="A249" s="17" t="s">
        <v>582</v>
      </c>
      <c r="B249" s="17" t="s">
        <v>397</v>
      </c>
      <c r="C249" s="18">
        <v>5.0</v>
      </c>
      <c r="D249" s="17" t="s">
        <v>98</v>
      </c>
      <c r="E249" s="17" t="s">
        <v>117</v>
      </c>
      <c r="F249" s="18">
        <v>250.0</v>
      </c>
      <c r="G249" s="18">
        <v>234.0</v>
      </c>
      <c r="H249" s="18">
        <v>132.0</v>
      </c>
      <c r="I249" s="19">
        <v>0.564</v>
      </c>
      <c r="J249" s="18">
        <v>1514.0</v>
      </c>
      <c r="K249" s="18">
        <v>6.5</v>
      </c>
      <c r="L249" s="18">
        <v>10.0</v>
      </c>
      <c r="M249" s="18">
        <v>9.0</v>
      </c>
      <c r="N249" s="18">
        <v>10.0</v>
      </c>
      <c r="O249" s="18">
        <v>14.0</v>
      </c>
      <c r="P249" s="20">
        <f t="shared" si="1"/>
        <v>1.437284752</v>
      </c>
      <c r="Q249" s="20">
        <f t="shared" si="2"/>
        <v>1.080600269</v>
      </c>
      <c r="R249" s="24"/>
      <c r="S249" s="20">
        <v>1.4372847521367524</v>
      </c>
      <c r="T249" s="22">
        <v>-1.36</v>
      </c>
      <c r="U249" s="30"/>
      <c r="V249" s="30"/>
      <c r="W249" s="18">
        <v>0.95</v>
      </c>
      <c r="X249" s="22">
        <f t="shared" si="17"/>
        <v>-0.009966558462</v>
      </c>
      <c r="Y249" s="20">
        <f t="shared" si="4"/>
        <v>36.57715248</v>
      </c>
      <c r="Z249" s="20">
        <f t="shared" si="6"/>
        <v>35.49655221</v>
      </c>
      <c r="AA249" s="20"/>
      <c r="AB249" s="20">
        <f>IFERROR(__xludf.DUMMYFUNCTION("iferror(PERCENTRANK.INC(FILTER($X$2:$X$423, $U$2:$U$423&lt;3.75), $X249), 1)"),0.242)</f>
        <v>0.242</v>
      </c>
      <c r="AC249" s="20">
        <f>IFERROR(__xludf.DUMMYFUNCTION("iferror(PERCENTRANK.INC(FILTER($X$2:$X$423, $U$2:$U$423&lt;4.25), $X249), 1)"),0.235)</f>
        <v>0.235</v>
      </c>
      <c r="AD249" s="20">
        <f>IFERROR(__xludf.DUMMYFUNCTION("iferror(PERCENTRANK.INC(FILTER($X$2:$X$423, $U$2:$U$423&gt;=4.1), $X249), 0.01)"),0.01)</f>
        <v>0.01</v>
      </c>
      <c r="AE249" s="20"/>
    </row>
    <row r="250" ht="14.25" customHeight="1">
      <c r="A250" s="17" t="s">
        <v>583</v>
      </c>
      <c r="B250" s="17" t="s">
        <v>577</v>
      </c>
      <c r="C250" s="18">
        <v>7.0</v>
      </c>
      <c r="D250" s="17" t="s">
        <v>98</v>
      </c>
      <c r="E250" s="17" t="s">
        <v>144</v>
      </c>
      <c r="F250" s="18">
        <v>59.0</v>
      </c>
      <c r="G250" s="18">
        <v>45.0</v>
      </c>
      <c r="H250" s="18">
        <v>21.0</v>
      </c>
      <c r="I250" s="19">
        <v>0.467</v>
      </c>
      <c r="J250" s="18">
        <v>350.0</v>
      </c>
      <c r="K250" s="18">
        <v>7.8</v>
      </c>
      <c r="L250" s="18">
        <v>1.0</v>
      </c>
      <c r="M250" s="18">
        <v>0.0</v>
      </c>
      <c r="N250" s="18">
        <v>7.0</v>
      </c>
      <c r="O250" s="18">
        <v>1.0</v>
      </c>
      <c r="P250" s="20">
        <f t="shared" si="1"/>
        <v>1.358847154</v>
      </c>
      <c r="Q250" s="20">
        <f t="shared" si="2"/>
        <v>1.043405163</v>
      </c>
      <c r="R250" s="24"/>
      <c r="S250" s="20">
        <v>1.3588471544256122</v>
      </c>
      <c r="T250" s="22">
        <v>-2.33</v>
      </c>
      <c r="W250" s="25">
        <v>0.95</v>
      </c>
      <c r="X250" s="22">
        <f t="shared" si="17"/>
        <v>-0.1660556342</v>
      </c>
      <c r="Y250" s="20">
        <f t="shared" si="4"/>
        <v>34.6471012</v>
      </c>
      <c r="Z250" s="20">
        <f t="shared" si="6"/>
        <v>33.60369604</v>
      </c>
      <c r="AA250" s="20"/>
      <c r="AB250" s="20">
        <f>IFERROR(__xludf.DUMMYFUNCTION("iferror(PERCENTRANK.INC(FILTER($X$2:$X$423, $U$2:$U$423&lt;3.75), $X250), 1)"),0.131)</f>
        <v>0.131</v>
      </c>
      <c r="AC250" s="20">
        <f>IFERROR(__xludf.DUMMYFUNCTION("iferror(PERCENTRANK.INC(FILTER($X$2:$X$423, $U$2:$U$423&lt;4.25), $X250), 1)"),0.128)</f>
        <v>0.128</v>
      </c>
      <c r="AD250" s="20">
        <f>IFERROR(__xludf.DUMMYFUNCTION("iferror(PERCENTRANK.INC(FILTER($X$2:$X$423, $U$2:$U$423&gt;=4.1), $X250), 0.01)"),0.01)</f>
        <v>0.01</v>
      </c>
      <c r="AE250" s="20"/>
    </row>
    <row r="251" ht="14.25" customHeight="1">
      <c r="A251" s="17" t="s">
        <v>584</v>
      </c>
      <c r="B251" s="17" t="s">
        <v>585</v>
      </c>
      <c r="C251" s="18">
        <v>9.0</v>
      </c>
      <c r="D251" s="17" t="s">
        <v>98</v>
      </c>
      <c r="E251" s="17" t="s">
        <v>144</v>
      </c>
      <c r="F251" s="18">
        <v>273.0</v>
      </c>
      <c r="G251" s="18">
        <v>226.0</v>
      </c>
      <c r="H251" s="18">
        <v>124.0</v>
      </c>
      <c r="I251" s="19">
        <v>0.549</v>
      </c>
      <c r="J251" s="18">
        <v>1490.0</v>
      </c>
      <c r="K251" s="18">
        <v>6.6</v>
      </c>
      <c r="L251" s="18">
        <v>13.0</v>
      </c>
      <c r="M251" s="18">
        <v>11.0</v>
      </c>
      <c r="N251" s="18">
        <v>16.0</v>
      </c>
      <c r="O251" s="18">
        <v>11.0</v>
      </c>
      <c r="P251" s="20">
        <f t="shared" si="1"/>
        <v>1.382296888</v>
      </c>
      <c r="Q251" s="20">
        <f t="shared" si="2"/>
        <v>1.054525026</v>
      </c>
      <c r="R251" s="24"/>
      <c r="S251" s="20">
        <v>1.3822968882945958</v>
      </c>
      <c r="T251" s="22">
        <v>-1.13</v>
      </c>
      <c r="U251" s="30"/>
      <c r="V251" s="30"/>
      <c r="W251" s="18">
        <v>0.95</v>
      </c>
      <c r="X251" s="22">
        <f t="shared" si="17"/>
        <v>0.01711007992</v>
      </c>
      <c r="Y251" s="20">
        <f t="shared" si="4"/>
        <v>36.91195682</v>
      </c>
      <c r="Z251" s="20">
        <f t="shared" si="6"/>
        <v>35.8574318</v>
      </c>
      <c r="AA251" s="20"/>
      <c r="AB251" s="20">
        <f>IFERROR(__xludf.DUMMYFUNCTION("iferror(PERCENTRANK.INC(FILTER($X$2:$X$423, $U$2:$U$423&lt;3.75), $X251), 1)"),0.291)</f>
        <v>0.291</v>
      </c>
      <c r="AC251" s="20">
        <f>IFERROR(__xludf.DUMMYFUNCTION("iferror(PERCENTRANK.INC(FILTER($X$2:$X$423, $U$2:$U$423&lt;4.25), $X251), 1)"),0.283)</f>
        <v>0.283</v>
      </c>
      <c r="AD251" s="20">
        <f>IFERROR(__xludf.DUMMYFUNCTION("iferror(PERCENTRANK.INC(FILTER($X$2:$X$423, $U$2:$U$423&gt;=4.1), $X251), 0.01)"),0.04)</f>
        <v>0.04</v>
      </c>
      <c r="AE251" s="20"/>
    </row>
    <row r="252" ht="14.25" customHeight="1">
      <c r="A252" s="17" t="s">
        <v>586</v>
      </c>
      <c r="B252" s="17" t="s">
        <v>388</v>
      </c>
      <c r="C252" s="18">
        <v>14.0</v>
      </c>
      <c r="D252" s="17" t="s">
        <v>98</v>
      </c>
      <c r="E252" s="17" t="s">
        <v>132</v>
      </c>
      <c r="F252" s="18">
        <v>165.0</v>
      </c>
      <c r="G252" s="18">
        <v>151.0</v>
      </c>
      <c r="H252" s="18">
        <v>82.0</v>
      </c>
      <c r="I252" s="19">
        <v>0.543</v>
      </c>
      <c r="J252" s="18">
        <v>877.0</v>
      </c>
      <c r="K252" s="18">
        <v>5.8</v>
      </c>
      <c r="L252" s="18">
        <v>3.0</v>
      </c>
      <c r="M252" s="18">
        <v>2.0</v>
      </c>
      <c r="N252" s="18">
        <v>10.0</v>
      </c>
      <c r="O252" s="18">
        <v>8.0</v>
      </c>
      <c r="P252" s="20">
        <f t="shared" si="1"/>
        <v>1.374410833</v>
      </c>
      <c r="Q252" s="20">
        <f t="shared" si="2"/>
        <v>1.050785459</v>
      </c>
      <c r="R252" s="24"/>
      <c r="S252" s="20">
        <v>1.3744108334336744</v>
      </c>
      <c r="T252" s="22">
        <v>-0.61</v>
      </c>
      <c r="W252" s="25">
        <v>0.95</v>
      </c>
      <c r="X252" s="22">
        <f t="shared" si="17"/>
        <v>0.09404546251</v>
      </c>
      <c r="Y252" s="20">
        <f t="shared" si="4"/>
        <v>37.86326769</v>
      </c>
      <c r="Z252" s="20">
        <f t="shared" si="6"/>
        <v>36.81248223</v>
      </c>
      <c r="AA252" s="20"/>
      <c r="AB252" s="20">
        <f>IFERROR(__xludf.DUMMYFUNCTION("iferror(PERCENTRANK.INC(FILTER($X$2:$X$423, $U$2:$U$423&lt;3.75), $X252), 1)"),0.363)</f>
        <v>0.363</v>
      </c>
      <c r="AC252" s="20">
        <f>IFERROR(__xludf.DUMMYFUNCTION("iferror(PERCENTRANK.INC(FILTER($X$2:$X$423, $U$2:$U$423&lt;4.25), $X252), 1)"),0.353)</f>
        <v>0.353</v>
      </c>
      <c r="AD252" s="20">
        <f>IFERROR(__xludf.DUMMYFUNCTION("iferror(PERCENTRANK.INC(FILTER($X$2:$X$423, $U$2:$U$423&gt;=4.1), $X252), 0.01)"),0.041)</f>
        <v>0.041</v>
      </c>
      <c r="AE252" s="20"/>
    </row>
    <row r="253" ht="14.25" customHeight="1">
      <c r="A253" s="17" t="s">
        <v>587</v>
      </c>
      <c r="B253" s="17" t="s">
        <v>574</v>
      </c>
      <c r="C253" s="18">
        <v>15.0</v>
      </c>
      <c r="D253" s="17" t="s">
        <v>98</v>
      </c>
      <c r="E253" s="17" t="s">
        <v>135</v>
      </c>
      <c r="F253" s="18">
        <v>306.0</v>
      </c>
      <c r="G253" s="18">
        <v>274.0</v>
      </c>
      <c r="H253" s="18">
        <v>150.0</v>
      </c>
      <c r="I253" s="19">
        <v>0.547</v>
      </c>
      <c r="J253" s="18">
        <v>1824.0</v>
      </c>
      <c r="K253" s="18">
        <v>6.7</v>
      </c>
      <c r="L253" s="18">
        <v>9.0</v>
      </c>
      <c r="M253" s="18">
        <v>10.0</v>
      </c>
      <c r="N253" s="18">
        <v>26.0</v>
      </c>
      <c r="O253" s="18">
        <v>21.0</v>
      </c>
      <c r="P253" s="20">
        <f t="shared" si="1"/>
        <v>1.334747811</v>
      </c>
      <c r="Q253" s="20">
        <f t="shared" si="2"/>
        <v>1.031977256</v>
      </c>
      <c r="R253" s="29"/>
      <c r="S253" s="20">
        <v>1.334747811125423</v>
      </c>
      <c r="T253" s="22">
        <v>-0.42</v>
      </c>
      <c r="U253" s="31"/>
      <c r="V253" s="30"/>
      <c r="W253" s="18">
        <v>1.0</v>
      </c>
      <c r="X253" s="22">
        <f t="shared" si="17"/>
        <v>0.1171909545</v>
      </c>
      <c r="Y253" s="20">
        <f t="shared" si="4"/>
        <v>38.14946316</v>
      </c>
      <c r="Z253" s="20">
        <f t="shared" si="6"/>
        <v>37.1174859</v>
      </c>
      <c r="AA253" s="20"/>
      <c r="AB253" s="20">
        <f>IFERROR(__xludf.DUMMYFUNCTION("iferror(PERCENTRANK.INC(FILTER($X$2:$X$423, $U$2:$U$423&lt;3.75), $X253), 1)"),0.387)</f>
        <v>0.387</v>
      </c>
      <c r="AC253" s="20">
        <f>IFERROR(__xludf.DUMMYFUNCTION("iferror(PERCENTRANK.INC(FILTER($X$2:$X$423, $U$2:$U$423&lt;4.25), $X253), 1)"),0.375)</f>
        <v>0.375</v>
      </c>
      <c r="AD253" s="20">
        <f>IFERROR(__xludf.DUMMYFUNCTION("iferror(PERCENTRANK.INC(FILTER($X$2:$X$423, $U$2:$U$423&gt;=4.1), $X253), 0.01)"),0.042)</f>
        <v>0.042</v>
      </c>
      <c r="AE253" s="20"/>
    </row>
    <row r="254" ht="14.25" customHeight="1">
      <c r="A254" s="17" t="s">
        <v>588</v>
      </c>
      <c r="B254" s="17" t="s">
        <v>437</v>
      </c>
      <c r="C254" s="18">
        <v>18.0</v>
      </c>
      <c r="D254" s="17" t="s">
        <v>98</v>
      </c>
      <c r="E254" s="17" t="s">
        <v>127</v>
      </c>
      <c r="F254" s="18">
        <v>132.0</v>
      </c>
      <c r="G254" s="18">
        <v>122.0</v>
      </c>
      <c r="H254" s="18">
        <v>61.0</v>
      </c>
      <c r="I254" s="19">
        <v>0.5</v>
      </c>
      <c r="J254" s="18">
        <v>872.0</v>
      </c>
      <c r="K254" s="18">
        <v>7.2</v>
      </c>
      <c r="L254" s="18">
        <v>8.0</v>
      </c>
      <c r="M254" s="18">
        <v>6.0</v>
      </c>
      <c r="N254" s="18">
        <v>5.0</v>
      </c>
      <c r="O254" s="18">
        <v>10.0</v>
      </c>
      <c r="P254" s="20">
        <f t="shared" si="1"/>
        <v>1.365647442</v>
      </c>
      <c r="Q254" s="20">
        <f t="shared" si="2"/>
        <v>1.046629859</v>
      </c>
      <c r="R254" s="24"/>
      <c r="S254" s="20">
        <v>1.3656474416294087</v>
      </c>
      <c r="T254" s="22">
        <v>2.46</v>
      </c>
      <c r="U254" s="30"/>
      <c r="V254" s="30"/>
      <c r="W254" s="18">
        <v>0.9</v>
      </c>
      <c r="X254" s="22">
        <f t="shared" si="17"/>
        <v>0.5533624046</v>
      </c>
      <c r="Y254" s="20">
        <f t="shared" si="4"/>
        <v>43.54275068</v>
      </c>
      <c r="Z254" s="20">
        <f t="shared" si="6"/>
        <v>42.49612082</v>
      </c>
      <c r="AA254" s="20"/>
      <c r="AB254" s="20">
        <f>IFERROR(__xludf.DUMMYFUNCTION("iferror(PERCENTRANK.INC(FILTER($X$2:$X$423, $U$2:$U$423&lt;3.75), $X254), 1)"),0.691)</f>
        <v>0.691</v>
      </c>
      <c r="AC254" s="20">
        <f>IFERROR(__xludf.DUMMYFUNCTION("iferror(PERCENTRANK.INC(FILTER($X$2:$X$423, $U$2:$U$423&lt;4.25), $X254), 1)"),0.67)</f>
        <v>0.67</v>
      </c>
      <c r="AD254" s="20">
        <f>IFERROR(__xludf.DUMMYFUNCTION("iferror(PERCENTRANK.INC(FILTER($X$2:$X$423, $U$2:$U$423&gt;=4.1), $X254), 0.01)"),0.049)</f>
        <v>0.049</v>
      </c>
      <c r="AE254" s="20"/>
    </row>
    <row r="255" ht="14.25" customHeight="1">
      <c r="A255" s="17" t="s">
        <v>589</v>
      </c>
      <c r="B255" s="17" t="s">
        <v>590</v>
      </c>
      <c r="C255" s="18">
        <v>15.0</v>
      </c>
      <c r="D255" s="17" t="s">
        <v>98</v>
      </c>
      <c r="E255" s="17" t="s">
        <v>124</v>
      </c>
      <c r="F255" s="18">
        <v>156.0</v>
      </c>
      <c r="G255" s="18">
        <v>146.0</v>
      </c>
      <c r="H255" s="18">
        <v>77.0</v>
      </c>
      <c r="I255" s="19">
        <v>0.527</v>
      </c>
      <c r="J255" s="18">
        <v>945.0</v>
      </c>
      <c r="K255" s="18">
        <v>6.5</v>
      </c>
      <c r="L255" s="18">
        <v>8.0</v>
      </c>
      <c r="M255" s="18">
        <v>6.0</v>
      </c>
      <c r="N255" s="18">
        <v>3.0</v>
      </c>
      <c r="O255" s="18">
        <v>9.0</v>
      </c>
      <c r="P255" s="20">
        <f t="shared" si="1"/>
        <v>1.361143162</v>
      </c>
      <c r="Q255" s="20">
        <f t="shared" si="2"/>
        <v>1.04449393</v>
      </c>
      <c r="R255" s="24"/>
      <c r="S255" s="20">
        <v>1.3611431622760797</v>
      </c>
      <c r="T255" s="22">
        <v>-0.71</v>
      </c>
      <c r="W255" s="25">
        <v>0.9</v>
      </c>
      <c r="X255" s="22">
        <f t="shared" si="17"/>
        <v>0.09767147434</v>
      </c>
      <c r="Y255" s="20">
        <f t="shared" si="4"/>
        <v>37.90810355</v>
      </c>
      <c r="Z255" s="20">
        <f t="shared" si="6"/>
        <v>36.86360962</v>
      </c>
      <c r="AA255" s="20"/>
      <c r="AB255" s="20">
        <f>IFERROR(__xludf.DUMMYFUNCTION("iferror(PERCENTRANK.INC(FILTER($X$2:$X$423, $U$2:$U$423&lt;3.75), $X255), 1)"),0.369)</f>
        <v>0.369</v>
      </c>
      <c r="AC255" s="20">
        <f>IFERROR(__xludf.DUMMYFUNCTION("iferror(PERCENTRANK.INC(FILTER($X$2:$X$423, $U$2:$U$423&lt;4.25), $X255), 1)"),0.358)</f>
        <v>0.358</v>
      </c>
      <c r="AD255" s="20">
        <f>IFERROR(__xludf.DUMMYFUNCTION("iferror(PERCENTRANK.INC(FILTER($X$2:$X$423, $U$2:$U$423&gt;=4.1), $X255), 0.01)"),0.042)</f>
        <v>0.042</v>
      </c>
      <c r="AE255" s="20"/>
    </row>
    <row r="256" ht="14.25" customHeight="1">
      <c r="A256" s="17" t="s">
        <v>591</v>
      </c>
      <c r="B256" s="17" t="s">
        <v>499</v>
      </c>
      <c r="C256" s="18">
        <v>5.0</v>
      </c>
      <c r="D256" s="17" t="s">
        <v>98</v>
      </c>
      <c r="E256" s="17" t="s">
        <v>155</v>
      </c>
      <c r="F256" s="18">
        <v>129.0</v>
      </c>
      <c r="G256" s="18">
        <v>107.0</v>
      </c>
      <c r="H256" s="18">
        <v>64.0</v>
      </c>
      <c r="I256" s="19">
        <v>0.598</v>
      </c>
      <c r="J256" s="18">
        <v>763.0</v>
      </c>
      <c r="K256" s="18">
        <v>7.1</v>
      </c>
      <c r="L256" s="18">
        <v>6.0</v>
      </c>
      <c r="M256" s="18">
        <v>4.0</v>
      </c>
      <c r="N256" s="18">
        <v>16.0</v>
      </c>
      <c r="O256" s="18">
        <v>4.0</v>
      </c>
      <c r="P256" s="20">
        <f t="shared" si="1"/>
        <v>1.37464845</v>
      </c>
      <c r="Q256" s="20">
        <f t="shared" si="2"/>
        <v>1.050898137</v>
      </c>
      <c r="R256" s="24"/>
      <c r="S256" s="20">
        <v>1.3746484501919871</v>
      </c>
      <c r="T256" s="22">
        <v>-0.97</v>
      </c>
      <c r="W256" s="25">
        <v>0.9</v>
      </c>
      <c r="X256" s="22">
        <f t="shared" si="17"/>
        <v>0.04007754078</v>
      </c>
      <c r="Y256" s="20">
        <f t="shared" si="4"/>
        <v>37.19595093</v>
      </c>
      <c r="Z256" s="20">
        <f t="shared" si="6"/>
        <v>36.14505279</v>
      </c>
      <c r="AA256" s="20"/>
      <c r="AB256" s="20">
        <f>IFERROR(__xludf.DUMMYFUNCTION("iferror(PERCENTRANK.INC(FILTER($X$2:$X$423, $U$2:$U$423&lt;3.75), $X256), 1)"),0.314)</f>
        <v>0.314</v>
      </c>
      <c r="AC256" s="20">
        <f>IFERROR(__xludf.DUMMYFUNCTION("iferror(PERCENTRANK.INC(FILTER($X$2:$X$423, $U$2:$U$423&lt;4.25), $X256), 1)"),0.305)</f>
        <v>0.305</v>
      </c>
      <c r="AD256" s="20">
        <f>IFERROR(__xludf.DUMMYFUNCTION("iferror(PERCENTRANK.INC(FILTER($X$2:$X$423, $U$2:$U$423&gt;=4.1), $X256), 0.01)"),0.041)</f>
        <v>0.041</v>
      </c>
      <c r="AE256" s="20"/>
    </row>
    <row r="257" ht="14.25" customHeight="1">
      <c r="A257" s="17" t="s">
        <v>592</v>
      </c>
      <c r="B257" s="17" t="s">
        <v>593</v>
      </c>
      <c r="C257" s="18">
        <v>6.0</v>
      </c>
      <c r="D257" s="17" t="s">
        <v>98</v>
      </c>
      <c r="E257" s="17" t="s">
        <v>127</v>
      </c>
      <c r="F257" s="18">
        <v>221.0</v>
      </c>
      <c r="G257" s="18">
        <v>177.0</v>
      </c>
      <c r="H257" s="18">
        <v>90.0</v>
      </c>
      <c r="I257" s="19">
        <v>0.508</v>
      </c>
      <c r="J257" s="18">
        <v>1082.0</v>
      </c>
      <c r="K257" s="18">
        <v>6.1</v>
      </c>
      <c r="L257" s="18">
        <v>6.0</v>
      </c>
      <c r="M257" s="18">
        <v>5.0</v>
      </c>
      <c r="N257" s="18">
        <v>19.0</v>
      </c>
      <c r="O257" s="18">
        <v>5.0</v>
      </c>
      <c r="P257" s="20">
        <f t="shared" si="1"/>
        <v>1.334584279</v>
      </c>
      <c r="Q257" s="20">
        <f t="shared" si="2"/>
        <v>1.031899709</v>
      </c>
      <c r="R257" s="24"/>
      <c r="S257" s="20">
        <v>1.3345842792647695</v>
      </c>
      <c r="T257" s="22">
        <v>-0.85</v>
      </c>
      <c r="U257" s="30"/>
      <c r="V257" s="30"/>
      <c r="W257" s="18">
        <v>0.9</v>
      </c>
      <c r="X257" s="22">
        <f t="shared" si="17"/>
        <v>0.0526688777</v>
      </c>
      <c r="Y257" s="20">
        <f t="shared" si="4"/>
        <v>37.3516436</v>
      </c>
      <c r="Z257" s="20">
        <f t="shared" si="6"/>
        <v>36.31974389</v>
      </c>
      <c r="AA257" s="20"/>
      <c r="AB257" s="20">
        <f>IFERROR(__xludf.DUMMYFUNCTION("iferror(PERCENTRANK.INC(FILTER($X$2:$X$423, $U$2:$U$423&lt;3.75), $X257), 1)"),0.325)</f>
        <v>0.325</v>
      </c>
      <c r="AC257" s="20">
        <f>IFERROR(__xludf.DUMMYFUNCTION("iferror(PERCENTRANK.INC(FILTER($X$2:$X$423, $U$2:$U$423&lt;4.25), $X257), 1)"),0.315)</f>
        <v>0.315</v>
      </c>
      <c r="AD257" s="20">
        <f>IFERROR(__xludf.DUMMYFUNCTION("iferror(PERCENTRANK.INC(FILTER($X$2:$X$423, $U$2:$U$423&gt;=4.1), $X257), 0.01)"),0.041)</f>
        <v>0.041</v>
      </c>
      <c r="AE257" s="20"/>
    </row>
    <row r="258" ht="14.25" customHeight="1">
      <c r="A258" s="17" t="s">
        <v>594</v>
      </c>
      <c r="B258" s="17" t="s">
        <v>595</v>
      </c>
      <c r="C258" s="18">
        <v>16.0</v>
      </c>
      <c r="D258" s="17" t="s">
        <v>98</v>
      </c>
      <c r="E258" s="17" t="s">
        <v>243</v>
      </c>
      <c r="F258" s="18">
        <v>146.0</v>
      </c>
      <c r="G258" s="18">
        <v>125.0</v>
      </c>
      <c r="H258" s="18">
        <v>77.0</v>
      </c>
      <c r="I258" s="19">
        <v>0.616</v>
      </c>
      <c r="J258" s="18">
        <v>834.0</v>
      </c>
      <c r="K258" s="18">
        <v>6.7</v>
      </c>
      <c r="L258" s="18">
        <v>4.0</v>
      </c>
      <c r="M258" s="18">
        <v>3.0</v>
      </c>
      <c r="N258" s="18">
        <v>10.0</v>
      </c>
      <c r="O258" s="18">
        <v>9.0</v>
      </c>
      <c r="P258" s="20">
        <f t="shared" si="1"/>
        <v>1.363418849</v>
      </c>
      <c r="Q258" s="20">
        <f t="shared" si="2"/>
        <v>1.045573061</v>
      </c>
      <c r="R258" s="24"/>
      <c r="S258" s="20">
        <v>1.3634188493150685</v>
      </c>
      <c r="T258" s="22">
        <v>1.75</v>
      </c>
      <c r="W258" s="25">
        <v>0.9</v>
      </c>
      <c r="X258" s="22">
        <f t="shared" si="17"/>
        <v>0.456787186</v>
      </c>
      <c r="Y258" s="20">
        <f t="shared" si="4"/>
        <v>42.348592</v>
      </c>
      <c r="Z258" s="20">
        <f t="shared" si="6"/>
        <v>41.30301894</v>
      </c>
      <c r="AA258" s="20"/>
      <c r="AB258" s="20">
        <f>IFERROR(__xludf.DUMMYFUNCTION("iferror(PERCENTRANK.INC(FILTER($X$2:$X$423, $U$2:$U$423&lt;3.75), $X258), 1)"),0.624)</f>
        <v>0.624</v>
      </c>
      <c r="AC258" s="20">
        <f>IFERROR(__xludf.DUMMYFUNCTION("iferror(PERCENTRANK.INC(FILTER($X$2:$X$423, $U$2:$U$423&lt;4.25), $X258), 1)"),0.605)</f>
        <v>0.605</v>
      </c>
      <c r="AD258" s="20">
        <f>IFERROR(__xludf.DUMMYFUNCTION("iferror(PERCENTRANK.INC(FILTER($X$2:$X$423, $U$2:$U$423&gt;=4.1), $X258), 0.01)"),0.047)</f>
        <v>0.047</v>
      </c>
      <c r="AE258" s="20"/>
    </row>
    <row r="259" ht="14.25" customHeight="1">
      <c r="A259" s="17" t="s">
        <v>596</v>
      </c>
      <c r="B259" s="17" t="s">
        <v>597</v>
      </c>
      <c r="C259" s="18">
        <v>15.0</v>
      </c>
      <c r="D259" s="17" t="s">
        <v>98</v>
      </c>
      <c r="E259" s="17" t="s">
        <v>121</v>
      </c>
      <c r="F259" s="18">
        <v>54.0</v>
      </c>
      <c r="G259" s="18">
        <v>44.0</v>
      </c>
      <c r="H259" s="18">
        <v>20.0</v>
      </c>
      <c r="I259" s="19">
        <v>0.455</v>
      </c>
      <c r="J259" s="18">
        <v>286.0</v>
      </c>
      <c r="K259" s="18">
        <v>6.5</v>
      </c>
      <c r="L259" s="18">
        <v>3.0</v>
      </c>
      <c r="M259" s="18">
        <v>0.0</v>
      </c>
      <c r="N259" s="18">
        <v>6.0</v>
      </c>
      <c r="O259" s="18">
        <v>2.0</v>
      </c>
      <c r="P259" s="20">
        <f t="shared" si="1"/>
        <v>1.354510253</v>
      </c>
      <c r="Q259" s="20">
        <f t="shared" si="2"/>
        <v>1.041348605</v>
      </c>
      <c r="R259" s="24"/>
      <c r="S259" s="20">
        <v>1.3545102525252526</v>
      </c>
      <c r="T259" s="22">
        <v>-0.61</v>
      </c>
      <c r="W259" s="25">
        <v>0.9</v>
      </c>
      <c r="X259" s="22">
        <f t="shared" si="17"/>
        <v>0.101517711</v>
      </c>
      <c r="Y259" s="20">
        <f t="shared" si="4"/>
        <v>37.95566251</v>
      </c>
      <c r="Z259" s="20">
        <f t="shared" si="6"/>
        <v>36.91431391</v>
      </c>
      <c r="AA259" s="20"/>
      <c r="AB259" s="20">
        <f>IFERROR(__xludf.DUMMYFUNCTION("iferror(PERCENTRANK.INC(FILTER($X$2:$X$423, $U$2:$U$423&lt;3.75), $X259), 1)"),0.371)</f>
        <v>0.371</v>
      </c>
      <c r="AC259" s="20">
        <f>IFERROR(__xludf.DUMMYFUNCTION("iferror(PERCENTRANK.INC(FILTER($X$2:$X$423, $U$2:$U$423&lt;4.25), $X259), 1)"),0.36)</f>
        <v>0.36</v>
      </c>
      <c r="AD259" s="20">
        <f>IFERROR(__xludf.DUMMYFUNCTION("iferror(PERCENTRANK.INC(FILTER($X$2:$X$423, $U$2:$U$423&gt;=4.1), $X259), 0.01)"),0.042)</f>
        <v>0.042</v>
      </c>
      <c r="AE259" s="20"/>
    </row>
    <row r="260" ht="14.25" customHeight="1">
      <c r="A260" s="17" t="s">
        <v>598</v>
      </c>
      <c r="B260" s="17" t="s">
        <v>234</v>
      </c>
      <c r="C260" s="18">
        <v>12.0</v>
      </c>
      <c r="D260" s="17" t="s">
        <v>98</v>
      </c>
      <c r="E260" s="17" t="s">
        <v>182</v>
      </c>
      <c r="F260" s="18">
        <v>28.0</v>
      </c>
      <c r="G260" s="18">
        <v>24.0</v>
      </c>
      <c r="H260" s="18">
        <v>13.0</v>
      </c>
      <c r="I260" s="19">
        <v>0.542</v>
      </c>
      <c r="J260" s="18">
        <v>173.0</v>
      </c>
      <c r="K260" s="18">
        <v>7.2</v>
      </c>
      <c r="L260" s="18">
        <v>2.0</v>
      </c>
      <c r="M260" s="18">
        <v>0.0</v>
      </c>
      <c r="N260" s="18">
        <v>1.0</v>
      </c>
      <c r="O260" s="18">
        <v>0.0</v>
      </c>
      <c r="P260" s="20">
        <f t="shared" si="1"/>
        <v>1.354479714</v>
      </c>
      <c r="Q260" s="20">
        <f t="shared" si="2"/>
        <v>1.041334123</v>
      </c>
      <c r="R260" s="24"/>
      <c r="S260" s="20">
        <v>1.3544797142857141</v>
      </c>
      <c r="T260" s="22">
        <v>-0.15</v>
      </c>
      <c r="W260" s="25">
        <v>1.0</v>
      </c>
      <c r="X260" s="22">
        <f t="shared" si="17"/>
        <v>0.1806719571</v>
      </c>
      <c r="Y260" s="20">
        <f t="shared" si="4"/>
        <v>38.93440976</v>
      </c>
      <c r="Z260" s="20">
        <f t="shared" si="6"/>
        <v>37.89307564</v>
      </c>
      <c r="AA260" s="20"/>
      <c r="AB260" s="20">
        <f>IFERROR(__xludf.DUMMYFUNCTION("iferror(PERCENTRANK.INC(FILTER($X$2:$X$423, $U$2:$U$423&lt;3.75), $X260), 1)"),0.456)</f>
        <v>0.456</v>
      </c>
      <c r="AC260" s="20">
        <f>IFERROR(__xludf.DUMMYFUNCTION("iferror(PERCENTRANK.INC(FILTER($X$2:$X$423, $U$2:$U$423&lt;4.25), $X260), 1)"),0.443)</f>
        <v>0.443</v>
      </c>
      <c r="AD260" s="20">
        <f>IFERROR(__xludf.DUMMYFUNCTION("iferror(PERCENTRANK.INC(FILTER($X$2:$X$423, $U$2:$U$423&gt;=4.1), $X260), 0.01)"),0.043)</f>
        <v>0.043</v>
      </c>
      <c r="AE260" s="20"/>
    </row>
    <row r="261" ht="14.25" customHeight="1">
      <c r="A261" s="17" t="s">
        <v>599</v>
      </c>
      <c r="B261" s="17" t="s">
        <v>317</v>
      </c>
      <c r="C261" s="18">
        <v>18.0</v>
      </c>
      <c r="D261" s="17" t="s">
        <v>98</v>
      </c>
      <c r="E261" s="17" t="s">
        <v>124</v>
      </c>
      <c r="F261" s="18">
        <v>103.0</v>
      </c>
      <c r="G261" s="18">
        <v>95.0</v>
      </c>
      <c r="H261" s="18">
        <v>56.0</v>
      </c>
      <c r="I261" s="19">
        <v>0.59</v>
      </c>
      <c r="J261" s="18">
        <v>450.0</v>
      </c>
      <c r="K261" s="18">
        <v>4.7</v>
      </c>
      <c r="L261" s="18">
        <v>3.0</v>
      </c>
      <c r="M261" s="18">
        <v>0.0</v>
      </c>
      <c r="N261" s="18">
        <v>2.0</v>
      </c>
      <c r="O261" s="18">
        <v>2.0</v>
      </c>
      <c r="P261" s="20">
        <f t="shared" si="1"/>
        <v>1.345870419</v>
      </c>
      <c r="Q261" s="20">
        <f t="shared" si="2"/>
        <v>1.037251596</v>
      </c>
      <c r="R261" s="24"/>
      <c r="S261" s="20">
        <v>1.3458704190086868</v>
      </c>
      <c r="T261" s="22">
        <v>-1.16</v>
      </c>
      <c r="U261" s="30"/>
      <c r="V261" s="30"/>
      <c r="W261" s="18">
        <v>0.9</v>
      </c>
      <c r="X261" s="22">
        <f t="shared" si="17"/>
        <v>0.007692506566</v>
      </c>
      <c r="Y261" s="20">
        <f t="shared" si="4"/>
        <v>36.79550793</v>
      </c>
      <c r="Z261" s="20">
        <f t="shared" si="6"/>
        <v>35.75825634</v>
      </c>
      <c r="AA261" s="20"/>
      <c r="AB261" s="20">
        <f>IFERROR(__xludf.DUMMYFUNCTION("iferror(PERCENTRANK.INC(FILTER($X$2:$X$423, $U$2:$U$423&lt;3.75), $X261), 1)"),0.271)</f>
        <v>0.271</v>
      </c>
      <c r="AC261" s="20">
        <f>IFERROR(__xludf.DUMMYFUNCTION("iferror(PERCENTRANK.INC(FILTER($X$2:$X$423, $U$2:$U$423&lt;4.25), $X261), 1)"),0.263)</f>
        <v>0.263</v>
      </c>
      <c r="AD261" s="20">
        <f>IFERROR(__xludf.DUMMYFUNCTION("iferror(PERCENTRANK.INC(FILTER($X$2:$X$423, $U$2:$U$423&gt;=4.1), $X261), 0.01)"),0.04)</f>
        <v>0.04</v>
      </c>
      <c r="AE261" s="20"/>
    </row>
    <row r="262" ht="14.25" customHeight="1">
      <c r="A262" s="17" t="s">
        <v>600</v>
      </c>
      <c r="B262" s="17" t="s">
        <v>601</v>
      </c>
      <c r="C262" s="18">
        <v>3.0</v>
      </c>
      <c r="D262" s="17" t="s">
        <v>98</v>
      </c>
      <c r="E262" s="17" t="s">
        <v>172</v>
      </c>
      <c r="F262" s="18">
        <v>286.0</v>
      </c>
      <c r="G262" s="18">
        <v>243.0</v>
      </c>
      <c r="H262" s="18">
        <v>140.0</v>
      </c>
      <c r="I262" s="19">
        <v>0.576</v>
      </c>
      <c r="J262" s="18">
        <v>1414.0</v>
      </c>
      <c r="K262" s="18">
        <v>5.8</v>
      </c>
      <c r="L262" s="18">
        <v>9.0</v>
      </c>
      <c r="M262" s="18">
        <v>8.0</v>
      </c>
      <c r="N262" s="18">
        <v>23.0</v>
      </c>
      <c r="O262" s="18">
        <v>12.0</v>
      </c>
      <c r="P262" s="20">
        <f t="shared" si="1"/>
        <v>1.307306247</v>
      </c>
      <c r="Q262" s="20">
        <f t="shared" si="2"/>
        <v>1.018964467</v>
      </c>
      <c r="R262" s="24"/>
      <c r="S262" s="20">
        <v>1.3073062467409136</v>
      </c>
      <c r="T262" s="22">
        <v>-0.66</v>
      </c>
      <c r="U262" s="30"/>
      <c r="V262" s="30"/>
      <c r="W262" s="18">
        <v>0.9</v>
      </c>
      <c r="X262" s="22">
        <f t="shared" si="17"/>
        <v>0.08729114016</v>
      </c>
      <c r="Y262" s="20">
        <f t="shared" si="4"/>
        <v>37.77975006</v>
      </c>
      <c r="Z262" s="20">
        <f t="shared" si="6"/>
        <v>36.7607856</v>
      </c>
      <c r="AA262" s="20"/>
      <c r="AB262" s="20">
        <f>IFERROR(__xludf.DUMMYFUNCTION("iferror(PERCENTRANK.INC(FILTER($X$2:$X$423, $U$2:$U$423&lt;3.75), $X262), 1)"),0.356)</f>
        <v>0.356</v>
      </c>
      <c r="AC262" s="20">
        <f>IFERROR(__xludf.DUMMYFUNCTION("iferror(PERCENTRANK.INC(FILTER($X$2:$X$423, $U$2:$U$423&lt;4.25), $X262), 1)"),0.345)</f>
        <v>0.345</v>
      </c>
      <c r="AD262" s="20">
        <f>IFERROR(__xludf.DUMMYFUNCTION("iferror(PERCENTRANK.INC(FILTER($X$2:$X$423, $U$2:$U$423&gt;=4.1), $X262), 0.01)"),0.041)</f>
        <v>0.041</v>
      </c>
      <c r="AE262" s="20"/>
    </row>
    <row r="263" ht="14.25" customHeight="1">
      <c r="A263" s="17" t="s">
        <v>602</v>
      </c>
      <c r="B263" s="17" t="s">
        <v>301</v>
      </c>
      <c r="C263" s="18">
        <v>16.0</v>
      </c>
      <c r="D263" s="17" t="s">
        <v>98</v>
      </c>
      <c r="E263" s="17" t="s">
        <v>144</v>
      </c>
      <c r="F263" s="18">
        <v>63.0</v>
      </c>
      <c r="G263" s="18">
        <v>51.0</v>
      </c>
      <c r="H263" s="18">
        <v>23.0</v>
      </c>
      <c r="I263" s="19">
        <v>0.451</v>
      </c>
      <c r="J263" s="18">
        <v>335.0</v>
      </c>
      <c r="K263" s="18">
        <v>6.6</v>
      </c>
      <c r="L263" s="18">
        <v>2.0</v>
      </c>
      <c r="M263" s="18">
        <v>0.0</v>
      </c>
      <c r="N263" s="18">
        <v>4.0</v>
      </c>
      <c r="O263" s="18">
        <v>2.0</v>
      </c>
      <c r="P263" s="20">
        <f t="shared" si="1"/>
        <v>1.340292387</v>
      </c>
      <c r="Q263" s="20">
        <f t="shared" si="2"/>
        <v>1.034606493</v>
      </c>
      <c r="R263" s="24"/>
      <c r="S263" s="20">
        <v>1.3402923874883288</v>
      </c>
      <c r="T263" s="22">
        <v>-1.04</v>
      </c>
      <c r="W263" s="25">
        <v>0.95</v>
      </c>
      <c r="X263" s="22">
        <f t="shared" si="17"/>
        <v>0.02493947231</v>
      </c>
      <c r="Y263" s="20">
        <f t="shared" si="4"/>
        <v>37.00876775</v>
      </c>
      <c r="Z263" s="20">
        <f t="shared" si="6"/>
        <v>35.97416126</v>
      </c>
      <c r="AA263" s="20"/>
      <c r="AB263" s="20">
        <f>IFERROR(__xludf.DUMMYFUNCTION("iferror(PERCENTRANK.INC(FILTER($X$2:$X$423, $U$2:$U$423&lt;3.75), $X263), 1)"),0.296)</f>
        <v>0.296</v>
      </c>
      <c r="AC263" s="20">
        <f>IFERROR(__xludf.DUMMYFUNCTION("iferror(PERCENTRANK.INC(FILTER($X$2:$X$423, $U$2:$U$423&lt;4.25), $X263), 1)"),0.288)</f>
        <v>0.288</v>
      </c>
      <c r="AD263" s="20">
        <f>IFERROR(__xludf.DUMMYFUNCTION("iferror(PERCENTRANK.INC(FILTER($X$2:$X$423, $U$2:$U$423&gt;=4.1), $X263), 0.01)"),0.04)</f>
        <v>0.04</v>
      </c>
      <c r="AE263" s="20"/>
    </row>
    <row r="264" ht="14.25" customHeight="1">
      <c r="A264" s="17" t="s">
        <v>603</v>
      </c>
      <c r="B264" s="17" t="s">
        <v>604</v>
      </c>
      <c r="C264" s="18">
        <v>3.0</v>
      </c>
      <c r="D264" s="17" t="s">
        <v>98</v>
      </c>
      <c r="E264" s="17" t="s">
        <v>132</v>
      </c>
      <c r="F264" s="18">
        <v>38.0</v>
      </c>
      <c r="G264" s="18">
        <v>35.0</v>
      </c>
      <c r="H264" s="18">
        <v>20.0</v>
      </c>
      <c r="I264" s="19">
        <v>0.571</v>
      </c>
      <c r="J264" s="18">
        <v>238.0</v>
      </c>
      <c r="K264" s="18">
        <v>6.8</v>
      </c>
      <c r="L264" s="18">
        <v>2.0</v>
      </c>
      <c r="M264" s="18">
        <v>0.0</v>
      </c>
      <c r="N264" s="18">
        <v>1.0</v>
      </c>
      <c r="O264" s="18">
        <v>1.0</v>
      </c>
      <c r="P264" s="20">
        <f t="shared" si="1"/>
        <v>1.337224068</v>
      </c>
      <c r="Q264" s="20">
        <f t="shared" si="2"/>
        <v>1.033151496</v>
      </c>
      <c r="R264" s="29"/>
      <c r="S264" s="20">
        <v>1.3372240676691731</v>
      </c>
      <c r="T264" s="22">
        <v>2.03</v>
      </c>
      <c r="U264" s="31"/>
      <c r="V264" s="30"/>
      <c r="W264" s="18">
        <v>0.95</v>
      </c>
      <c r="X264" s="22">
        <f t="shared" si="17"/>
        <v>0.4850252491</v>
      </c>
      <c r="Y264" s="20">
        <f t="shared" si="4"/>
        <v>42.69775743</v>
      </c>
      <c r="Z264" s="20">
        <f t="shared" si="6"/>
        <v>41.66460594</v>
      </c>
      <c r="AA264" s="20"/>
      <c r="AB264" s="20">
        <f>IFERROR(__xludf.DUMMYFUNCTION("iferror(PERCENTRANK.INC(FILTER($X$2:$X$423, $U$2:$U$423&lt;3.75), $X264), 1)"),0.644)</f>
        <v>0.644</v>
      </c>
      <c r="AC264" s="20">
        <f>IFERROR(__xludf.DUMMYFUNCTION("iferror(PERCENTRANK.INC(FILTER($X$2:$X$423, $U$2:$U$423&lt;4.25), $X264), 1)"),0.625)</f>
        <v>0.625</v>
      </c>
      <c r="AD264" s="20">
        <f>IFERROR(__xludf.DUMMYFUNCTION("iferror(PERCENTRANK.INC(FILTER($X$2:$X$423, $U$2:$U$423&gt;=4.1), $X264), 0.01)"),0.048)</f>
        <v>0.048</v>
      </c>
      <c r="AE264" s="20"/>
    </row>
    <row r="265" ht="14.25" customHeight="1">
      <c r="A265" s="17" t="s">
        <v>605</v>
      </c>
      <c r="B265" s="17" t="s">
        <v>581</v>
      </c>
      <c r="C265" s="18">
        <v>15.0</v>
      </c>
      <c r="D265" s="17" t="s">
        <v>98</v>
      </c>
      <c r="E265" s="17" t="s">
        <v>108</v>
      </c>
      <c r="F265" s="18">
        <v>418.0</v>
      </c>
      <c r="G265" s="18">
        <v>367.0</v>
      </c>
      <c r="H265" s="18">
        <v>205.0</v>
      </c>
      <c r="I265" s="19">
        <v>0.559</v>
      </c>
      <c r="J265" s="18">
        <v>2279.0</v>
      </c>
      <c r="K265" s="18">
        <v>6.2</v>
      </c>
      <c r="L265" s="18">
        <v>9.0</v>
      </c>
      <c r="M265" s="18">
        <v>12.0</v>
      </c>
      <c r="N265" s="18">
        <v>17.0</v>
      </c>
      <c r="O265" s="18">
        <v>16.0</v>
      </c>
      <c r="P265" s="20">
        <f t="shared" si="1"/>
        <v>1.299565759</v>
      </c>
      <c r="Q265" s="20">
        <f t="shared" si="2"/>
        <v>1.015293928</v>
      </c>
      <c r="R265" s="24"/>
      <c r="S265" s="20">
        <v>1.2995657593444847</v>
      </c>
      <c r="T265" s="22">
        <v>1.19</v>
      </c>
      <c r="W265" s="25">
        <v>1.0</v>
      </c>
      <c r="X265" s="22">
        <f t="shared" si="17"/>
        <v>0.3539413775</v>
      </c>
      <c r="Y265" s="20">
        <f t="shared" si="4"/>
        <v>41.07689708</v>
      </c>
      <c r="Z265" s="20">
        <f t="shared" si="6"/>
        <v>40.06160316</v>
      </c>
      <c r="AA265" s="20"/>
      <c r="AB265" s="20">
        <f>IFERROR(__xludf.DUMMYFUNCTION("iferror(PERCENTRANK.INC(FILTER($X$2:$X$423, $U$2:$U$423&lt;3.75), $X265), 1)"),0.577)</f>
        <v>0.577</v>
      </c>
      <c r="AC265" s="20">
        <f>IFERROR(__xludf.DUMMYFUNCTION("iferror(PERCENTRANK.INC(FILTER($X$2:$X$423, $U$2:$U$423&lt;4.25), $X265), 1)"),0.56)</f>
        <v>0.56</v>
      </c>
      <c r="AD265" s="20">
        <f>IFERROR(__xludf.DUMMYFUNCTION("iferror(PERCENTRANK.INC(FILTER($X$2:$X$423, $U$2:$U$423&gt;=4.1), $X265), 0.01)"),0.045)</f>
        <v>0.045</v>
      </c>
      <c r="AE265" s="20"/>
    </row>
    <row r="266" ht="14.25" customHeight="1">
      <c r="A266" s="17" t="s">
        <v>606</v>
      </c>
      <c r="B266" s="17" t="s">
        <v>466</v>
      </c>
      <c r="C266" s="18">
        <v>2.0</v>
      </c>
      <c r="D266" s="17" t="s">
        <v>98</v>
      </c>
      <c r="E266" s="17" t="s">
        <v>124</v>
      </c>
      <c r="F266" s="18">
        <v>76.0</v>
      </c>
      <c r="G266" s="18">
        <v>64.0</v>
      </c>
      <c r="H266" s="18">
        <v>40.0</v>
      </c>
      <c r="I266" s="19">
        <v>0.625</v>
      </c>
      <c r="J266" s="18">
        <v>522.0</v>
      </c>
      <c r="K266" s="18">
        <v>8.2</v>
      </c>
      <c r="L266" s="18">
        <v>2.0</v>
      </c>
      <c r="M266" s="18">
        <v>2.0</v>
      </c>
      <c r="N266" s="18">
        <v>4.0</v>
      </c>
      <c r="O266" s="18">
        <v>5.0</v>
      </c>
      <c r="P266" s="20">
        <f t="shared" si="1"/>
        <v>1.294843421</v>
      </c>
      <c r="Q266" s="20">
        <f t="shared" si="2"/>
        <v>1.013054595</v>
      </c>
      <c r="R266" s="24"/>
      <c r="S266" s="20">
        <v>1.2948434210526312</v>
      </c>
      <c r="T266" s="22">
        <v>0.69</v>
      </c>
      <c r="W266" s="25">
        <v>0.9</v>
      </c>
      <c r="X266" s="22">
        <f t="shared" si="17"/>
        <v>0.2880151875</v>
      </c>
      <c r="Y266" s="20">
        <f t="shared" si="4"/>
        <v>40.26171558</v>
      </c>
      <c r="Z266" s="20">
        <f t="shared" si="6"/>
        <v>39.24866099</v>
      </c>
      <c r="AA266" s="20"/>
      <c r="AB266" s="20">
        <f>IFERROR(__xludf.DUMMYFUNCTION("iferror(PERCENTRANK.INC(FILTER($X$2:$X$423, $U$2:$U$423&lt;3.75), $X266), 1)"),0.539)</f>
        <v>0.539</v>
      </c>
      <c r="AC266" s="20">
        <f>IFERROR(__xludf.DUMMYFUNCTION("iferror(PERCENTRANK.INC(FILTER($X$2:$X$423, $U$2:$U$423&lt;4.25), $X266), 1)"),0.523)</f>
        <v>0.523</v>
      </c>
      <c r="AD266" s="20">
        <f>IFERROR(__xludf.DUMMYFUNCTION("iferror(PERCENTRANK.INC(FILTER($X$2:$X$423, $U$2:$U$423&gt;=4.1), $X266), 0.01)"),0.044)</f>
        <v>0.044</v>
      </c>
      <c r="AE266" s="20"/>
    </row>
    <row r="267" ht="14.25" customHeight="1">
      <c r="A267" s="17" t="s">
        <v>607</v>
      </c>
      <c r="B267" s="17" t="s">
        <v>608</v>
      </c>
      <c r="C267" s="18">
        <v>15.0</v>
      </c>
      <c r="D267" s="17" t="s">
        <v>98</v>
      </c>
      <c r="E267" s="17" t="s">
        <v>158</v>
      </c>
      <c r="F267" s="18">
        <v>125.0</v>
      </c>
      <c r="G267" s="18">
        <v>104.0</v>
      </c>
      <c r="H267" s="18">
        <v>64.0</v>
      </c>
      <c r="I267" s="19">
        <v>0.615</v>
      </c>
      <c r="J267" s="18">
        <v>738.0</v>
      </c>
      <c r="K267" s="18">
        <v>7.1</v>
      </c>
      <c r="L267" s="18">
        <v>7.0</v>
      </c>
      <c r="M267" s="18">
        <v>5.0</v>
      </c>
      <c r="N267" s="18">
        <v>11.0</v>
      </c>
      <c r="O267" s="18">
        <v>3.0</v>
      </c>
      <c r="P267" s="20">
        <f t="shared" si="1"/>
        <v>1.317628077</v>
      </c>
      <c r="Q267" s="20">
        <f t="shared" si="2"/>
        <v>1.023859078</v>
      </c>
      <c r="R267" s="24"/>
      <c r="S267" s="20">
        <v>1.3176280769230764</v>
      </c>
      <c r="T267" s="22">
        <v>2.55</v>
      </c>
      <c r="W267" s="25">
        <v>0.95</v>
      </c>
      <c r="X267" s="22">
        <f t="shared" si="17"/>
        <v>0.5603797904</v>
      </c>
      <c r="Y267" s="20">
        <f t="shared" si="4"/>
        <v>43.62952109</v>
      </c>
      <c r="Z267" s="20">
        <f t="shared" si="6"/>
        <v>42.60566202</v>
      </c>
      <c r="AA267" s="20"/>
      <c r="AB267" s="20">
        <f>IFERROR(__xludf.DUMMYFUNCTION("iferror(PERCENTRANK.INC(FILTER($X$2:$X$423, $U$2:$U$423&lt;3.75), $X267), 1)"),0.696)</f>
        <v>0.696</v>
      </c>
      <c r="AC267" s="20">
        <f>IFERROR(__xludf.DUMMYFUNCTION("iferror(PERCENTRANK.INC(FILTER($X$2:$X$423, $U$2:$U$423&lt;4.25), $X267), 1)"),0.675)</f>
        <v>0.675</v>
      </c>
      <c r="AD267" s="20">
        <f>IFERROR(__xludf.DUMMYFUNCTION("iferror(PERCENTRANK.INC(FILTER($X$2:$X$423, $U$2:$U$423&gt;=4.1), $X267), 0.01)"),0.049)</f>
        <v>0.049</v>
      </c>
      <c r="AE267" s="20"/>
    </row>
    <row r="268" ht="14.25" customHeight="1">
      <c r="A268" s="17" t="s">
        <v>609</v>
      </c>
      <c r="B268" s="17" t="s">
        <v>610</v>
      </c>
      <c r="C268" s="18">
        <v>12.0</v>
      </c>
      <c r="D268" s="17" t="s">
        <v>98</v>
      </c>
      <c r="E268" s="17" t="s">
        <v>189</v>
      </c>
      <c r="F268" s="18">
        <v>186.0</v>
      </c>
      <c r="G268" s="18">
        <v>164.0</v>
      </c>
      <c r="H268" s="18">
        <v>107.0</v>
      </c>
      <c r="I268" s="19">
        <v>0.652</v>
      </c>
      <c r="J268" s="18">
        <v>1028.0</v>
      </c>
      <c r="K268" s="18">
        <v>6.3</v>
      </c>
      <c r="L268" s="18">
        <v>4.0</v>
      </c>
      <c r="M268" s="18">
        <v>4.0</v>
      </c>
      <c r="N268" s="18">
        <v>13.0</v>
      </c>
      <c r="O268" s="18">
        <v>4.0</v>
      </c>
      <c r="P268" s="20">
        <f t="shared" si="1"/>
        <v>1.299559332</v>
      </c>
      <c r="Q268" s="20">
        <f t="shared" si="2"/>
        <v>1.01529088</v>
      </c>
      <c r="R268" s="24"/>
      <c r="S268" s="20">
        <v>1.2995593317597696</v>
      </c>
      <c r="T268" s="22">
        <v>-0.05</v>
      </c>
      <c r="W268" s="25">
        <v>0.9</v>
      </c>
      <c r="X268" s="22">
        <f t="shared" si="17"/>
        <v>0.1776872048</v>
      </c>
      <c r="Y268" s="20">
        <f t="shared" si="4"/>
        <v>38.89750311</v>
      </c>
      <c r="Z268" s="20">
        <f t="shared" si="6"/>
        <v>37.88221223</v>
      </c>
      <c r="AA268" s="20"/>
      <c r="AB268" s="20">
        <f>IFERROR(__xludf.DUMMYFUNCTION("iferror(PERCENTRANK.INC(FILTER($X$2:$X$423, $U$2:$U$423&lt;3.75), $X268), 1)"),0.454)</f>
        <v>0.454</v>
      </c>
      <c r="AC268" s="20">
        <f>IFERROR(__xludf.DUMMYFUNCTION("iferror(PERCENTRANK.INC(FILTER($X$2:$X$423, $U$2:$U$423&lt;4.25), $X268), 1)"),0.44)</f>
        <v>0.44</v>
      </c>
      <c r="AD268" s="20">
        <f>IFERROR(__xludf.DUMMYFUNCTION("iferror(PERCENTRANK.INC(FILTER($X$2:$X$423, $U$2:$U$423&gt;=4.1), $X268), 0.01)"),0.043)</f>
        <v>0.043</v>
      </c>
      <c r="AE268" s="20"/>
    </row>
    <row r="269" ht="14.25" customHeight="1">
      <c r="A269" s="17" t="s">
        <v>611</v>
      </c>
      <c r="B269" s="17" t="s">
        <v>612</v>
      </c>
      <c r="C269" s="18">
        <v>18.0</v>
      </c>
      <c r="D269" s="17" t="s">
        <v>98</v>
      </c>
      <c r="E269" s="17" t="s">
        <v>114</v>
      </c>
      <c r="F269" s="18">
        <v>167.0</v>
      </c>
      <c r="G269" s="18">
        <v>131.0</v>
      </c>
      <c r="H269" s="18">
        <v>69.0</v>
      </c>
      <c r="I269" s="19">
        <v>0.527</v>
      </c>
      <c r="J269" s="18">
        <v>835.0</v>
      </c>
      <c r="K269" s="18">
        <v>6.4</v>
      </c>
      <c r="L269" s="18">
        <v>5.0</v>
      </c>
      <c r="M269" s="18">
        <v>4.0</v>
      </c>
      <c r="N269" s="18">
        <v>18.0</v>
      </c>
      <c r="O269" s="18">
        <v>6.0</v>
      </c>
      <c r="P269" s="20">
        <f t="shared" si="1"/>
        <v>1.223263347</v>
      </c>
      <c r="Q269" s="20">
        <f t="shared" si="2"/>
        <v>0.9791113271</v>
      </c>
      <c r="R269" s="24"/>
      <c r="S269" s="20">
        <v>1.22326334748823</v>
      </c>
      <c r="T269" s="22">
        <v>-0.62</v>
      </c>
      <c r="U269" s="30"/>
      <c r="V269" s="30"/>
      <c r="W269" s="18">
        <v>0.9</v>
      </c>
      <c r="X269" s="22">
        <f t="shared" si="17"/>
        <v>0.08131502702</v>
      </c>
      <c r="Y269" s="20">
        <f t="shared" si="4"/>
        <v>37.70585505</v>
      </c>
      <c r="Z269" s="20">
        <f t="shared" si="6"/>
        <v>36.72674372</v>
      </c>
      <c r="AA269" s="20"/>
      <c r="AB269" s="20">
        <f>IFERROR(__xludf.DUMMYFUNCTION("iferror(PERCENTRANK.INC(FILTER($X$2:$X$423, $U$2:$U$423&lt;3.75), $X269), 1)"),0.351)</f>
        <v>0.351</v>
      </c>
      <c r="AC269" s="20">
        <f>IFERROR(__xludf.DUMMYFUNCTION("iferror(PERCENTRANK.INC(FILTER($X$2:$X$423, $U$2:$U$423&lt;4.25), $X269), 1)"),0.34)</f>
        <v>0.34</v>
      </c>
      <c r="AD269" s="20">
        <f>IFERROR(__xludf.DUMMYFUNCTION("iferror(PERCENTRANK.INC(FILTER($X$2:$X$423, $U$2:$U$423&gt;=4.1), $X269), 0.01)"),0.041)</f>
        <v>0.041</v>
      </c>
      <c r="AE269" s="20"/>
    </row>
    <row r="270" ht="14.25" customHeight="1">
      <c r="A270" s="17" t="s">
        <v>613</v>
      </c>
      <c r="B270" s="17" t="s">
        <v>325</v>
      </c>
      <c r="C270" s="18">
        <v>4.0</v>
      </c>
      <c r="D270" s="17" t="s">
        <v>98</v>
      </c>
      <c r="E270" s="17" t="s">
        <v>155</v>
      </c>
      <c r="F270" s="18">
        <v>43.0</v>
      </c>
      <c r="G270" s="18">
        <v>33.0</v>
      </c>
      <c r="H270" s="18">
        <v>24.0</v>
      </c>
      <c r="I270" s="19">
        <v>0.727</v>
      </c>
      <c r="J270" s="18">
        <v>282.0</v>
      </c>
      <c r="K270" s="18">
        <v>8.6</v>
      </c>
      <c r="L270" s="18">
        <v>1.0</v>
      </c>
      <c r="M270" s="18">
        <v>1.0</v>
      </c>
      <c r="N270" s="18">
        <v>4.0</v>
      </c>
      <c r="O270" s="18">
        <v>2.0</v>
      </c>
      <c r="P270" s="20">
        <f t="shared" si="1"/>
        <v>1.213180896</v>
      </c>
      <c r="Q270" s="20">
        <f t="shared" si="2"/>
        <v>0.9743302288</v>
      </c>
      <c r="R270" s="24"/>
      <c r="S270" s="20">
        <v>1.213180895701198</v>
      </c>
      <c r="T270" s="22">
        <v>0.83</v>
      </c>
      <c r="U270" s="30"/>
      <c r="V270" s="30"/>
      <c r="W270" s="18">
        <v>0.9</v>
      </c>
      <c r="X270" s="22">
        <f t="shared" si="17"/>
        <v>0.2882794209</v>
      </c>
      <c r="Y270" s="20">
        <f t="shared" si="4"/>
        <v>40.26498285</v>
      </c>
      <c r="Z270" s="20">
        <f t="shared" si="6"/>
        <v>39.29065262</v>
      </c>
      <c r="AA270" s="20"/>
      <c r="AB270" s="20">
        <f>IFERROR(__xludf.DUMMYFUNCTION("iferror(PERCENTRANK.INC(FILTER($X$2:$X$423, $U$2:$U$423&lt;3.75), $X270), 1)"),0.541)</f>
        <v>0.541</v>
      </c>
      <c r="AC270" s="20">
        <f>IFERROR(__xludf.DUMMYFUNCTION("iferror(PERCENTRANK.INC(FILTER($X$2:$X$423, $U$2:$U$423&lt;4.25), $X270), 1)"),0.525)</f>
        <v>0.525</v>
      </c>
      <c r="AD270" s="20">
        <f>IFERROR(__xludf.DUMMYFUNCTION("iferror(PERCENTRANK.INC(FILTER($X$2:$X$423, $U$2:$U$423&gt;=4.1), $X270), 0.01)"),0.044)</f>
        <v>0.044</v>
      </c>
      <c r="AE270" s="20"/>
    </row>
    <row r="271" ht="14.25" customHeight="1">
      <c r="A271" s="17" t="s">
        <v>614</v>
      </c>
      <c r="B271" s="17" t="s">
        <v>615</v>
      </c>
      <c r="C271" s="18">
        <v>10.0</v>
      </c>
      <c r="D271" s="17" t="s">
        <v>98</v>
      </c>
      <c r="E271" s="17" t="s">
        <v>144</v>
      </c>
      <c r="F271" s="18">
        <v>244.0</v>
      </c>
      <c r="G271" s="18">
        <v>193.0</v>
      </c>
      <c r="H271" s="18">
        <v>109.0</v>
      </c>
      <c r="I271" s="19">
        <v>0.565</v>
      </c>
      <c r="J271" s="18">
        <v>1159.0</v>
      </c>
      <c r="K271" s="18">
        <v>6.0</v>
      </c>
      <c r="L271" s="18">
        <v>5.0</v>
      </c>
      <c r="M271" s="18">
        <v>5.0</v>
      </c>
      <c r="N271" s="18">
        <v>20.0</v>
      </c>
      <c r="O271" s="18">
        <v>5.0</v>
      </c>
      <c r="P271" s="20">
        <f t="shared" si="1"/>
        <v>1.268462398</v>
      </c>
      <c r="Q271" s="20">
        <f t="shared" si="2"/>
        <v>1.000544715</v>
      </c>
      <c r="R271" s="24"/>
      <c r="S271" s="20">
        <v>1.2684623982842096</v>
      </c>
      <c r="T271" s="22">
        <v>-0.79</v>
      </c>
      <c r="W271" s="25">
        <v>0.95</v>
      </c>
      <c r="X271" s="22">
        <f t="shared" si="17"/>
        <v>0.07176935974</v>
      </c>
      <c r="Y271" s="20">
        <f t="shared" si="4"/>
        <v>37.58782227</v>
      </c>
      <c r="Z271" s="20">
        <f t="shared" si="6"/>
        <v>36.58727755</v>
      </c>
      <c r="AA271" s="20"/>
      <c r="AB271" s="20">
        <f>IFERROR(__xludf.DUMMYFUNCTION("iferror(PERCENTRANK.INC(FILTER($X$2:$X$423, $U$2:$U$423&lt;3.75), $X271), 1)"),0.343)</f>
        <v>0.343</v>
      </c>
      <c r="AC271" s="20">
        <f>IFERROR(__xludf.DUMMYFUNCTION("iferror(PERCENTRANK.INC(FILTER($X$2:$X$423, $U$2:$U$423&lt;4.25), $X271), 1)"),0.333)</f>
        <v>0.333</v>
      </c>
      <c r="AD271" s="20">
        <f>IFERROR(__xludf.DUMMYFUNCTION("iferror(PERCENTRANK.INC(FILTER($X$2:$X$423, $U$2:$U$423&gt;=4.1), $X271), 0.01)"),0.041)</f>
        <v>0.041</v>
      </c>
      <c r="AE271" s="20"/>
    </row>
    <row r="272" ht="14.25" customHeight="1">
      <c r="A272" s="17" t="s">
        <v>616</v>
      </c>
      <c r="B272" s="17" t="s">
        <v>617</v>
      </c>
      <c r="C272" s="18">
        <v>9.0</v>
      </c>
      <c r="D272" s="17" t="s">
        <v>98</v>
      </c>
      <c r="E272" s="17" t="s">
        <v>179</v>
      </c>
      <c r="F272" s="18">
        <v>219.0</v>
      </c>
      <c r="G272" s="18">
        <v>198.0</v>
      </c>
      <c r="H272" s="18">
        <v>108.0</v>
      </c>
      <c r="I272" s="19">
        <v>0.545</v>
      </c>
      <c r="J272" s="18">
        <v>1260.0</v>
      </c>
      <c r="K272" s="18">
        <v>6.4</v>
      </c>
      <c r="L272" s="18">
        <v>7.0</v>
      </c>
      <c r="M272" s="18">
        <v>7.0</v>
      </c>
      <c r="N272" s="18">
        <v>10.0</v>
      </c>
      <c r="O272" s="18">
        <v>10.0</v>
      </c>
      <c r="P272" s="20">
        <f t="shared" si="1"/>
        <v>1.261748859</v>
      </c>
      <c r="Q272" s="20">
        <f t="shared" si="2"/>
        <v>0.9973611553</v>
      </c>
      <c r="R272" s="24"/>
      <c r="S272" s="20">
        <v>1.2617488591393384</v>
      </c>
      <c r="T272" s="22">
        <v>-0.37</v>
      </c>
      <c r="W272" s="25">
        <v>0.9</v>
      </c>
      <c r="X272" s="22">
        <f t="shared" si="17"/>
        <v>0.114836096</v>
      </c>
      <c r="Y272" s="20">
        <f t="shared" si="4"/>
        <v>38.12034518</v>
      </c>
      <c r="Z272" s="20">
        <f t="shared" si="6"/>
        <v>37.12298403</v>
      </c>
      <c r="AA272" s="20"/>
      <c r="AB272" s="20">
        <f>IFERROR(__xludf.DUMMYFUNCTION("iferror(PERCENTRANK.INC(FILTER($X$2:$X$423, $U$2:$U$423&lt;3.75), $X272), 1)"),0.384)</f>
        <v>0.384</v>
      </c>
      <c r="AC272" s="20">
        <f>IFERROR(__xludf.DUMMYFUNCTION("iferror(PERCENTRANK.INC(FILTER($X$2:$X$423, $U$2:$U$423&lt;4.25), $X272), 1)"),0.373)</f>
        <v>0.373</v>
      </c>
      <c r="AD272" s="20">
        <f>IFERROR(__xludf.DUMMYFUNCTION("iferror(PERCENTRANK.INC(FILTER($X$2:$X$423, $U$2:$U$423&gt;=4.1), $X272), 0.01)"),0.042)</f>
        <v>0.042</v>
      </c>
      <c r="AE272" s="20"/>
    </row>
    <row r="273" ht="14.25" customHeight="1">
      <c r="A273" s="17" t="s">
        <v>618</v>
      </c>
      <c r="B273" s="17" t="s">
        <v>277</v>
      </c>
      <c r="C273" s="18">
        <v>2.0</v>
      </c>
      <c r="D273" s="17" t="s">
        <v>98</v>
      </c>
      <c r="E273" s="17" t="s">
        <v>132</v>
      </c>
      <c r="F273" s="18">
        <v>133.0</v>
      </c>
      <c r="G273" s="18">
        <v>111.0</v>
      </c>
      <c r="H273" s="18">
        <v>64.0</v>
      </c>
      <c r="I273" s="19">
        <v>0.577</v>
      </c>
      <c r="J273" s="18">
        <v>658.0</v>
      </c>
      <c r="K273" s="18">
        <v>5.9</v>
      </c>
      <c r="L273" s="18">
        <v>5.0</v>
      </c>
      <c r="M273" s="18">
        <v>3.0</v>
      </c>
      <c r="N273" s="18">
        <v>7.0</v>
      </c>
      <c r="O273" s="18">
        <v>6.0</v>
      </c>
      <c r="P273" s="20">
        <f t="shared" si="1"/>
        <v>1.260564178</v>
      </c>
      <c r="Q273" s="20">
        <f t="shared" si="2"/>
        <v>0.9967993794</v>
      </c>
      <c r="R273" s="24"/>
      <c r="S273" s="20">
        <v>1.2605641778093881</v>
      </c>
      <c r="T273" s="22">
        <v>-1.25</v>
      </c>
      <c r="W273" s="25">
        <v>0.95</v>
      </c>
      <c r="X273" s="22">
        <f t="shared" si="17"/>
        <v>0.001584626671</v>
      </c>
      <c r="Y273" s="20">
        <f t="shared" si="4"/>
        <v>36.71998361</v>
      </c>
      <c r="Z273" s="20">
        <f t="shared" si="6"/>
        <v>35.72318423</v>
      </c>
      <c r="AA273" s="20"/>
      <c r="AB273" s="20">
        <f>IFERROR(__xludf.DUMMYFUNCTION("iferror(PERCENTRANK.INC(FILTER($X$2:$X$423, $U$2:$U$423&lt;3.75), $X273), 1)"),0.268)</f>
        <v>0.268</v>
      </c>
      <c r="AC273" s="20">
        <f>IFERROR(__xludf.DUMMYFUNCTION("iferror(PERCENTRANK.INC(FILTER($X$2:$X$423, $U$2:$U$423&lt;4.25), $X273), 1)"),0.26)</f>
        <v>0.26</v>
      </c>
      <c r="AD273" s="20">
        <f>IFERROR(__xludf.DUMMYFUNCTION("iferror(PERCENTRANK.INC(FILTER($X$2:$X$423, $U$2:$U$423&gt;=4.1), $X273), 0.01)"),0.04)</f>
        <v>0.04</v>
      </c>
      <c r="AE273" s="20"/>
    </row>
    <row r="274" ht="14.25" customHeight="1">
      <c r="A274" s="17" t="s">
        <v>619</v>
      </c>
      <c r="B274" s="17" t="s">
        <v>505</v>
      </c>
      <c r="C274" s="18">
        <v>5.0</v>
      </c>
      <c r="D274" s="17" t="s">
        <v>98</v>
      </c>
      <c r="E274" s="17" t="s">
        <v>506</v>
      </c>
      <c r="F274" s="18">
        <v>104.0</v>
      </c>
      <c r="G274" s="18">
        <v>100.0</v>
      </c>
      <c r="H274" s="18">
        <v>68.0</v>
      </c>
      <c r="I274" s="19">
        <v>0.68</v>
      </c>
      <c r="J274" s="18">
        <v>608.0</v>
      </c>
      <c r="K274" s="18">
        <v>6.1</v>
      </c>
      <c r="L274" s="18">
        <v>4.0</v>
      </c>
      <c r="M274" s="18">
        <v>3.0</v>
      </c>
      <c r="N274" s="18">
        <v>0.0</v>
      </c>
      <c r="O274" s="18">
        <v>4.0</v>
      </c>
      <c r="P274" s="20">
        <f t="shared" si="1"/>
        <v>1.19316</v>
      </c>
      <c r="Q274" s="20">
        <f t="shared" si="2"/>
        <v>0.9648363208</v>
      </c>
      <c r="R274" s="24"/>
      <c r="S274" s="20">
        <v>1.1931599999999996</v>
      </c>
      <c r="T274" s="22">
        <v>2.05</v>
      </c>
      <c r="W274" s="25">
        <v>0.95</v>
      </c>
      <c r="X274" s="22">
        <f t="shared" si="17"/>
        <v>0.4685766</v>
      </c>
      <c r="Y274" s="20">
        <f t="shared" si="4"/>
        <v>42.49436885</v>
      </c>
      <c r="Z274" s="20">
        <f t="shared" si="6"/>
        <v>41.52953253</v>
      </c>
      <c r="AA274" s="20"/>
      <c r="AB274" s="20">
        <f>IFERROR(__xludf.DUMMYFUNCTION("iferror(PERCENTRANK.INC(FILTER($X$2:$X$423, $U$2:$U$423&lt;3.75), $X274), 1)"),0.631)</f>
        <v>0.631</v>
      </c>
      <c r="AC274" s="20">
        <f>IFERROR(__xludf.DUMMYFUNCTION("iferror(PERCENTRANK.INC(FILTER($X$2:$X$423, $U$2:$U$423&lt;4.25), $X274), 1)"),0.613)</f>
        <v>0.613</v>
      </c>
      <c r="AD274" s="20">
        <f>IFERROR(__xludf.DUMMYFUNCTION("iferror(PERCENTRANK.INC(FILTER($X$2:$X$423, $U$2:$U$423&gt;=4.1), $X274), 0.01)"),0.047)</f>
        <v>0.047</v>
      </c>
      <c r="AE274" s="20"/>
    </row>
    <row r="275" ht="14.25" customHeight="1">
      <c r="A275" s="17" t="s">
        <v>620</v>
      </c>
      <c r="B275" s="17" t="s">
        <v>303</v>
      </c>
      <c r="C275" s="18">
        <v>5.0</v>
      </c>
      <c r="D275" s="17" t="s">
        <v>98</v>
      </c>
      <c r="E275" s="17" t="s">
        <v>105</v>
      </c>
      <c r="F275" s="18">
        <v>145.0</v>
      </c>
      <c r="G275" s="18">
        <v>128.0</v>
      </c>
      <c r="H275" s="18">
        <v>60.0</v>
      </c>
      <c r="I275" s="19">
        <v>0.469</v>
      </c>
      <c r="J275" s="18">
        <v>673.0</v>
      </c>
      <c r="K275" s="18">
        <v>5.3</v>
      </c>
      <c r="L275" s="18">
        <v>5.0</v>
      </c>
      <c r="M275" s="18">
        <v>3.0</v>
      </c>
      <c r="N275" s="18">
        <v>11.0</v>
      </c>
      <c r="O275" s="18">
        <v>3.0</v>
      </c>
      <c r="P275" s="20">
        <f t="shared" si="1"/>
        <v>1.189070931</v>
      </c>
      <c r="Q275" s="20">
        <f t="shared" si="2"/>
        <v>0.9628972845</v>
      </c>
      <c r="R275" s="24"/>
      <c r="S275" s="20">
        <v>1.1890709310344827</v>
      </c>
      <c r="T275" s="22">
        <v>-3.67</v>
      </c>
      <c r="U275" s="30"/>
      <c r="V275" s="30"/>
      <c r="W275" s="18">
        <v>0.9</v>
      </c>
      <c r="X275" s="22">
        <f t="shared" si="17"/>
        <v>-0.3899754243</v>
      </c>
      <c r="Y275" s="20">
        <f t="shared" si="4"/>
        <v>31.87831886</v>
      </c>
      <c r="Z275" s="20">
        <f t="shared" si="6"/>
        <v>30.91542157</v>
      </c>
      <c r="AA275" s="20"/>
      <c r="AB275" s="20">
        <f>IFERROR(__xludf.DUMMYFUNCTION("iferror(PERCENTRANK.INC(FILTER($X$2:$X$423, $U$2:$U$423&lt;3.75), $X275), 1)"),0.072)</f>
        <v>0.072</v>
      </c>
      <c r="AC275" s="20">
        <f>IFERROR(__xludf.DUMMYFUNCTION("iferror(PERCENTRANK.INC(FILTER($X$2:$X$423, $U$2:$U$423&lt;4.25), $X275), 1)"),0.07)</f>
        <v>0.07</v>
      </c>
      <c r="AD275" s="20">
        <f>IFERROR(__xludf.DUMMYFUNCTION("iferror(PERCENTRANK.INC(FILTER($X$2:$X$423, $U$2:$U$423&gt;=4.1), $X275), 0.01)"),0.01)</f>
        <v>0.01</v>
      </c>
      <c r="AE275" s="20"/>
    </row>
    <row r="276" ht="14.25" customHeight="1">
      <c r="A276" s="17" t="s">
        <v>621</v>
      </c>
      <c r="B276" s="17" t="s">
        <v>622</v>
      </c>
      <c r="C276" s="18">
        <v>13.0</v>
      </c>
      <c r="D276" s="17" t="s">
        <v>98</v>
      </c>
      <c r="E276" s="17" t="s">
        <v>182</v>
      </c>
      <c r="F276" s="18">
        <v>81.0</v>
      </c>
      <c r="G276" s="18">
        <v>72.0</v>
      </c>
      <c r="H276" s="18">
        <v>41.0</v>
      </c>
      <c r="I276" s="19">
        <v>0.569</v>
      </c>
      <c r="J276" s="18">
        <v>680.0</v>
      </c>
      <c r="K276" s="18">
        <v>9.4</v>
      </c>
      <c r="L276" s="18">
        <v>4.0</v>
      </c>
      <c r="M276" s="18">
        <v>5.0</v>
      </c>
      <c r="N276" s="18">
        <v>3.0</v>
      </c>
      <c r="O276" s="18">
        <v>5.0</v>
      </c>
      <c r="P276" s="20">
        <f t="shared" si="1"/>
        <v>1.251390407</v>
      </c>
      <c r="Q276" s="20">
        <f t="shared" si="2"/>
        <v>0.9924491778</v>
      </c>
      <c r="R276" s="24"/>
      <c r="S276" s="20">
        <v>1.2513904074074076</v>
      </c>
      <c r="T276" s="22">
        <v>0.48</v>
      </c>
      <c r="U276" s="16">
        <v>5.01</v>
      </c>
      <c r="V276" s="16">
        <v>8.37</v>
      </c>
      <c r="W276" s="25">
        <v>1.0</v>
      </c>
      <c r="X276" s="22">
        <f t="shared" si="17"/>
        <v>3.747937705</v>
      </c>
      <c r="Y276" s="20">
        <f t="shared" si="4"/>
        <v>83.04387597</v>
      </c>
      <c r="Z276" s="20">
        <f t="shared" si="6"/>
        <v>82.05142679</v>
      </c>
      <c r="AA276" s="20"/>
      <c r="AB276" s="20">
        <f>IFERROR(__xludf.DUMMYFUNCTION("iferror(PERCENTRANK.INC(FILTER($X$2:$X$423, $U$2:$U$423&lt;3.75), $X276), 1)"),0.996)</f>
        <v>0.996</v>
      </c>
      <c r="AC276" s="20">
        <f>IFERROR(__xludf.DUMMYFUNCTION("iferror(PERCENTRANK.INC(FILTER($X$2:$X$423, $U$2:$U$423&lt;4.25), $X276), 1)"),0.994)</f>
        <v>0.994</v>
      </c>
      <c r="AD276" s="20">
        <f>IFERROR(__xludf.DUMMYFUNCTION("iferror(PERCENTRANK.INC(FILTER($X$2:$X$423, $U$2:$U$423&gt;=4.1), $X276), 0.01)"),0.48)</f>
        <v>0.48</v>
      </c>
      <c r="AE276" s="20"/>
    </row>
    <row r="277" ht="14.25" customHeight="1">
      <c r="A277" s="17" t="s">
        <v>623</v>
      </c>
      <c r="B277" s="17" t="s">
        <v>553</v>
      </c>
      <c r="C277" s="18">
        <v>0.0</v>
      </c>
      <c r="D277" s="17" t="s">
        <v>98</v>
      </c>
      <c r="E277" s="17" t="s">
        <v>243</v>
      </c>
      <c r="F277" s="18">
        <v>271.0</v>
      </c>
      <c r="G277" s="18">
        <v>219.0</v>
      </c>
      <c r="H277" s="18">
        <v>127.0</v>
      </c>
      <c r="I277" s="19">
        <v>0.58</v>
      </c>
      <c r="J277" s="18">
        <v>1418.0</v>
      </c>
      <c r="K277" s="18">
        <v>6.5</v>
      </c>
      <c r="L277" s="18">
        <v>6.0</v>
      </c>
      <c r="M277" s="18">
        <v>7.0</v>
      </c>
      <c r="N277" s="18">
        <v>22.0</v>
      </c>
      <c r="O277" s="18">
        <v>10.0</v>
      </c>
      <c r="P277" s="20">
        <f t="shared" si="1"/>
        <v>1.250749508</v>
      </c>
      <c r="Q277" s="20">
        <f t="shared" si="2"/>
        <v>0.9921452633</v>
      </c>
      <c r="R277" s="24"/>
      <c r="S277" s="20">
        <v>1.2507495078265851</v>
      </c>
      <c r="T277" s="22">
        <v>0.91</v>
      </c>
      <c r="U277" s="30"/>
      <c r="V277" s="30"/>
      <c r="W277" s="18">
        <v>0.9</v>
      </c>
      <c r="X277" s="22">
        <f t="shared" si="17"/>
        <v>0.3053511836</v>
      </c>
      <c r="Y277" s="20">
        <f t="shared" si="4"/>
        <v>40.47607627</v>
      </c>
      <c r="Z277" s="20">
        <f t="shared" si="6"/>
        <v>39.48393101</v>
      </c>
      <c r="AA277" s="20"/>
      <c r="AB277" s="20">
        <f>IFERROR(__xludf.DUMMYFUNCTION("iferror(PERCENTRANK.INC(FILTER($X$2:$X$423, $U$2:$U$423&lt;3.75), $X277), 1)"),0.544)</f>
        <v>0.544</v>
      </c>
      <c r="AC277" s="20">
        <f>IFERROR(__xludf.DUMMYFUNCTION("iferror(PERCENTRANK.INC(FILTER($X$2:$X$423, $U$2:$U$423&lt;4.25), $X277), 1)"),0.528)</f>
        <v>0.528</v>
      </c>
      <c r="AD277" s="20">
        <f>IFERROR(__xludf.DUMMYFUNCTION("iferror(PERCENTRANK.INC(FILTER($X$2:$X$423, $U$2:$U$423&gt;=4.1), $X277), 0.01)"),0.045)</f>
        <v>0.045</v>
      </c>
      <c r="AE277" s="20"/>
    </row>
    <row r="278" ht="14.25" customHeight="1">
      <c r="A278" s="17" t="s">
        <v>624</v>
      </c>
      <c r="B278" s="17" t="s">
        <v>429</v>
      </c>
      <c r="C278" s="18">
        <v>3.0</v>
      </c>
      <c r="D278" s="17" t="s">
        <v>98</v>
      </c>
      <c r="E278" s="17" t="s">
        <v>182</v>
      </c>
      <c r="F278" s="18">
        <v>34.0</v>
      </c>
      <c r="G278" s="18">
        <v>28.0</v>
      </c>
      <c r="H278" s="18">
        <v>15.0</v>
      </c>
      <c r="I278" s="19">
        <v>0.536</v>
      </c>
      <c r="J278" s="18">
        <v>167.0</v>
      </c>
      <c r="K278" s="18">
        <v>6.0</v>
      </c>
      <c r="L278" s="18">
        <v>3.0</v>
      </c>
      <c r="M278" s="18">
        <v>0.0</v>
      </c>
      <c r="N278" s="18">
        <v>3.0</v>
      </c>
      <c r="O278" s="18">
        <v>0.0</v>
      </c>
      <c r="P278" s="20">
        <f t="shared" si="1"/>
        <v>1.249116706</v>
      </c>
      <c r="Q278" s="20">
        <f t="shared" si="2"/>
        <v>0.9913709887</v>
      </c>
      <c r="R278" s="24"/>
      <c r="S278" s="20">
        <v>1.2491167058823531</v>
      </c>
      <c r="T278" s="22">
        <v>1.1</v>
      </c>
      <c r="W278" s="25">
        <v>1.0</v>
      </c>
      <c r="X278" s="22">
        <f t="shared" si="17"/>
        <v>0.3429991306</v>
      </c>
      <c r="Y278" s="20">
        <f t="shared" si="4"/>
        <v>40.94159551</v>
      </c>
      <c r="Z278" s="20">
        <f t="shared" si="6"/>
        <v>39.95022452</v>
      </c>
      <c r="AA278" s="20"/>
      <c r="AB278" s="20">
        <f>IFERROR(__xludf.DUMMYFUNCTION("iferror(PERCENTRANK.INC(FILTER($X$2:$X$423, $U$2:$U$423&lt;3.75), $X278), 1)"),0.57)</f>
        <v>0.57</v>
      </c>
      <c r="AC278" s="20">
        <f>IFERROR(__xludf.DUMMYFUNCTION("iferror(PERCENTRANK.INC(FILTER($X$2:$X$423, $U$2:$U$423&lt;4.25), $X278), 1)"),0.553)</f>
        <v>0.553</v>
      </c>
      <c r="AD278" s="20">
        <f>IFERROR(__xludf.DUMMYFUNCTION("iferror(PERCENTRANK.INC(FILTER($X$2:$X$423, $U$2:$U$423&gt;=4.1), $X278), 0.01)"),0.045)</f>
        <v>0.045</v>
      </c>
      <c r="AE278" s="20"/>
    </row>
    <row r="279" ht="14.25" customHeight="1">
      <c r="A279" s="17" t="s">
        <v>625</v>
      </c>
      <c r="B279" s="17" t="s">
        <v>626</v>
      </c>
      <c r="C279" s="18">
        <v>16.0</v>
      </c>
      <c r="D279" s="17" t="s">
        <v>98</v>
      </c>
      <c r="E279" s="17" t="s">
        <v>172</v>
      </c>
      <c r="F279" s="18">
        <v>120.0</v>
      </c>
      <c r="G279" s="18">
        <v>95.0</v>
      </c>
      <c r="H279" s="18">
        <v>70.0</v>
      </c>
      <c r="I279" s="19">
        <v>0.737</v>
      </c>
      <c r="J279" s="18">
        <v>570.0</v>
      </c>
      <c r="K279" s="18">
        <v>6.0</v>
      </c>
      <c r="L279" s="18">
        <v>2.0</v>
      </c>
      <c r="M279" s="18">
        <v>1.0</v>
      </c>
      <c r="N279" s="18">
        <v>11.0</v>
      </c>
      <c r="O279" s="18">
        <v>2.0</v>
      </c>
      <c r="P279" s="20">
        <f t="shared" si="1"/>
        <v>1.232650228</v>
      </c>
      <c r="Q279" s="20">
        <f t="shared" si="2"/>
        <v>0.9835625855</v>
      </c>
      <c r="R279" s="24"/>
      <c r="S279" s="20">
        <v>1.2326502280701754</v>
      </c>
      <c r="T279" s="22">
        <v>-0.11</v>
      </c>
      <c r="W279" s="25">
        <v>0.9</v>
      </c>
      <c r="X279" s="22">
        <f t="shared" si="17"/>
        <v>0.1499077808</v>
      </c>
      <c r="Y279" s="20">
        <f t="shared" si="4"/>
        <v>38.55400878</v>
      </c>
      <c r="Z279" s="20">
        <f t="shared" si="6"/>
        <v>37.57044619</v>
      </c>
      <c r="AA279" s="20"/>
      <c r="AB279" s="20">
        <f>IFERROR(__xludf.DUMMYFUNCTION("iferror(PERCENTRANK.INC(FILTER($X$2:$X$423, $U$2:$U$423&lt;3.75), $X279), 1)"),0.425)</f>
        <v>0.425</v>
      </c>
      <c r="AC279" s="20">
        <f>IFERROR(__xludf.DUMMYFUNCTION("iferror(PERCENTRANK.INC(FILTER($X$2:$X$423, $U$2:$U$423&lt;4.25), $X279), 1)"),0.413)</f>
        <v>0.413</v>
      </c>
      <c r="AD279" s="20">
        <f>IFERROR(__xludf.DUMMYFUNCTION("iferror(PERCENTRANK.INC(FILTER($X$2:$X$423, $U$2:$U$423&gt;=4.1), $X279), 0.01)"),0.042)</f>
        <v>0.042</v>
      </c>
      <c r="AE279" s="20"/>
    </row>
    <row r="280" ht="14.25" customHeight="1">
      <c r="A280" s="17" t="s">
        <v>627</v>
      </c>
      <c r="B280" s="17" t="s">
        <v>519</v>
      </c>
      <c r="C280" s="18">
        <v>10.0</v>
      </c>
      <c r="D280" s="17" t="s">
        <v>98</v>
      </c>
      <c r="E280" s="17" t="s">
        <v>127</v>
      </c>
      <c r="F280" s="18">
        <v>334.0</v>
      </c>
      <c r="G280" s="18">
        <v>253.0</v>
      </c>
      <c r="H280" s="18">
        <v>142.0</v>
      </c>
      <c r="I280" s="19">
        <v>0.561</v>
      </c>
      <c r="J280" s="18">
        <v>1617.0</v>
      </c>
      <c r="K280" s="18">
        <v>6.4</v>
      </c>
      <c r="L280" s="18">
        <v>8.0</v>
      </c>
      <c r="M280" s="18">
        <v>9.0</v>
      </c>
      <c r="N280" s="18">
        <v>36.0</v>
      </c>
      <c r="O280" s="18">
        <v>16.0</v>
      </c>
      <c r="P280" s="20">
        <f t="shared" si="1"/>
        <v>1.195149683</v>
      </c>
      <c r="Q280" s="20">
        <f t="shared" si="2"/>
        <v>0.9657798287</v>
      </c>
      <c r="R280" s="24"/>
      <c r="S280" s="20">
        <v>1.1951496834867816</v>
      </c>
      <c r="T280" s="22">
        <v>-7.24</v>
      </c>
      <c r="W280" s="25">
        <v>0.9</v>
      </c>
      <c r="X280" s="22">
        <f t="shared" si="17"/>
        <v>-0.9156911701</v>
      </c>
      <c r="Y280" s="20">
        <f t="shared" si="4"/>
        <v>25.37781047</v>
      </c>
      <c r="Z280" s="20">
        <f t="shared" si="6"/>
        <v>24.41203064</v>
      </c>
      <c r="AA280" s="20"/>
      <c r="AB280" s="20">
        <f>IFERROR(__xludf.DUMMYFUNCTION("iferror(PERCENTRANK.INC(FILTER($X$2:$X$423, $U$2:$U$423&lt;3.75), $X280), 1)"),0.023)</f>
        <v>0.023</v>
      </c>
      <c r="AC280" s="20">
        <f>IFERROR(__xludf.DUMMYFUNCTION("iferror(PERCENTRANK.INC(FILTER($X$2:$X$423, $U$2:$U$423&lt;4.25), $X280), 1)"),0.023)</f>
        <v>0.023</v>
      </c>
      <c r="AD280" s="20">
        <f>IFERROR(__xludf.DUMMYFUNCTION("iferror(PERCENTRANK.INC(FILTER($X$2:$X$423, $U$2:$U$423&gt;=4.1), $X280), 0.01)"),0.01)</f>
        <v>0.01</v>
      </c>
      <c r="AE280" s="20"/>
    </row>
    <row r="281" ht="14.25" customHeight="1">
      <c r="A281" s="17" t="s">
        <v>628</v>
      </c>
      <c r="B281" s="17" t="s">
        <v>610</v>
      </c>
      <c r="C281" s="18">
        <v>2.0</v>
      </c>
      <c r="D281" s="17" t="s">
        <v>98</v>
      </c>
      <c r="E281" s="17" t="s">
        <v>189</v>
      </c>
      <c r="F281" s="18">
        <v>231.0</v>
      </c>
      <c r="G281" s="18">
        <v>192.0</v>
      </c>
      <c r="H281" s="18">
        <v>101.0</v>
      </c>
      <c r="I281" s="19">
        <v>0.526</v>
      </c>
      <c r="J281" s="18">
        <v>1094.0</v>
      </c>
      <c r="K281" s="18">
        <v>5.7</v>
      </c>
      <c r="L281" s="18">
        <v>7.0</v>
      </c>
      <c r="M281" s="18">
        <v>6.0</v>
      </c>
      <c r="N281" s="18">
        <v>13.0</v>
      </c>
      <c r="O281" s="18">
        <v>11.0</v>
      </c>
      <c r="P281" s="20">
        <f t="shared" si="1"/>
        <v>1.21477161</v>
      </c>
      <c r="Q281" s="20">
        <f t="shared" si="2"/>
        <v>0.9750845457</v>
      </c>
      <c r="R281" s="24"/>
      <c r="S281" s="20">
        <v>1.2147716103896105</v>
      </c>
      <c r="T281" s="22">
        <v>-1.21</v>
      </c>
      <c r="U281" s="30"/>
      <c r="V281" s="30"/>
      <c r="W281" s="18">
        <v>0.9</v>
      </c>
      <c r="X281" s="22">
        <f t="shared" si="17"/>
        <v>-0.0175058326</v>
      </c>
      <c r="Y281" s="20">
        <f t="shared" si="4"/>
        <v>36.48392888</v>
      </c>
      <c r="Z281" s="20">
        <f t="shared" si="6"/>
        <v>35.50884433</v>
      </c>
      <c r="AA281" s="20"/>
      <c r="AB281" s="20">
        <f>IFERROR(__xludf.DUMMYFUNCTION("iferror(PERCENTRANK.INC(FILTER($X$2:$X$423, $U$2:$U$423&lt;3.75), $X281), 1)"),0.237)</f>
        <v>0.237</v>
      </c>
      <c r="AC281" s="20">
        <f>IFERROR(__xludf.DUMMYFUNCTION("iferror(PERCENTRANK.INC(FILTER($X$2:$X$423, $U$2:$U$423&lt;4.25), $X281), 1)"),0.23)</f>
        <v>0.23</v>
      </c>
      <c r="AD281" s="20">
        <f>IFERROR(__xludf.DUMMYFUNCTION("iferror(PERCENTRANK.INC(FILTER($X$2:$X$423, $U$2:$U$423&gt;=4.1), $X281), 0.01)"),0.01)</f>
        <v>0.01</v>
      </c>
      <c r="AE281" s="20"/>
    </row>
    <row r="282" ht="14.25" customHeight="1">
      <c r="A282" s="17" t="s">
        <v>629</v>
      </c>
      <c r="B282" s="17" t="s">
        <v>630</v>
      </c>
      <c r="C282" s="18">
        <v>1.0</v>
      </c>
      <c r="D282" s="17" t="s">
        <v>98</v>
      </c>
      <c r="E282" s="17" t="s">
        <v>243</v>
      </c>
      <c r="F282" s="18">
        <v>415.0</v>
      </c>
      <c r="G282" s="18">
        <v>330.0</v>
      </c>
      <c r="H282" s="18">
        <v>190.0</v>
      </c>
      <c r="I282" s="19">
        <v>0.576</v>
      </c>
      <c r="J282" s="18">
        <v>1976.0</v>
      </c>
      <c r="K282" s="18">
        <v>6.0</v>
      </c>
      <c r="L282" s="18">
        <v>11.0</v>
      </c>
      <c r="M282" s="18">
        <v>12.0</v>
      </c>
      <c r="N282" s="18">
        <v>40.0</v>
      </c>
      <c r="O282" s="18">
        <v>14.0</v>
      </c>
      <c r="P282" s="20">
        <f t="shared" si="1"/>
        <v>1.214507064</v>
      </c>
      <c r="Q282" s="20">
        <f t="shared" si="2"/>
        <v>0.9749590977</v>
      </c>
      <c r="R282" s="24"/>
      <c r="S282" s="20">
        <v>1.2145070638919315</v>
      </c>
      <c r="T282" s="22">
        <v>-0.96</v>
      </c>
      <c r="U282" s="30"/>
      <c r="V282" s="30"/>
      <c r="W282" s="18">
        <v>0.9</v>
      </c>
      <c r="X282" s="22">
        <f t="shared" si="17"/>
        <v>0.01995845363</v>
      </c>
      <c r="Y282" s="20">
        <f t="shared" si="4"/>
        <v>36.94717714</v>
      </c>
      <c r="Z282" s="20">
        <f t="shared" si="6"/>
        <v>35.97221805</v>
      </c>
      <c r="AA282" s="20"/>
      <c r="AB282" s="20">
        <f>IFERROR(__xludf.DUMMYFUNCTION("iferror(PERCENTRANK.INC(FILTER($X$2:$X$423, $U$2:$U$423&lt;3.75), $X282), 1)"),0.294)</f>
        <v>0.294</v>
      </c>
      <c r="AC282" s="20">
        <f>IFERROR(__xludf.DUMMYFUNCTION("iferror(PERCENTRANK.INC(FILTER($X$2:$X$423, $U$2:$U$423&lt;4.25), $X282), 1)"),0.285)</f>
        <v>0.285</v>
      </c>
      <c r="AD282" s="20">
        <f>IFERROR(__xludf.DUMMYFUNCTION("iferror(PERCENTRANK.INC(FILTER($X$2:$X$423, $U$2:$U$423&gt;=4.1), $X282), 0.01)"),0.04)</f>
        <v>0.04</v>
      </c>
      <c r="AE282" s="20"/>
    </row>
    <row r="283" ht="14.25" customHeight="1">
      <c r="A283" s="17" t="s">
        <v>631</v>
      </c>
      <c r="B283" s="17" t="s">
        <v>632</v>
      </c>
      <c r="C283" s="18">
        <v>3.0</v>
      </c>
      <c r="D283" s="17" t="s">
        <v>98</v>
      </c>
      <c r="E283" s="17" t="s">
        <v>158</v>
      </c>
      <c r="F283" s="18">
        <v>110.0</v>
      </c>
      <c r="G283" s="18">
        <v>78.0</v>
      </c>
      <c r="H283" s="18">
        <v>36.0</v>
      </c>
      <c r="I283" s="19">
        <v>0.462</v>
      </c>
      <c r="J283" s="18">
        <v>505.0</v>
      </c>
      <c r="K283" s="18">
        <v>6.5</v>
      </c>
      <c r="L283" s="18">
        <v>3.0</v>
      </c>
      <c r="M283" s="18">
        <v>2.0</v>
      </c>
      <c r="N283" s="18">
        <v>4.0</v>
      </c>
      <c r="O283" s="18">
        <v>4.0</v>
      </c>
      <c r="P283" s="20">
        <f t="shared" si="1"/>
        <v>1.199844723</v>
      </c>
      <c r="Q283" s="20">
        <f t="shared" si="2"/>
        <v>0.968006216</v>
      </c>
      <c r="R283" s="24"/>
      <c r="S283" s="20">
        <v>1.1998447226107225</v>
      </c>
      <c r="T283" s="22">
        <v>0.7</v>
      </c>
      <c r="U283" s="30"/>
      <c r="V283" s="30"/>
      <c r="W283" s="18">
        <v>0.95</v>
      </c>
      <c r="X283" s="22">
        <f t="shared" si="17"/>
        <v>0.2669790376</v>
      </c>
      <c r="Y283" s="20">
        <f t="shared" si="4"/>
        <v>40.00160226</v>
      </c>
      <c r="Z283" s="20">
        <f t="shared" si="6"/>
        <v>39.03359604</v>
      </c>
      <c r="AA283" s="20"/>
      <c r="AB283" s="20">
        <f>IFERROR(__xludf.DUMMYFUNCTION("iferror(PERCENTRANK.INC(FILTER($X$2:$X$423, $U$2:$U$423&lt;3.75), $X283), 1)"),0.526)</f>
        <v>0.526</v>
      </c>
      <c r="AC283" s="20">
        <f>IFERROR(__xludf.DUMMYFUNCTION("iferror(PERCENTRANK.INC(FILTER($X$2:$X$423, $U$2:$U$423&lt;4.25), $X283), 1)"),0.51)</f>
        <v>0.51</v>
      </c>
      <c r="AD283" s="20">
        <f>IFERROR(__xludf.DUMMYFUNCTION("iferror(PERCENTRANK.INC(FILTER($X$2:$X$423, $U$2:$U$423&gt;=4.1), $X283), 0.01)"),0.044)</f>
        <v>0.044</v>
      </c>
      <c r="AE283" s="20"/>
    </row>
    <row r="284" ht="14.25" customHeight="1">
      <c r="A284" s="17" t="s">
        <v>633</v>
      </c>
      <c r="B284" s="17" t="s">
        <v>567</v>
      </c>
      <c r="C284" s="18">
        <v>15.0</v>
      </c>
      <c r="D284" s="17" t="s">
        <v>98</v>
      </c>
      <c r="E284" s="17" t="s">
        <v>138</v>
      </c>
      <c r="F284" s="18">
        <v>219.0</v>
      </c>
      <c r="G284" s="18">
        <v>185.0</v>
      </c>
      <c r="H284" s="18">
        <v>93.0</v>
      </c>
      <c r="I284" s="19">
        <v>0.503</v>
      </c>
      <c r="J284" s="18">
        <v>1124.0</v>
      </c>
      <c r="K284" s="18">
        <v>6.1</v>
      </c>
      <c r="L284" s="18">
        <v>4.0</v>
      </c>
      <c r="M284" s="18">
        <v>5.0</v>
      </c>
      <c r="N284" s="18">
        <v>11.0</v>
      </c>
      <c r="O284" s="18">
        <v>7.0</v>
      </c>
      <c r="P284" s="20">
        <f t="shared" si="1"/>
        <v>1.156222419</v>
      </c>
      <c r="Q284" s="20">
        <f t="shared" si="2"/>
        <v>0.9473205214</v>
      </c>
      <c r="R284" s="24"/>
      <c r="S284" s="20">
        <v>1.1562224192274466</v>
      </c>
      <c r="T284" s="22">
        <v>-0.3</v>
      </c>
      <c r="W284" s="25">
        <v>0.9</v>
      </c>
      <c r="X284" s="22">
        <f t="shared" si="17"/>
        <v>0.1197616947</v>
      </c>
      <c r="Y284" s="20">
        <f t="shared" si="4"/>
        <v>38.18125052</v>
      </c>
      <c r="Z284" s="20">
        <f t="shared" si="6"/>
        <v>37.23393</v>
      </c>
      <c r="AA284" s="20"/>
      <c r="AB284" s="20">
        <f>IFERROR(__xludf.DUMMYFUNCTION("iferror(PERCENTRANK.INC(FILTER($X$2:$X$423, $U$2:$U$423&lt;3.75), $X284), 1)"),0.397)</f>
        <v>0.397</v>
      </c>
      <c r="AC284" s="20">
        <f>IFERROR(__xludf.DUMMYFUNCTION("iferror(PERCENTRANK.INC(FILTER($X$2:$X$423, $U$2:$U$423&lt;4.25), $X284), 1)"),0.385)</f>
        <v>0.385</v>
      </c>
      <c r="AD284" s="20">
        <f>IFERROR(__xludf.DUMMYFUNCTION("iferror(PERCENTRANK.INC(FILTER($X$2:$X$423, $U$2:$U$423&gt;=4.1), $X284), 0.01)"),0.042)</f>
        <v>0.042</v>
      </c>
      <c r="AE284" s="20"/>
    </row>
    <row r="285" ht="14.25" customHeight="1">
      <c r="A285" s="17" t="s">
        <v>634</v>
      </c>
      <c r="B285" s="17" t="s">
        <v>390</v>
      </c>
      <c r="C285" s="18">
        <v>7.0</v>
      </c>
      <c r="D285" s="17" t="s">
        <v>98</v>
      </c>
      <c r="E285" s="17" t="s">
        <v>147</v>
      </c>
      <c r="F285" s="18">
        <v>37.0</v>
      </c>
      <c r="G285" s="18">
        <v>29.0</v>
      </c>
      <c r="H285" s="18">
        <v>19.0</v>
      </c>
      <c r="I285" s="19">
        <v>0.655</v>
      </c>
      <c r="J285" s="18">
        <v>195.0</v>
      </c>
      <c r="K285" s="18">
        <v>6.7</v>
      </c>
      <c r="L285" s="18">
        <v>2.0</v>
      </c>
      <c r="M285" s="18">
        <v>0.0</v>
      </c>
      <c r="N285" s="18">
        <v>3.0</v>
      </c>
      <c r="O285" s="18">
        <v>3.0</v>
      </c>
      <c r="P285" s="20">
        <f t="shared" si="1"/>
        <v>1.174745298</v>
      </c>
      <c r="Q285" s="20">
        <f t="shared" si="2"/>
        <v>0.9561040699</v>
      </c>
      <c r="R285" s="24"/>
      <c r="S285" s="20">
        <v>1.1747452982292637</v>
      </c>
      <c r="T285" s="22">
        <v>-2.59</v>
      </c>
      <c r="U285" s="30"/>
      <c r="V285" s="30"/>
      <c r="W285" s="18">
        <v>0.95</v>
      </c>
      <c r="X285" s="22">
        <f t="shared" si="17"/>
        <v>-0.2122882053</v>
      </c>
      <c r="Y285" s="20">
        <f t="shared" si="4"/>
        <v>34.07543254</v>
      </c>
      <c r="Z285" s="20">
        <f t="shared" si="6"/>
        <v>33.11932847</v>
      </c>
      <c r="AA285" s="20"/>
      <c r="AB285" s="20">
        <f>IFERROR(__xludf.DUMMYFUNCTION("iferror(PERCENTRANK.INC(FILTER($X$2:$X$423, $U$2:$U$423&lt;3.75), $X285), 1)"),0.106)</f>
        <v>0.106</v>
      </c>
      <c r="AC285" s="20">
        <f>IFERROR(__xludf.DUMMYFUNCTION("iferror(PERCENTRANK.INC(FILTER($X$2:$X$423, $U$2:$U$423&lt;4.25), $X285), 1)"),0.103)</f>
        <v>0.103</v>
      </c>
      <c r="AD285" s="20">
        <f>IFERROR(__xludf.DUMMYFUNCTION("iferror(PERCENTRANK.INC(FILTER($X$2:$X$423, $U$2:$U$423&gt;=4.1), $X285), 0.01)"),0.01)</f>
        <v>0.01</v>
      </c>
      <c r="AE285" s="20"/>
    </row>
    <row r="286" ht="14.25" customHeight="1">
      <c r="A286" s="17" t="s">
        <v>635</v>
      </c>
      <c r="B286" s="17" t="s">
        <v>597</v>
      </c>
      <c r="C286" s="18">
        <v>8.0</v>
      </c>
      <c r="D286" s="17" t="s">
        <v>98</v>
      </c>
      <c r="E286" s="17" t="s">
        <v>121</v>
      </c>
      <c r="F286" s="18">
        <v>100.0</v>
      </c>
      <c r="G286" s="18">
        <v>80.0</v>
      </c>
      <c r="H286" s="18">
        <v>38.0</v>
      </c>
      <c r="I286" s="19">
        <v>0.475</v>
      </c>
      <c r="J286" s="18">
        <v>478.0</v>
      </c>
      <c r="K286" s="18">
        <v>6.0</v>
      </c>
      <c r="L286" s="18">
        <v>2.0</v>
      </c>
      <c r="M286" s="18">
        <v>1.0</v>
      </c>
      <c r="N286" s="18">
        <v>11.0</v>
      </c>
      <c r="O286" s="18">
        <v>3.0</v>
      </c>
      <c r="P286" s="20">
        <f t="shared" si="1"/>
        <v>1.125725</v>
      </c>
      <c r="Q286" s="20">
        <f t="shared" si="2"/>
        <v>0.9328586464</v>
      </c>
      <c r="R286" s="24"/>
      <c r="S286" s="20">
        <v>1.1257249999999999</v>
      </c>
      <c r="T286" s="22">
        <v>-1.36</v>
      </c>
      <c r="W286" s="25">
        <v>0.9</v>
      </c>
      <c r="X286" s="22">
        <f t="shared" si="17"/>
        <v>-0.03514125</v>
      </c>
      <c r="Y286" s="20">
        <f t="shared" si="4"/>
        <v>36.26586583</v>
      </c>
      <c r="Z286" s="20">
        <f t="shared" si="6"/>
        <v>35.33300718</v>
      </c>
      <c r="AA286" s="20"/>
      <c r="AB286" s="20">
        <f>IFERROR(__xludf.DUMMYFUNCTION("iferror(PERCENTRANK.INC(FILTER($X$2:$X$423, $U$2:$U$423&lt;3.75), $X286), 1)"),0.227)</f>
        <v>0.227</v>
      </c>
      <c r="AC286" s="20">
        <f>IFERROR(__xludf.DUMMYFUNCTION("iferror(PERCENTRANK.INC(FILTER($X$2:$X$423, $U$2:$U$423&lt;4.25), $X286), 1)"),0.22)</f>
        <v>0.22</v>
      </c>
      <c r="AD286" s="20">
        <f>IFERROR(__xludf.DUMMYFUNCTION("iferror(PERCENTRANK.INC(FILTER($X$2:$X$423, $U$2:$U$423&gt;=4.1), $X286), 0.01)"),0.01)</f>
        <v>0.01</v>
      </c>
      <c r="AE286" s="20"/>
    </row>
    <row r="287" ht="14.25" customHeight="1">
      <c r="A287" s="17" t="s">
        <v>636</v>
      </c>
      <c r="B287" s="17" t="s">
        <v>617</v>
      </c>
      <c r="C287" s="18">
        <v>10.0</v>
      </c>
      <c r="D287" s="17" t="s">
        <v>98</v>
      </c>
      <c r="E287" s="17" t="s">
        <v>179</v>
      </c>
      <c r="F287" s="18">
        <v>152.0</v>
      </c>
      <c r="G287" s="18">
        <v>137.0</v>
      </c>
      <c r="H287" s="18">
        <v>67.0</v>
      </c>
      <c r="I287" s="19">
        <v>0.489</v>
      </c>
      <c r="J287" s="18">
        <v>826.0</v>
      </c>
      <c r="K287" s="18">
        <v>6.0</v>
      </c>
      <c r="L287" s="18">
        <v>4.0</v>
      </c>
      <c r="M287" s="18">
        <v>4.0</v>
      </c>
      <c r="N287" s="18">
        <v>3.0</v>
      </c>
      <c r="O287" s="18">
        <v>4.0</v>
      </c>
      <c r="P287" s="20">
        <f t="shared" si="1"/>
        <v>1.141128494</v>
      </c>
      <c r="Q287" s="20">
        <f t="shared" si="2"/>
        <v>0.9401629825</v>
      </c>
      <c r="R287" s="24"/>
      <c r="S287" s="20">
        <v>1.1411284936611603</v>
      </c>
      <c r="T287" s="22">
        <v>-0.16</v>
      </c>
      <c r="W287" s="25">
        <v>0.9</v>
      </c>
      <c r="X287" s="22">
        <f t="shared" si="17"/>
        <v>0.1386108103</v>
      </c>
      <c r="Y287" s="20">
        <f t="shared" si="4"/>
        <v>38.41432103</v>
      </c>
      <c r="Z287" s="20">
        <f t="shared" si="6"/>
        <v>37.47415804</v>
      </c>
      <c r="AA287" s="20"/>
      <c r="AB287" s="20">
        <f>IFERROR(__xludf.DUMMYFUNCTION("iferror(PERCENTRANK.INC(FILTER($X$2:$X$423, $U$2:$U$423&lt;3.75), $X287), 1)"),0.415)</f>
        <v>0.415</v>
      </c>
      <c r="AC287" s="20">
        <f>IFERROR(__xludf.DUMMYFUNCTION("iferror(PERCENTRANK.INC(FILTER($X$2:$X$423, $U$2:$U$423&lt;4.25), $X287), 1)"),0.403)</f>
        <v>0.403</v>
      </c>
      <c r="AD287" s="20">
        <f>IFERROR(__xludf.DUMMYFUNCTION("iferror(PERCENTRANK.INC(FILTER($X$2:$X$423, $U$2:$U$423&gt;=4.1), $X287), 0.01)"),0.042)</f>
        <v>0.042</v>
      </c>
      <c r="AE287" s="20"/>
    </row>
    <row r="288" ht="14.25" customHeight="1">
      <c r="A288" s="17" t="s">
        <v>637</v>
      </c>
      <c r="B288" s="17" t="s">
        <v>523</v>
      </c>
      <c r="C288" s="18">
        <v>7.0</v>
      </c>
      <c r="D288" s="17" t="s">
        <v>98</v>
      </c>
      <c r="E288" s="17" t="s">
        <v>189</v>
      </c>
      <c r="F288" s="18">
        <v>205.0</v>
      </c>
      <c r="G288" s="18">
        <v>169.0</v>
      </c>
      <c r="H288" s="18">
        <v>95.0</v>
      </c>
      <c r="I288" s="19">
        <v>0.562</v>
      </c>
      <c r="J288" s="18">
        <v>1313.0</v>
      </c>
      <c r="K288" s="18">
        <v>7.8</v>
      </c>
      <c r="L288" s="18">
        <v>9.0</v>
      </c>
      <c r="M288" s="18">
        <v>10.0</v>
      </c>
      <c r="N288" s="18">
        <v>9.0</v>
      </c>
      <c r="O288" s="18">
        <v>10.0</v>
      </c>
      <c r="P288" s="20">
        <f t="shared" si="1"/>
        <v>1.135094283</v>
      </c>
      <c r="Q288" s="20">
        <f t="shared" si="2"/>
        <v>0.9373015599</v>
      </c>
      <c r="R288" s="24"/>
      <c r="S288" s="20">
        <v>1.1350942828691009</v>
      </c>
      <c r="T288" s="22">
        <v>3.56</v>
      </c>
      <c r="U288" s="30"/>
      <c r="V288" s="30"/>
      <c r="W288" s="18">
        <v>0.9</v>
      </c>
      <c r="X288" s="22">
        <f t="shared" si="17"/>
        <v>0.6872377282</v>
      </c>
      <c r="Y288" s="20">
        <f t="shared" si="4"/>
        <v>45.19812751</v>
      </c>
      <c r="Z288" s="20">
        <f t="shared" si="6"/>
        <v>44.26082595</v>
      </c>
      <c r="AA288" s="20"/>
      <c r="AB288" s="20">
        <f>IFERROR(__xludf.DUMMYFUNCTION("iferror(PERCENTRANK.INC(FILTER($X$2:$X$423, $U$2:$U$423&lt;3.75), $X288), 1)"),0.768)</f>
        <v>0.768</v>
      </c>
      <c r="AC288" s="20">
        <f>IFERROR(__xludf.DUMMYFUNCTION("iferror(PERCENTRANK.INC(FILTER($X$2:$X$423, $U$2:$U$423&lt;4.25), $X288), 1)"),0.745)</f>
        <v>0.745</v>
      </c>
      <c r="AD288" s="20">
        <f>IFERROR(__xludf.DUMMYFUNCTION("iferror(PERCENTRANK.INC(FILTER($X$2:$X$423, $U$2:$U$423&gt;=4.1), $X288), 0.01)"),0.051)</f>
        <v>0.051</v>
      </c>
      <c r="AE288" s="20"/>
    </row>
    <row r="289" ht="14.25" customHeight="1">
      <c r="A289" s="17" t="s">
        <v>638</v>
      </c>
      <c r="B289" s="17" t="s">
        <v>293</v>
      </c>
      <c r="C289" s="18">
        <v>1.0</v>
      </c>
      <c r="D289" s="17" t="s">
        <v>98</v>
      </c>
      <c r="E289" s="17" t="s">
        <v>117</v>
      </c>
      <c r="F289" s="18">
        <v>65.0</v>
      </c>
      <c r="G289" s="18">
        <v>61.0</v>
      </c>
      <c r="H289" s="18">
        <v>40.0</v>
      </c>
      <c r="I289" s="19">
        <v>0.656</v>
      </c>
      <c r="J289" s="18">
        <v>409.0</v>
      </c>
      <c r="K289" s="18">
        <v>6.7</v>
      </c>
      <c r="L289" s="18">
        <v>1.0</v>
      </c>
      <c r="M289" s="18">
        <v>1.0</v>
      </c>
      <c r="N289" s="18">
        <v>2.0</v>
      </c>
      <c r="O289" s="18">
        <v>2.0</v>
      </c>
      <c r="P289" s="20">
        <f t="shared" si="1"/>
        <v>1.132793261</v>
      </c>
      <c r="Q289" s="20">
        <f t="shared" si="2"/>
        <v>0.9362104155</v>
      </c>
      <c r="R289" s="24"/>
      <c r="S289" s="20">
        <v>1.1327932610340479</v>
      </c>
      <c r="T289" s="22">
        <v>1.32</v>
      </c>
      <c r="U289" s="30"/>
      <c r="V289" s="30"/>
      <c r="W289" s="18">
        <v>0.95</v>
      </c>
      <c r="X289" s="22">
        <f t="shared" si="17"/>
        <v>0.3509270902</v>
      </c>
      <c r="Y289" s="20">
        <f t="shared" si="4"/>
        <v>41.03962523</v>
      </c>
      <c r="Z289" s="20">
        <f t="shared" si="6"/>
        <v>40.10341482</v>
      </c>
      <c r="AA289" s="20"/>
      <c r="AB289" s="20">
        <f>IFERROR(__xludf.DUMMYFUNCTION("iferror(PERCENTRANK.INC(FILTER($X$2:$X$423, $U$2:$U$423&lt;3.75), $X289), 1)"),0.575)</f>
        <v>0.575</v>
      </c>
      <c r="AC289" s="20">
        <f>IFERROR(__xludf.DUMMYFUNCTION("iferror(PERCENTRANK.INC(FILTER($X$2:$X$423, $U$2:$U$423&lt;4.25), $X289), 1)"),0.558)</f>
        <v>0.558</v>
      </c>
      <c r="AD289" s="20">
        <f>IFERROR(__xludf.DUMMYFUNCTION("iferror(PERCENTRANK.INC(FILTER($X$2:$X$423, $U$2:$U$423&gt;=4.1), $X289), 0.01)"),0.045)</f>
        <v>0.045</v>
      </c>
      <c r="AE289" s="20"/>
    </row>
    <row r="290" ht="14.25" customHeight="1">
      <c r="A290" s="17" t="s">
        <v>639</v>
      </c>
      <c r="B290" s="17" t="s">
        <v>495</v>
      </c>
      <c r="C290" s="18">
        <v>17.0</v>
      </c>
      <c r="D290" s="17" t="s">
        <v>98</v>
      </c>
      <c r="E290" s="17" t="s">
        <v>182</v>
      </c>
      <c r="F290" s="18">
        <v>43.0</v>
      </c>
      <c r="G290" s="18">
        <v>36.0</v>
      </c>
      <c r="H290" s="18">
        <v>21.0</v>
      </c>
      <c r="I290" s="19">
        <v>0.583</v>
      </c>
      <c r="J290" s="18">
        <v>191.0</v>
      </c>
      <c r="K290" s="18">
        <v>5.3</v>
      </c>
      <c r="L290" s="18">
        <v>2.0</v>
      </c>
      <c r="M290" s="18">
        <v>0.0</v>
      </c>
      <c r="N290" s="18">
        <v>1.0</v>
      </c>
      <c r="O290" s="18">
        <v>1.0</v>
      </c>
      <c r="P290" s="20">
        <f t="shared" si="1"/>
        <v>1.093402964</v>
      </c>
      <c r="Q290" s="20">
        <f t="shared" si="2"/>
        <v>0.917531538</v>
      </c>
      <c r="R290" s="24"/>
      <c r="S290" s="20">
        <v>1.0934029638242895</v>
      </c>
      <c r="T290" s="22">
        <v>1.21</v>
      </c>
      <c r="W290" s="25">
        <v>1.0</v>
      </c>
      <c r="X290" s="22">
        <f t="shared" si="17"/>
        <v>0.3291094001</v>
      </c>
      <c r="Y290" s="20">
        <f t="shared" si="4"/>
        <v>40.76984812</v>
      </c>
      <c r="Z290" s="20">
        <f t="shared" si="6"/>
        <v>39.85231658</v>
      </c>
      <c r="AA290" s="20"/>
      <c r="AB290" s="20">
        <f>IFERROR(__xludf.DUMMYFUNCTION("iferror(PERCENTRANK.INC(FILTER($X$2:$X$423, $U$2:$U$423&lt;3.75), $X290), 1)"),0.554)</f>
        <v>0.554</v>
      </c>
      <c r="AC290" s="20">
        <f>IFERROR(__xludf.DUMMYFUNCTION("iferror(PERCENTRANK.INC(FILTER($X$2:$X$423, $U$2:$U$423&lt;4.25), $X290), 1)"),0.538)</f>
        <v>0.538</v>
      </c>
      <c r="AD290" s="20">
        <f>IFERROR(__xludf.DUMMYFUNCTION("iferror(PERCENTRANK.INC(FILTER($X$2:$X$423, $U$2:$U$423&gt;=4.1), $X290), 0.01)"),0.045)</f>
        <v>0.045</v>
      </c>
      <c r="AE290" s="20"/>
    </row>
    <row r="291" ht="14.25" customHeight="1">
      <c r="A291" s="17" t="s">
        <v>640</v>
      </c>
      <c r="B291" s="17" t="s">
        <v>558</v>
      </c>
      <c r="C291" s="18">
        <v>8.0</v>
      </c>
      <c r="D291" s="17" t="s">
        <v>98</v>
      </c>
      <c r="E291" s="17" t="s">
        <v>99</v>
      </c>
      <c r="F291" s="18">
        <v>120.0</v>
      </c>
      <c r="G291" s="18">
        <v>102.0</v>
      </c>
      <c r="H291" s="18">
        <v>67.0</v>
      </c>
      <c r="I291" s="19">
        <v>0.657</v>
      </c>
      <c r="J291" s="18">
        <v>716.0</v>
      </c>
      <c r="K291" s="18">
        <v>7.0</v>
      </c>
      <c r="L291" s="18">
        <v>2.0</v>
      </c>
      <c r="M291" s="18">
        <v>3.0</v>
      </c>
      <c r="N291" s="18">
        <v>12.0</v>
      </c>
      <c r="O291" s="18">
        <v>2.0</v>
      </c>
      <c r="P291" s="20">
        <f t="shared" si="1"/>
        <v>1.081712725</v>
      </c>
      <c r="Q291" s="20">
        <f t="shared" si="2"/>
        <v>0.9119880274</v>
      </c>
      <c r="R291" s="24"/>
      <c r="S291" s="20">
        <v>1.0817127254901961</v>
      </c>
      <c r="T291" s="22">
        <v>-0.53</v>
      </c>
      <c r="U291" s="23">
        <v>3.88</v>
      </c>
      <c r="V291" s="23">
        <v>-0.11</v>
      </c>
      <c r="W291" s="18">
        <v>1.0</v>
      </c>
      <c r="X291" s="22">
        <f t="shared" si="17"/>
        <v>2.782531218</v>
      </c>
      <c r="Y291" s="20">
        <f t="shared" si="4"/>
        <v>71.1065638</v>
      </c>
      <c r="Z291" s="20">
        <f t="shared" si="6"/>
        <v>70.19457578</v>
      </c>
      <c r="AA291" s="20"/>
      <c r="AB291" s="20">
        <f>IFERROR(__xludf.DUMMYFUNCTION("iferror(PERCENTRANK.INC(FILTER($X$2:$X$423, $U$2:$U$423&lt;3.75), $X291), 1)"),0.986)</f>
        <v>0.986</v>
      </c>
      <c r="AC291" s="20">
        <f>IFERROR(__xludf.DUMMYFUNCTION("iferror(PERCENTRANK.INC(FILTER($X$2:$X$423, $U$2:$U$423&lt;4.25), $X291), 1)"),0.96)</f>
        <v>0.96</v>
      </c>
      <c r="AD291" s="20">
        <f>IFERROR(__xludf.DUMMYFUNCTION("iferror(PERCENTRANK.INC(FILTER($X$2:$X$423, $U$2:$U$423&gt;=4.1), $X291), 0.01)"),0.107)</f>
        <v>0.107</v>
      </c>
      <c r="AE291" s="20"/>
    </row>
    <row r="292" ht="14.25" customHeight="1">
      <c r="A292" s="17" t="s">
        <v>641</v>
      </c>
      <c r="B292" s="17" t="s">
        <v>299</v>
      </c>
      <c r="C292" s="18">
        <v>6.0</v>
      </c>
      <c r="D292" s="17" t="s">
        <v>98</v>
      </c>
      <c r="E292" s="17" t="s">
        <v>147</v>
      </c>
      <c r="F292" s="18">
        <v>30.0</v>
      </c>
      <c r="G292" s="18">
        <v>25.0</v>
      </c>
      <c r="H292" s="18">
        <v>17.0</v>
      </c>
      <c r="I292" s="19">
        <v>0.68</v>
      </c>
      <c r="J292" s="18">
        <v>153.0</v>
      </c>
      <c r="K292" s="18">
        <v>6.1</v>
      </c>
      <c r="L292" s="18">
        <v>3.0</v>
      </c>
      <c r="M292" s="18">
        <v>1.0</v>
      </c>
      <c r="N292" s="18">
        <v>1.0</v>
      </c>
      <c r="O292" s="18">
        <v>0.0</v>
      </c>
      <c r="P292" s="20">
        <f t="shared" si="1"/>
        <v>1.107826667</v>
      </c>
      <c r="Q292" s="20">
        <f t="shared" si="2"/>
        <v>0.9243712574</v>
      </c>
      <c r="R292" s="24"/>
      <c r="S292" s="20">
        <v>1.1078266666666665</v>
      </c>
      <c r="T292" s="22">
        <v>1.69</v>
      </c>
      <c r="U292" s="30"/>
      <c r="V292" s="30"/>
      <c r="W292" s="18">
        <v>0.95</v>
      </c>
      <c r="X292" s="22">
        <f t="shared" si="17"/>
        <v>0.4030566</v>
      </c>
      <c r="Y292" s="20">
        <f t="shared" si="4"/>
        <v>41.68420991</v>
      </c>
      <c r="Z292" s="20">
        <f t="shared" si="6"/>
        <v>40.75983865</v>
      </c>
      <c r="AA292" s="20"/>
      <c r="AB292" s="20">
        <f>IFERROR(__xludf.DUMMYFUNCTION("iferror(PERCENTRANK.INC(FILTER($X$2:$X$423, $U$2:$U$423&lt;3.75), $X292), 1)"),0.598)</f>
        <v>0.598</v>
      </c>
      <c r="AC292" s="20">
        <f>IFERROR(__xludf.DUMMYFUNCTION("iferror(PERCENTRANK.INC(FILTER($X$2:$X$423, $U$2:$U$423&lt;4.25), $X292), 1)"),0.58)</f>
        <v>0.58</v>
      </c>
      <c r="AD292" s="20">
        <f>IFERROR(__xludf.DUMMYFUNCTION("iferror(PERCENTRANK.INC(FILTER($X$2:$X$423, $U$2:$U$423&gt;=4.1), $X292), 0.01)"),0.046)</f>
        <v>0.046</v>
      </c>
      <c r="AE292" s="20"/>
    </row>
    <row r="293" ht="14.25" customHeight="1">
      <c r="A293" s="17" t="s">
        <v>642</v>
      </c>
      <c r="B293" s="17" t="s">
        <v>255</v>
      </c>
      <c r="C293" s="18">
        <v>11.0</v>
      </c>
      <c r="D293" s="17" t="s">
        <v>98</v>
      </c>
      <c r="E293" s="17" t="s">
        <v>124</v>
      </c>
      <c r="F293" s="18">
        <v>96.0</v>
      </c>
      <c r="G293" s="18">
        <v>84.0</v>
      </c>
      <c r="H293" s="18">
        <v>50.0</v>
      </c>
      <c r="I293" s="19">
        <v>0.595</v>
      </c>
      <c r="J293" s="18">
        <v>584.0</v>
      </c>
      <c r="K293" s="18">
        <v>7.0</v>
      </c>
      <c r="L293" s="18">
        <v>5.0</v>
      </c>
      <c r="M293" s="18">
        <v>4.0</v>
      </c>
      <c r="N293" s="18">
        <v>11.0</v>
      </c>
      <c r="O293" s="18">
        <v>4.0</v>
      </c>
      <c r="P293" s="20">
        <f t="shared" si="1"/>
        <v>1.098686429</v>
      </c>
      <c r="Q293" s="20">
        <f t="shared" si="2"/>
        <v>0.9200369568</v>
      </c>
      <c r="R293" s="24"/>
      <c r="S293" s="20">
        <v>1.0986864285714284</v>
      </c>
      <c r="T293" s="22">
        <v>0.35</v>
      </c>
      <c r="W293" s="25">
        <v>0.9</v>
      </c>
      <c r="X293" s="22">
        <f t="shared" si="17"/>
        <v>0.2008226679</v>
      </c>
      <c r="Y293" s="20">
        <f t="shared" si="4"/>
        <v>39.18357457</v>
      </c>
      <c r="Z293" s="20">
        <f t="shared" si="6"/>
        <v>38.26353762</v>
      </c>
      <c r="AA293" s="20"/>
      <c r="AB293" s="20">
        <f>IFERROR(__xludf.DUMMYFUNCTION("iferror(PERCENTRANK.INC(FILTER($X$2:$X$423, $U$2:$U$423&lt;3.75), $X293), 1)"),0.472)</f>
        <v>0.472</v>
      </c>
      <c r="AC293" s="20">
        <f>IFERROR(__xludf.DUMMYFUNCTION("iferror(PERCENTRANK.INC(FILTER($X$2:$X$423, $U$2:$U$423&lt;4.25), $X293), 1)"),0.458)</f>
        <v>0.458</v>
      </c>
      <c r="AD293" s="20">
        <f>IFERROR(__xludf.DUMMYFUNCTION("iferror(PERCENTRANK.INC(FILTER($X$2:$X$423, $U$2:$U$423&gt;=4.1), $X293), 0.01)"),0.043)</f>
        <v>0.043</v>
      </c>
      <c r="AE293" s="20"/>
    </row>
    <row r="294" ht="14.25" customHeight="1">
      <c r="A294" s="17" t="s">
        <v>643</v>
      </c>
      <c r="B294" s="17" t="s">
        <v>644</v>
      </c>
      <c r="C294" s="18">
        <v>8.0</v>
      </c>
      <c r="D294" s="17" t="s">
        <v>98</v>
      </c>
      <c r="E294" s="17" t="s">
        <v>102</v>
      </c>
      <c r="F294" s="18">
        <v>84.0</v>
      </c>
      <c r="G294" s="18">
        <v>78.0</v>
      </c>
      <c r="H294" s="18">
        <v>40.0</v>
      </c>
      <c r="I294" s="19">
        <v>0.513</v>
      </c>
      <c r="J294" s="18">
        <v>435.0</v>
      </c>
      <c r="K294" s="18">
        <v>5.6</v>
      </c>
      <c r="L294" s="18">
        <v>2.0</v>
      </c>
      <c r="M294" s="18">
        <v>1.0</v>
      </c>
      <c r="N294" s="18">
        <v>4.0</v>
      </c>
      <c r="O294" s="18">
        <v>3.0</v>
      </c>
      <c r="P294" s="20">
        <f t="shared" si="1"/>
        <v>1.097202722</v>
      </c>
      <c r="Q294" s="20">
        <f t="shared" si="2"/>
        <v>0.919333383</v>
      </c>
      <c r="R294" s="24"/>
      <c r="S294" s="20">
        <v>1.0972027216117217</v>
      </c>
      <c r="T294" s="22">
        <v>0.82</v>
      </c>
      <c r="W294" s="25">
        <v>0.9</v>
      </c>
      <c r="X294" s="22">
        <f t="shared" si="17"/>
        <v>0.2793513878</v>
      </c>
      <c r="Y294" s="20">
        <f t="shared" si="4"/>
        <v>40.15458715</v>
      </c>
      <c r="Z294" s="20">
        <f t="shared" si="6"/>
        <v>39.23525377</v>
      </c>
      <c r="AA294" s="20"/>
      <c r="AB294" s="20">
        <f>IFERROR(__xludf.DUMMYFUNCTION("iferror(PERCENTRANK.INC(FILTER($X$2:$X$423, $U$2:$U$423&lt;3.75), $X294), 1)"),0.534)</f>
        <v>0.534</v>
      </c>
      <c r="AC294" s="20">
        <f>IFERROR(__xludf.DUMMYFUNCTION("iferror(PERCENTRANK.INC(FILTER($X$2:$X$423, $U$2:$U$423&lt;4.25), $X294), 1)"),0.518)</f>
        <v>0.518</v>
      </c>
      <c r="AD294" s="20">
        <f>IFERROR(__xludf.DUMMYFUNCTION("iferror(PERCENTRANK.INC(FILTER($X$2:$X$423, $U$2:$U$423&gt;=4.1), $X294), 0.01)"),0.044)</f>
        <v>0.044</v>
      </c>
      <c r="AE294" s="20"/>
    </row>
    <row r="295" ht="14.25" customHeight="1">
      <c r="A295" s="17" t="s">
        <v>645</v>
      </c>
      <c r="B295" s="17" t="s">
        <v>646</v>
      </c>
      <c r="C295" s="18">
        <v>15.0</v>
      </c>
      <c r="D295" s="17" t="s">
        <v>98</v>
      </c>
      <c r="E295" s="17" t="s">
        <v>210</v>
      </c>
      <c r="F295" s="18">
        <v>124.0</v>
      </c>
      <c r="G295" s="18">
        <v>95.0</v>
      </c>
      <c r="H295" s="18">
        <v>57.0</v>
      </c>
      <c r="I295" s="19">
        <v>0.6</v>
      </c>
      <c r="J295" s="18">
        <v>593.0</v>
      </c>
      <c r="K295" s="18">
        <v>6.2</v>
      </c>
      <c r="L295" s="18">
        <v>4.0</v>
      </c>
      <c r="M295" s="18">
        <v>3.0</v>
      </c>
      <c r="N295" s="18">
        <v>10.0</v>
      </c>
      <c r="O295" s="18">
        <v>6.0</v>
      </c>
      <c r="P295" s="20">
        <f t="shared" si="1"/>
        <v>1.095428523</v>
      </c>
      <c r="Q295" s="20">
        <f t="shared" si="2"/>
        <v>0.9184920581</v>
      </c>
      <c r="R295" s="29"/>
      <c r="S295" s="20">
        <v>1.0954285229202037</v>
      </c>
      <c r="T295" s="22">
        <v>-0.36</v>
      </c>
      <c r="U295" s="31"/>
      <c r="V295" s="30"/>
      <c r="W295" s="18">
        <v>0.9</v>
      </c>
      <c r="X295" s="22">
        <f t="shared" si="17"/>
        <v>0.1103142784</v>
      </c>
      <c r="Y295" s="20">
        <f t="shared" si="4"/>
        <v>38.06443262</v>
      </c>
      <c r="Z295" s="20">
        <f t="shared" si="6"/>
        <v>37.14594056</v>
      </c>
      <c r="AA295" s="20"/>
      <c r="AB295" s="20">
        <f>IFERROR(__xludf.DUMMYFUNCTION("iferror(PERCENTRANK.INC(FILTER($X$2:$X$423, $U$2:$U$423&lt;3.75), $X295), 1)"),0.376)</f>
        <v>0.376</v>
      </c>
      <c r="AC295" s="20">
        <f>IFERROR(__xludf.DUMMYFUNCTION("iferror(PERCENTRANK.INC(FILTER($X$2:$X$423, $U$2:$U$423&lt;4.25), $X295), 1)"),0.365)</f>
        <v>0.365</v>
      </c>
      <c r="AD295" s="20">
        <f>IFERROR(__xludf.DUMMYFUNCTION("iferror(PERCENTRANK.INC(FILTER($X$2:$X$423, $U$2:$U$423&gt;=4.1), $X295), 0.01)"),0.042)</f>
        <v>0.042</v>
      </c>
      <c r="AE295" s="20"/>
    </row>
    <row r="296" ht="14.25" customHeight="1">
      <c r="A296" s="17" t="s">
        <v>647</v>
      </c>
      <c r="B296" s="17" t="s">
        <v>644</v>
      </c>
      <c r="C296" s="18">
        <v>15.0</v>
      </c>
      <c r="D296" s="17" t="s">
        <v>98</v>
      </c>
      <c r="E296" s="17" t="s">
        <v>102</v>
      </c>
      <c r="F296" s="18">
        <v>252.0</v>
      </c>
      <c r="G296" s="18">
        <v>228.0</v>
      </c>
      <c r="H296" s="18">
        <v>116.0</v>
      </c>
      <c r="I296" s="19">
        <v>0.509</v>
      </c>
      <c r="J296" s="18">
        <v>1322.0</v>
      </c>
      <c r="K296" s="18">
        <v>5.8</v>
      </c>
      <c r="L296" s="18">
        <v>9.0</v>
      </c>
      <c r="M296" s="18">
        <v>9.0</v>
      </c>
      <c r="N296" s="18">
        <v>12.0</v>
      </c>
      <c r="O296" s="18">
        <v>12.0</v>
      </c>
      <c r="P296" s="20">
        <f t="shared" si="1"/>
        <v>1.063438689</v>
      </c>
      <c r="Q296" s="20">
        <f t="shared" si="2"/>
        <v>0.9033224801</v>
      </c>
      <c r="R296" s="24"/>
      <c r="S296" s="20">
        <v>1.0634386892230578</v>
      </c>
      <c r="T296" s="22">
        <v>-1.65</v>
      </c>
      <c r="U296" s="30"/>
      <c r="V296" s="30"/>
      <c r="W296" s="18">
        <v>0.9</v>
      </c>
      <c r="X296" s="22">
        <f t="shared" si="17"/>
        <v>-0.103935777</v>
      </c>
      <c r="Y296" s="20">
        <f t="shared" si="4"/>
        <v>35.41521716</v>
      </c>
      <c r="Z296" s="20">
        <f t="shared" si="6"/>
        <v>34.51189468</v>
      </c>
      <c r="AA296" s="20"/>
      <c r="AB296" s="20">
        <f>IFERROR(__xludf.DUMMYFUNCTION("iferror(PERCENTRANK.INC(FILTER($X$2:$X$423, $U$2:$U$423&lt;3.75), $X296), 1)"),0.175)</f>
        <v>0.175</v>
      </c>
      <c r="AC296" s="20">
        <f>IFERROR(__xludf.DUMMYFUNCTION("iferror(PERCENTRANK.INC(FILTER($X$2:$X$423, $U$2:$U$423&lt;4.25), $X296), 1)"),0.17)</f>
        <v>0.17</v>
      </c>
      <c r="AD296" s="20">
        <f>IFERROR(__xludf.DUMMYFUNCTION("iferror(PERCENTRANK.INC(FILTER($X$2:$X$423, $U$2:$U$423&gt;=4.1), $X296), 0.01)"),0.01)</f>
        <v>0.01</v>
      </c>
      <c r="AE296" s="20"/>
    </row>
    <row r="297" ht="14.25" customHeight="1">
      <c r="A297" s="17" t="s">
        <v>648</v>
      </c>
      <c r="B297" s="17" t="s">
        <v>176</v>
      </c>
      <c r="C297" s="18">
        <v>3.0</v>
      </c>
      <c r="D297" s="17" t="s">
        <v>98</v>
      </c>
      <c r="E297" s="17" t="s">
        <v>114</v>
      </c>
      <c r="F297" s="18">
        <v>39.0</v>
      </c>
      <c r="G297" s="18">
        <v>29.0</v>
      </c>
      <c r="H297" s="18">
        <v>16.0</v>
      </c>
      <c r="I297" s="19">
        <v>0.552</v>
      </c>
      <c r="J297" s="18">
        <v>186.0</v>
      </c>
      <c r="K297" s="18">
        <v>6.4</v>
      </c>
      <c r="L297" s="18">
        <v>2.0</v>
      </c>
      <c r="M297" s="18">
        <v>1.0</v>
      </c>
      <c r="N297" s="18">
        <v>0.0</v>
      </c>
      <c r="O297" s="18">
        <v>2.0</v>
      </c>
      <c r="P297" s="20">
        <f t="shared" si="1"/>
        <v>1.033491586</v>
      </c>
      <c r="Q297" s="20">
        <f t="shared" si="2"/>
        <v>0.889121565</v>
      </c>
      <c r="R297" s="24"/>
      <c r="S297" s="20">
        <v>1.0334915862068965</v>
      </c>
      <c r="T297" s="22">
        <v>-6.78</v>
      </c>
      <c r="W297" s="25">
        <v>0.9</v>
      </c>
      <c r="X297" s="22">
        <f t="shared" si="17"/>
        <v>-0.8774786359</v>
      </c>
      <c r="Y297" s="20">
        <f t="shared" si="4"/>
        <v>25.85031087</v>
      </c>
      <c r="Z297" s="20">
        <f t="shared" si="6"/>
        <v>24.9611893</v>
      </c>
      <c r="AA297" s="20"/>
      <c r="AB297" s="20">
        <f>IFERROR(__xludf.DUMMYFUNCTION("iferror(PERCENTRANK.INC(FILTER($X$2:$X$423, $U$2:$U$423&lt;3.75), $X297), 1)"),0.028)</f>
        <v>0.028</v>
      </c>
      <c r="AC297" s="20">
        <f>IFERROR(__xludf.DUMMYFUNCTION("iferror(PERCENTRANK.INC(FILTER($X$2:$X$423, $U$2:$U$423&lt;4.25), $X297), 1)"),0.028)</f>
        <v>0.028</v>
      </c>
      <c r="AD297" s="20">
        <f>IFERROR(__xludf.DUMMYFUNCTION("iferror(PERCENTRANK.INC(FILTER($X$2:$X$423, $U$2:$U$423&gt;=4.1), $X297), 0.01)"),0.01)</f>
        <v>0.01</v>
      </c>
      <c r="AE297" s="20"/>
    </row>
    <row r="298" ht="14.25" customHeight="1">
      <c r="A298" s="17" t="s">
        <v>649</v>
      </c>
      <c r="B298" s="17" t="s">
        <v>291</v>
      </c>
      <c r="C298" s="18">
        <v>21.0</v>
      </c>
      <c r="D298" s="17" t="s">
        <v>98</v>
      </c>
      <c r="E298" s="17" t="s">
        <v>138</v>
      </c>
      <c r="F298" s="18">
        <v>137.0</v>
      </c>
      <c r="G298" s="18">
        <v>115.0</v>
      </c>
      <c r="H298" s="18">
        <v>62.0</v>
      </c>
      <c r="I298" s="19">
        <v>0.539</v>
      </c>
      <c r="J298" s="18">
        <v>692.0</v>
      </c>
      <c r="K298" s="18">
        <v>6.0</v>
      </c>
      <c r="L298" s="18">
        <v>3.0</v>
      </c>
      <c r="M298" s="18">
        <v>3.0</v>
      </c>
      <c r="N298" s="18">
        <v>5.0</v>
      </c>
      <c r="O298" s="18">
        <v>5.0</v>
      </c>
      <c r="P298" s="20">
        <f t="shared" si="1"/>
        <v>1.086094041</v>
      </c>
      <c r="Q298" s="20">
        <f t="shared" si="2"/>
        <v>0.9140656471</v>
      </c>
      <c r="R298" s="24"/>
      <c r="S298" s="20">
        <v>1.0860940409393844</v>
      </c>
      <c r="T298" s="22">
        <v>-3.39</v>
      </c>
      <c r="U298" s="30"/>
      <c r="V298" s="30"/>
      <c r="W298" s="18">
        <v>0.9</v>
      </c>
      <c r="X298" s="22">
        <f t="shared" si="17"/>
        <v>-0.3455858939</v>
      </c>
      <c r="Y298" s="20">
        <f t="shared" si="4"/>
        <v>32.42719821</v>
      </c>
      <c r="Z298" s="20">
        <f t="shared" si="6"/>
        <v>31.51313256</v>
      </c>
      <c r="AA298" s="20"/>
      <c r="AB298" s="20">
        <f>IFERROR(__xludf.DUMMYFUNCTION("iferror(PERCENTRANK.INC(FILTER($X$2:$X$423, $U$2:$U$423&lt;3.75), $X298), 1)"),0.077)</f>
        <v>0.077</v>
      </c>
      <c r="AC298" s="20">
        <f>IFERROR(__xludf.DUMMYFUNCTION("iferror(PERCENTRANK.INC(FILTER($X$2:$X$423, $U$2:$U$423&lt;4.25), $X298), 1)"),0.075)</f>
        <v>0.075</v>
      </c>
      <c r="AD298" s="20">
        <f>IFERROR(__xludf.DUMMYFUNCTION("iferror(PERCENTRANK.INC(FILTER($X$2:$X$423, $U$2:$U$423&gt;=4.1), $X298), 0.01)"),0.01)</f>
        <v>0.01</v>
      </c>
      <c r="AE298" s="20"/>
    </row>
    <row r="299" ht="14.25" customHeight="1">
      <c r="A299" s="17" t="s">
        <v>650</v>
      </c>
      <c r="B299" s="17" t="s">
        <v>651</v>
      </c>
      <c r="C299" s="18">
        <v>15.0</v>
      </c>
      <c r="D299" s="17" t="s">
        <v>98</v>
      </c>
      <c r="E299" s="17" t="s">
        <v>147</v>
      </c>
      <c r="F299" s="18">
        <v>173.0</v>
      </c>
      <c r="G299" s="18">
        <v>136.0</v>
      </c>
      <c r="H299" s="18">
        <v>78.0</v>
      </c>
      <c r="I299" s="19">
        <v>0.574</v>
      </c>
      <c r="J299" s="18">
        <v>690.0</v>
      </c>
      <c r="K299" s="18">
        <v>5.1</v>
      </c>
      <c r="L299" s="18">
        <v>4.0</v>
      </c>
      <c r="M299" s="18">
        <v>3.0</v>
      </c>
      <c r="N299" s="18">
        <v>9.0</v>
      </c>
      <c r="O299" s="18">
        <v>5.0</v>
      </c>
      <c r="P299" s="20">
        <f t="shared" si="1"/>
        <v>1.068583114</v>
      </c>
      <c r="Q299" s="20">
        <f t="shared" si="2"/>
        <v>0.9057619661</v>
      </c>
      <c r="R299" s="24"/>
      <c r="S299" s="20">
        <v>1.0685831139068345</v>
      </c>
      <c r="T299" s="22">
        <v>-0.53</v>
      </c>
      <c r="U299" s="30"/>
      <c r="V299" s="30"/>
      <c r="W299" s="18">
        <v>0.95</v>
      </c>
      <c r="X299" s="22">
        <f t="shared" si="17"/>
        <v>0.06475872038</v>
      </c>
      <c r="Y299" s="20">
        <f t="shared" si="4"/>
        <v>37.50113527</v>
      </c>
      <c r="Z299" s="20">
        <f t="shared" si="6"/>
        <v>36.5953733</v>
      </c>
      <c r="AA299" s="20"/>
      <c r="AB299" s="20">
        <f>IFERROR(__xludf.DUMMYFUNCTION("iferror(PERCENTRANK.INC(FILTER($X$2:$X$423, $U$2:$U$423&lt;3.75), $X299), 1)"),0.338)</f>
        <v>0.338</v>
      </c>
      <c r="AC299" s="20">
        <f>IFERROR(__xludf.DUMMYFUNCTION("iferror(PERCENTRANK.INC(FILTER($X$2:$X$423, $U$2:$U$423&lt;4.25), $X299), 1)"),0.328)</f>
        <v>0.328</v>
      </c>
      <c r="AD299" s="20">
        <f>IFERROR(__xludf.DUMMYFUNCTION("iferror(PERCENTRANK.INC(FILTER($X$2:$X$423, $U$2:$U$423&gt;=4.1), $X299), 0.01)"),0.041)</f>
        <v>0.041</v>
      </c>
      <c r="AE299" s="20"/>
    </row>
    <row r="300" ht="14.25" customHeight="1">
      <c r="A300" s="17" t="s">
        <v>652</v>
      </c>
      <c r="B300" s="17" t="s">
        <v>653</v>
      </c>
      <c r="C300" s="18">
        <v>17.0</v>
      </c>
      <c r="D300" s="17" t="s">
        <v>98</v>
      </c>
      <c r="E300" s="17" t="s">
        <v>135</v>
      </c>
      <c r="F300" s="18">
        <v>81.0</v>
      </c>
      <c r="G300" s="18">
        <v>73.0</v>
      </c>
      <c r="H300" s="18">
        <v>45.0</v>
      </c>
      <c r="I300" s="19">
        <v>0.616</v>
      </c>
      <c r="J300" s="18">
        <v>406.0</v>
      </c>
      <c r="K300" s="18">
        <v>5.6</v>
      </c>
      <c r="L300" s="18">
        <v>4.0</v>
      </c>
      <c r="M300" s="18">
        <v>2.0</v>
      </c>
      <c r="N300" s="18">
        <v>5.0</v>
      </c>
      <c r="O300" s="18">
        <v>6.0</v>
      </c>
      <c r="P300" s="20">
        <f t="shared" si="1"/>
        <v>1.06563018</v>
      </c>
      <c r="Q300" s="20">
        <f t="shared" si="2"/>
        <v>0.9043616851</v>
      </c>
      <c r="R300" s="24"/>
      <c r="S300" s="20">
        <v>1.0656301802807373</v>
      </c>
      <c r="T300" s="22">
        <v>0.72</v>
      </c>
      <c r="U300" s="30"/>
      <c r="V300" s="30"/>
      <c r="W300" s="18">
        <v>1.0</v>
      </c>
      <c r="X300" s="22">
        <f t="shared" si="17"/>
        <v>0.2518600743</v>
      </c>
      <c r="Y300" s="20">
        <f t="shared" si="4"/>
        <v>39.81465533</v>
      </c>
      <c r="Z300" s="20">
        <f t="shared" si="6"/>
        <v>38.91029364</v>
      </c>
      <c r="AA300" s="20"/>
      <c r="AB300" s="20">
        <f>IFERROR(__xludf.DUMMYFUNCTION("iferror(PERCENTRANK.INC(FILTER($X$2:$X$423, $U$2:$U$423&lt;3.75), $X300), 1)"),0.51)</f>
        <v>0.51</v>
      </c>
      <c r="AC300" s="20">
        <f>IFERROR(__xludf.DUMMYFUNCTION("iferror(PERCENTRANK.INC(FILTER($X$2:$X$423, $U$2:$U$423&lt;4.25), $X300), 1)"),0.495)</f>
        <v>0.495</v>
      </c>
      <c r="AD300" s="20">
        <f>IFERROR(__xludf.DUMMYFUNCTION("iferror(PERCENTRANK.INC(FILTER($X$2:$X$423, $U$2:$U$423&gt;=4.1), $X300), 0.01)"),0.044)</f>
        <v>0.044</v>
      </c>
      <c r="AE300" s="20"/>
    </row>
    <row r="301" ht="14.25" customHeight="1">
      <c r="A301" s="17" t="s">
        <v>654</v>
      </c>
      <c r="B301" s="17" t="s">
        <v>655</v>
      </c>
      <c r="C301" s="18">
        <v>14.0</v>
      </c>
      <c r="D301" s="17" t="s">
        <v>98</v>
      </c>
      <c r="E301" s="17" t="s">
        <v>189</v>
      </c>
      <c r="F301" s="18">
        <v>87.0</v>
      </c>
      <c r="G301" s="18">
        <v>73.0</v>
      </c>
      <c r="H301" s="18">
        <v>43.0</v>
      </c>
      <c r="I301" s="19">
        <v>0.589</v>
      </c>
      <c r="J301" s="18">
        <v>637.0</v>
      </c>
      <c r="K301" s="18">
        <v>8.7</v>
      </c>
      <c r="L301" s="18">
        <v>2.0</v>
      </c>
      <c r="M301" s="18">
        <v>4.0</v>
      </c>
      <c r="N301" s="18">
        <v>8.0</v>
      </c>
      <c r="O301" s="18">
        <v>4.0</v>
      </c>
      <c r="P301" s="20">
        <f t="shared" si="1"/>
        <v>1.035933361</v>
      </c>
      <c r="Q301" s="20">
        <f t="shared" si="2"/>
        <v>0.8902794543</v>
      </c>
      <c r="R301" s="24"/>
      <c r="S301" s="20">
        <v>1.0359333605731378</v>
      </c>
      <c r="T301" s="22">
        <v>-0.03</v>
      </c>
      <c r="W301" s="25">
        <v>0.9</v>
      </c>
      <c r="X301" s="22">
        <f t="shared" si="17"/>
        <v>0.1353510037</v>
      </c>
      <c r="Y301" s="20">
        <f t="shared" si="4"/>
        <v>38.37401331</v>
      </c>
      <c r="Z301" s="20">
        <f t="shared" si="6"/>
        <v>37.48373386</v>
      </c>
      <c r="AA301" s="20"/>
      <c r="AB301" s="20">
        <f>IFERROR(__xludf.DUMMYFUNCTION("iferror(PERCENTRANK.INC(FILTER($X$2:$X$423, $U$2:$U$423&lt;3.75), $X301), 1)"),0.41)</f>
        <v>0.41</v>
      </c>
      <c r="AC301" s="20">
        <f>IFERROR(__xludf.DUMMYFUNCTION("iferror(PERCENTRANK.INC(FILTER($X$2:$X$423, $U$2:$U$423&lt;4.25), $X301), 1)"),0.398)</f>
        <v>0.398</v>
      </c>
      <c r="AD301" s="20">
        <f>IFERROR(__xludf.DUMMYFUNCTION("iferror(PERCENTRANK.INC(FILTER($X$2:$X$423, $U$2:$U$423&gt;=4.1), $X301), 0.01)"),0.042)</f>
        <v>0.042</v>
      </c>
      <c r="AE301" s="20"/>
    </row>
    <row r="302" ht="14.25" customHeight="1">
      <c r="A302" s="17" t="s">
        <v>656</v>
      </c>
      <c r="B302" s="17" t="s">
        <v>392</v>
      </c>
      <c r="C302" s="18">
        <v>10.0</v>
      </c>
      <c r="D302" s="17" t="s">
        <v>98</v>
      </c>
      <c r="E302" s="17" t="s">
        <v>121</v>
      </c>
      <c r="F302" s="18">
        <v>51.0</v>
      </c>
      <c r="G302" s="18">
        <v>39.0</v>
      </c>
      <c r="H302" s="18">
        <v>25.0</v>
      </c>
      <c r="I302" s="19">
        <v>0.641</v>
      </c>
      <c r="J302" s="18">
        <v>305.0</v>
      </c>
      <c r="K302" s="18">
        <v>7.8</v>
      </c>
      <c r="L302" s="18">
        <v>2.0</v>
      </c>
      <c r="M302" s="18">
        <v>2.0</v>
      </c>
      <c r="N302" s="18">
        <v>4.0</v>
      </c>
      <c r="O302" s="18">
        <v>3.0</v>
      </c>
      <c r="P302" s="20">
        <f t="shared" si="1"/>
        <v>1.040517166</v>
      </c>
      <c r="Q302" s="20">
        <f t="shared" si="2"/>
        <v>0.8924530946</v>
      </c>
      <c r="R302" s="24"/>
      <c r="S302" s="20">
        <v>1.040517165912519</v>
      </c>
      <c r="T302" s="22">
        <v>0.56</v>
      </c>
      <c r="U302" s="30"/>
      <c r="V302" s="30"/>
      <c r="W302" s="18">
        <v>0.9</v>
      </c>
      <c r="X302" s="22">
        <f t="shared" si="17"/>
        <v>0.2322736961</v>
      </c>
      <c r="Y302" s="20">
        <f t="shared" si="4"/>
        <v>39.57246852</v>
      </c>
      <c r="Z302" s="20">
        <f t="shared" si="6"/>
        <v>38.68001543</v>
      </c>
      <c r="AA302" s="20"/>
      <c r="AB302" s="20">
        <f>IFERROR(__xludf.DUMMYFUNCTION("iferror(PERCENTRANK.INC(FILTER($X$2:$X$423, $U$2:$U$423&lt;3.75), $X302), 1)"),0.492)</f>
        <v>0.492</v>
      </c>
      <c r="AC302" s="20">
        <f>IFERROR(__xludf.DUMMYFUNCTION("iferror(PERCENTRANK.INC(FILTER($X$2:$X$423, $U$2:$U$423&lt;4.25), $X302), 1)"),0.478)</f>
        <v>0.478</v>
      </c>
      <c r="AD302" s="20">
        <f>IFERROR(__xludf.DUMMYFUNCTION("iferror(PERCENTRANK.INC(FILTER($X$2:$X$423, $U$2:$U$423&gt;=4.1), $X302), 0.01)"),0.044)</f>
        <v>0.044</v>
      </c>
      <c r="AE302" s="20"/>
    </row>
    <row r="303" ht="14.25" customHeight="1">
      <c r="A303" s="17" t="s">
        <v>657</v>
      </c>
      <c r="B303" s="17" t="s">
        <v>658</v>
      </c>
      <c r="C303" s="18">
        <v>10.0</v>
      </c>
      <c r="D303" s="17" t="s">
        <v>98</v>
      </c>
      <c r="E303" s="17" t="s">
        <v>135</v>
      </c>
      <c r="F303" s="18">
        <v>56.0</v>
      </c>
      <c r="G303" s="18">
        <v>52.0</v>
      </c>
      <c r="H303" s="18">
        <v>30.0</v>
      </c>
      <c r="I303" s="19">
        <v>0.577</v>
      </c>
      <c r="J303" s="18">
        <v>339.0</v>
      </c>
      <c r="K303" s="18">
        <v>6.5</v>
      </c>
      <c r="L303" s="18">
        <v>1.0</v>
      </c>
      <c r="M303" s="18">
        <v>1.0</v>
      </c>
      <c r="N303" s="18">
        <v>2.0</v>
      </c>
      <c r="O303" s="18">
        <v>2.0</v>
      </c>
      <c r="P303" s="20">
        <f t="shared" si="1"/>
        <v>1.038755484</v>
      </c>
      <c r="Q303" s="20">
        <f t="shared" si="2"/>
        <v>0.8916177049</v>
      </c>
      <c r="R303" s="24"/>
      <c r="S303" s="20">
        <v>1.0387554835164834</v>
      </c>
      <c r="T303" s="22">
        <v>-1.8</v>
      </c>
      <c r="W303" s="25">
        <v>1.0</v>
      </c>
      <c r="X303" s="22">
        <f t="shared" si="17"/>
        <v>-0.1297680097</v>
      </c>
      <c r="Y303" s="20">
        <f t="shared" si="4"/>
        <v>35.09579997</v>
      </c>
      <c r="Z303" s="20">
        <f t="shared" si="6"/>
        <v>34.20418227</v>
      </c>
      <c r="AA303" s="20"/>
      <c r="AB303" s="20">
        <f>IFERROR(__xludf.DUMMYFUNCTION("iferror(PERCENTRANK.INC(FILTER($X$2:$X$423, $U$2:$U$423&lt;3.75), $X303), 1)"),0.157)</f>
        <v>0.157</v>
      </c>
      <c r="AC303" s="20">
        <f>IFERROR(__xludf.DUMMYFUNCTION("iferror(PERCENTRANK.INC(FILTER($X$2:$X$423, $U$2:$U$423&lt;4.25), $X303), 1)"),0.153)</f>
        <v>0.153</v>
      </c>
      <c r="AD303" s="20">
        <f>IFERROR(__xludf.DUMMYFUNCTION("iferror(PERCENTRANK.INC(FILTER($X$2:$X$423, $U$2:$U$423&gt;=4.1), $X303), 0.01)"),0.01)</f>
        <v>0.01</v>
      </c>
      <c r="AE303" s="20"/>
    </row>
    <row r="304" ht="14.25" customHeight="1">
      <c r="A304" s="17" t="s">
        <v>659</v>
      </c>
      <c r="B304" s="17" t="s">
        <v>660</v>
      </c>
      <c r="C304" s="18">
        <v>10.0</v>
      </c>
      <c r="D304" s="17" t="s">
        <v>98</v>
      </c>
      <c r="E304" s="17" t="s">
        <v>155</v>
      </c>
      <c r="F304" s="18">
        <v>343.0</v>
      </c>
      <c r="G304" s="18">
        <v>267.0</v>
      </c>
      <c r="H304" s="18">
        <v>142.0</v>
      </c>
      <c r="I304" s="19">
        <v>0.532</v>
      </c>
      <c r="J304" s="18">
        <v>1514.0</v>
      </c>
      <c r="K304" s="18">
        <v>5.7</v>
      </c>
      <c r="L304" s="18">
        <v>8.0</v>
      </c>
      <c r="M304" s="18">
        <v>9.0</v>
      </c>
      <c r="N304" s="18">
        <v>31.0</v>
      </c>
      <c r="O304" s="18">
        <v>15.0</v>
      </c>
      <c r="P304" s="20">
        <f t="shared" si="1"/>
        <v>1.037601171</v>
      </c>
      <c r="Q304" s="20">
        <f t="shared" si="2"/>
        <v>0.89107033</v>
      </c>
      <c r="R304" s="24"/>
      <c r="S304" s="20">
        <v>1.037601171028925</v>
      </c>
      <c r="T304" s="22">
        <v>-0.75</v>
      </c>
      <c r="U304" s="30"/>
      <c r="V304" s="30"/>
      <c r="W304" s="18">
        <v>0.9</v>
      </c>
      <c r="X304" s="22">
        <f t="shared" si="17"/>
        <v>0.02757615809</v>
      </c>
      <c r="Y304" s="20">
        <f t="shared" si="4"/>
        <v>37.04137054</v>
      </c>
      <c r="Z304" s="20">
        <f t="shared" si="6"/>
        <v>36.15030021</v>
      </c>
      <c r="AA304" s="20"/>
      <c r="AB304" s="20">
        <f>IFERROR(__xludf.DUMMYFUNCTION("iferror(PERCENTRANK.INC(FILTER($X$2:$X$423, $U$2:$U$423&lt;3.75), $X304), 1)"),0.302)</f>
        <v>0.302</v>
      </c>
      <c r="AC304" s="20">
        <f>IFERROR(__xludf.DUMMYFUNCTION("iferror(PERCENTRANK.INC(FILTER($X$2:$X$423, $U$2:$U$423&lt;4.25), $X304), 1)"),0.293)</f>
        <v>0.293</v>
      </c>
      <c r="AD304" s="20">
        <f>IFERROR(__xludf.DUMMYFUNCTION("iferror(PERCENTRANK.INC(FILTER($X$2:$X$423, $U$2:$U$423&gt;=4.1), $X304), 0.01)"),0.04)</f>
        <v>0.04</v>
      </c>
      <c r="AE304" s="20"/>
    </row>
    <row r="305" ht="14.25" customHeight="1">
      <c r="A305" s="17" t="s">
        <v>661</v>
      </c>
      <c r="B305" s="17" t="s">
        <v>662</v>
      </c>
      <c r="C305" s="18">
        <v>4.0</v>
      </c>
      <c r="D305" s="17" t="s">
        <v>98</v>
      </c>
      <c r="E305" s="17" t="s">
        <v>114</v>
      </c>
      <c r="F305" s="18">
        <v>347.0</v>
      </c>
      <c r="G305" s="18">
        <v>290.0</v>
      </c>
      <c r="H305" s="18">
        <v>168.0</v>
      </c>
      <c r="I305" s="19">
        <v>0.579</v>
      </c>
      <c r="J305" s="18">
        <v>2046.0</v>
      </c>
      <c r="K305" s="18">
        <v>7.1</v>
      </c>
      <c r="L305" s="18">
        <v>11.0</v>
      </c>
      <c r="M305" s="18">
        <v>14.0</v>
      </c>
      <c r="N305" s="18">
        <v>26.0</v>
      </c>
      <c r="O305" s="18">
        <v>18.0</v>
      </c>
      <c r="P305" s="20">
        <f t="shared" si="1"/>
        <v>1.030269874</v>
      </c>
      <c r="Q305" s="20">
        <f t="shared" si="2"/>
        <v>0.8875938291</v>
      </c>
      <c r="R305" s="24"/>
      <c r="S305" s="20">
        <v>1.0302698736957168</v>
      </c>
      <c r="T305" s="22">
        <v>-0.81</v>
      </c>
      <c r="U305" s="30"/>
      <c r="V305" s="30"/>
      <c r="W305" s="18">
        <v>0.9</v>
      </c>
      <c r="X305" s="22">
        <f t="shared" si="17"/>
        <v>0.025313457</v>
      </c>
      <c r="Y305" s="20">
        <f t="shared" si="4"/>
        <v>37.0133921</v>
      </c>
      <c r="Z305" s="20">
        <f t="shared" si="6"/>
        <v>36.12579827</v>
      </c>
      <c r="AA305" s="20"/>
      <c r="AB305" s="20">
        <f>IFERROR(__xludf.DUMMYFUNCTION("iferror(PERCENTRANK.INC(FILTER($X$2:$X$423, $U$2:$U$423&lt;3.75), $X305), 1)"),0.299)</f>
        <v>0.299</v>
      </c>
      <c r="AC305" s="20">
        <f>IFERROR(__xludf.DUMMYFUNCTION("iferror(PERCENTRANK.INC(FILTER($X$2:$X$423, $U$2:$U$423&lt;4.25), $X305), 1)"),0.29)</f>
        <v>0.29</v>
      </c>
      <c r="AD305" s="20">
        <f>IFERROR(__xludf.DUMMYFUNCTION("iferror(PERCENTRANK.INC(FILTER($X$2:$X$423, $U$2:$U$423&gt;=4.1), $X305), 0.01)"),0.04)</f>
        <v>0.04</v>
      </c>
      <c r="AE305" s="20"/>
    </row>
    <row r="306" ht="14.25" customHeight="1">
      <c r="A306" s="17" t="s">
        <v>663</v>
      </c>
      <c r="B306" s="17" t="s">
        <v>664</v>
      </c>
      <c r="C306" s="18">
        <v>2.0</v>
      </c>
      <c r="D306" s="17" t="s">
        <v>98</v>
      </c>
      <c r="E306" s="17" t="s">
        <v>210</v>
      </c>
      <c r="F306" s="18">
        <v>53.0</v>
      </c>
      <c r="G306" s="18">
        <v>33.0</v>
      </c>
      <c r="H306" s="18">
        <v>21.0</v>
      </c>
      <c r="I306" s="19">
        <v>0.636</v>
      </c>
      <c r="J306" s="18">
        <v>180.0</v>
      </c>
      <c r="K306" s="18">
        <v>5.5</v>
      </c>
      <c r="L306" s="18">
        <v>2.0</v>
      </c>
      <c r="M306" s="18">
        <v>0.0</v>
      </c>
      <c r="N306" s="18">
        <v>7.0</v>
      </c>
      <c r="O306" s="18">
        <v>0.0</v>
      </c>
      <c r="P306" s="20">
        <f t="shared" si="1"/>
        <v>1.026376528</v>
      </c>
      <c r="Q306" s="20">
        <f t="shared" si="2"/>
        <v>0.8857476048</v>
      </c>
      <c r="R306" s="24"/>
      <c r="S306" s="20">
        <v>1.0263765283018869</v>
      </c>
      <c r="T306" s="22">
        <v>-2.44</v>
      </c>
      <c r="U306" s="30"/>
      <c r="V306" s="30"/>
      <c r="W306" s="18">
        <v>0.9</v>
      </c>
      <c r="X306" s="22">
        <f t="shared" si="17"/>
        <v>-0.2197413447</v>
      </c>
      <c r="Y306" s="20">
        <f t="shared" si="4"/>
        <v>33.983274</v>
      </c>
      <c r="Z306" s="20">
        <f t="shared" si="6"/>
        <v>33.0975264</v>
      </c>
      <c r="AA306" s="20"/>
      <c r="AB306" s="20">
        <f>IFERROR(__xludf.DUMMYFUNCTION("iferror(PERCENTRANK.INC(FILTER($X$2:$X$423, $U$2:$U$423&lt;3.75), $X306), 1)"),0.101)</f>
        <v>0.101</v>
      </c>
      <c r="AC306" s="20">
        <f>IFERROR(__xludf.DUMMYFUNCTION("iferror(PERCENTRANK.INC(FILTER($X$2:$X$423, $U$2:$U$423&lt;4.25), $X306), 1)"),0.098)</f>
        <v>0.098</v>
      </c>
      <c r="AD306" s="20">
        <f>IFERROR(__xludf.DUMMYFUNCTION("iferror(PERCENTRANK.INC(FILTER($X$2:$X$423, $U$2:$U$423&gt;=4.1), $X306), 0.01)"),0.01)</f>
        <v>0.01</v>
      </c>
      <c r="AE306" s="20"/>
    </row>
    <row r="307" ht="14.25" customHeight="1">
      <c r="A307" s="17" t="s">
        <v>665</v>
      </c>
      <c r="B307" s="17" t="s">
        <v>544</v>
      </c>
      <c r="C307" s="18">
        <v>12.0</v>
      </c>
      <c r="D307" s="17" t="s">
        <v>98</v>
      </c>
      <c r="E307" s="17" t="s">
        <v>158</v>
      </c>
      <c r="F307" s="18">
        <v>277.0</v>
      </c>
      <c r="G307" s="18">
        <v>243.0</v>
      </c>
      <c r="H307" s="18">
        <v>131.0</v>
      </c>
      <c r="I307" s="19">
        <v>0.539</v>
      </c>
      <c r="J307" s="18">
        <v>1435.0</v>
      </c>
      <c r="K307" s="18">
        <v>5.9</v>
      </c>
      <c r="L307" s="18">
        <v>8.0</v>
      </c>
      <c r="M307" s="18">
        <v>9.0</v>
      </c>
      <c r="N307" s="18">
        <v>22.0</v>
      </c>
      <c r="O307" s="18">
        <v>12.0</v>
      </c>
      <c r="P307" s="20">
        <f t="shared" si="1"/>
        <v>1.018844444</v>
      </c>
      <c r="Q307" s="20">
        <f t="shared" si="2"/>
        <v>0.882175891</v>
      </c>
      <c r="R307" s="24"/>
      <c r="S307" s="20">
        <v>1.018844444489014</v>
      </c>
      <c r="T307" s="22">
        <v>-6.41</v>
      </c>
      <c r="U307" s="30"/>
      <c r="V307" s="30"/>
      <c r="W307" s="18">
        <v>0.95</v>
      </c>
      <c r="X307" s="22">
        <f t="shared" si="17"/>
        <v>-0.823956</v>
      </c>
      <c r="Y307" s="20">
        <f t="shared" si="4"/>
        <v>26.51212164</v>
      </c>
      <c r="Z307" s="20">
        <f t="shared" si="6"/>
        <v>25.62994575</v>
      </c>
      <c r="AA307" s="20"/>
      <c r="AB307" s="20">
        <f>IFERROR(__xludf.DUMMYFUNCTION("iferror(PERCENTRANK.INC(FILTER($X$2:$X$423, $U$2:$U$423&lt;3.75), $X307), 1)"),0.034)</f>
        <v>0.034</v>
      </c>
      <c r="AC307" s="20">
        <f>IFERROR(__xludf.DUMMYFUNCTION("iferror(PERCENTRANK.INC(FILTER($X$2:$X$423, $U$2:$U$423&lt;4.25), $X307), 1)"),0.033)</f>
        <v>0.033</v>
      </c>
      <c r="AD307" s="20">
        <f>IFERROR(__xludf.DUMMYFUNCTION("iferror(PERCENTRANK.INC(FILTER($X$2:$X$423, $U$2:$U$423&gt;=4.1), $X307), 0.01)"),0.01)</f>
        <v>0.01</v>
      </c>
      <c r="AE307" s="20"/>
    </row>
    <row r="308" ht="14.25" customHeight="1">
      <c r="A308" s="17" t="s">
        <v>666</v>
      </c>
      <c r="B308" s="17" t="s">
        <v>667</v>
      </c>
      <c r="C308" s="18">
        <v>14.0</v>
      </c>
      <c r="D308" s="17" t="s">
        <v>98</v>
      </c>
      <c r="E308" s="17" t="s">
        <v>210</v>
      </c>
      <c r="F308" s="18">
        <v>114.0</v>
      </c>
      <c r="G308" s="18">
        <v>94.0</v>
      </c>
      <c r="H308" s="18">
        <v>53.0</v>
      </c>
      <c r="I308" s="19">
        <v>0.564</v>
      </c>
      <c r="J308" s="18">
        <v>645.0</v>
      </c>
      <c r="K308" s="18">
        <v>6.9</v>
      </c>
      <c r="L308" s="18">
        <v>3.0</v>
      </c>
      <c r="M308" s="18">
        <v>4.0</v>
      </c>
      <c r="N308" s="18">
        <v>5.0</v>
      </c>
      <c r="O308" s="18">
        <v>3.0</v>
      </c>
      <c r="P308" s="20">
        <f t="shared" si="1"/>
        <v>0.976556436</v>
      </c>
      <c r="Q308" s="20">
        <f t="shared" si="2"/>
        <v>0.8621229189</v>
      </c>
      <c r="R308" s="24"/>
      <c r="S308" s="20">
        <v>0.9765564359835759</v>
      </c>
      <c r="T308" s="22">
        <v>-0.49</v>
      </c>
      <c r="U308" s="30"/>
      <c r="V308" s="30"/>
      <c r="W308" s="18">
        <v>0.9</v>
      </c>
      <c r="X308" s="22">
        <f t="shared" si="17"/>
        <v>0.05833511886</v>
      </c>
      <c r="Y308" s="20">
        <f t="shared" si="4"/>
        <v>37.42170703</v>
      </c>
      <c r="Z308" s="20">
        <f t="shared" si="6"/>
        <v>36.55958411</v>
      </c>
      <c r="AA308" s="20"/>
      <c r="AB308" s="20">
        <f>IFERROR(__xludf.DUMMYFUNCTION("iferror(PERCENTRANK.INC(FILTER($X$2:$X$423, $U$2:$U$423&lt;3.75), $X308), 1)"),0.33)</f>
        <v>0.33</v>
      </c>
      <c r="AC308" s="20">
        <f>IFERROR(__xludf.DUMMYFUNCTION("iferror(PERCENTRANK.INC(FILTER($X$2:$X$423, $U$2:$U$423&lt;4.25), $X308), 1)"),0.32)</f>
        <v>0.32</v>
      </c>
      <c r="AD308" s="20">
        <f>IFERROR(__xludf.DUMMYFUNCTION("iferror(PERCENTRANK.INC(FILTER($X$2:$X$423, $U$2:$U$423&gt;=4.1), $X308), 0.01)"),0.041)</f>
        <v>0.041</v>
      </c>
      <c r="AE308" s="20"/>
    </row>
    <row r="309" ht="14.25" customHeight="1">
      <c r="A309" s="17" t="s">
        <v>668</v>
      </c>
      <c r="B309" s="17" t="s">
        <v>113</v>
      </c>
      <c r="C309" s="18">
        <v>2.0</v>
      </c>
      <c r="D309" s="17" t="s">
        <v>98</v>
      </c>
      <c r="E309" s="17" t="s">
        <v>114</v>
      </c>
      <c r="F309" s="18">
        <v>237.0</v>
      </c>
      <c r="G309" s="18">
        <v>216.0</v>
      </c>
      <c r="H309" s="18">
        <v>125.0</v>
      </c>
      <c r="I309" s="19">
        <v>0.579</v>
      </c>
      <c r="J309" s="18">
        <v>1083.0</v>
      </c>
      <c r="K309" s="18">
        <v>5.0</v>
      </c>
      <c r="L309" s="18">
        <v>4.0</v>
      </c>
      <c r="M309" s="18">
        <v>5.0</v>
      </c>
      <c r="N309" s="18">
        <v>10.0</v>
      </c>
      <c r="O309" s="18">
        <v>6.0</v>
      </c>
      <c r="P309" s="20">
        <f t="shared" si="1"/>
        <v>0.986036685</v>
      </c>
      <c r="Q309" s="20">
        <f t="shared" si="2"/>
        <v>0.8666184526</v>
      </c>
      <c r="R309" s="29"/>
      <c r="S309" s="20">
        <v>0.9860366849507735</v>
      </c>
      <c r="T309" s="22">
        <v>-1.7</v>
      </c>
      <c r="U309" s="31"/>
      <c r="V309" s="30"/>
      <c r="W309" s="18">
        <v>0.9</v>
      </c>
      <c r="X309" s="22">
        <f t="shared" si="17"/>
        <v>-0.1218850475</v>
      </c>
      <c r="Y309" s="20">
        <f t="shared" si="4"/>
        <v>35.1932733</v>
      </c>
      <c r="Z309" s="20">
        <f t="shared" si="6"/>
        <v>34.32665484</v>
      </c>
      <c r="AA309" s="20"/>
      <c r="AB309" s="20">
        <f>IFERROR(__xludf.DUMMYFUNCTION("iferror(PERCENTRANK.INC(FILTER($X$2:$X$423, $U$2:$U$423&lt;3.75), $X309), 1)"),0.165)</f>
        <v>0.165</v>
      </c>
      <c r="AC309" s="20">
        <f>IFERROR(__xludf.DUMMYFUNCTION("iferror(PERCENTRANK.INC(FILTER($X$2:$X$423, $U$2:$U$423&lt;4.25), $X309), 1)"),0.16)</f>
        <v>0.16</v>
      </c>
      <c r="AD309" s="20">
        <f>IFERROR(__xludf.DUMMYFUNCTION("iferror(PERCENTRANK.INC(FILTER($X$2:$X$423, $U$2:$U$423&gt;=4.1), $X309), 0.01)"),0.01)</f>
        <v>0.01</v>
      </c>
      <c r="AE309" s="20"/>
    </row>
    <row r="310" ht="14.25" customHeight="1">
      <c r="A310" s="17" t="s">
        <v>669</v>
      </c>
      <c r="B310" s="17" t="s">
        <v>632</v>
      </c>
      <c r="C310" s="18">
        <v>10.0</v>
      </c>
      <c r="D310" s="17" t="s">
        <v>98</v>
      </c>
      <c r="E310" s="17" t="s">
        <v>158</v>
      </c>
      <c r="F310" s="18">
        <v>44.0</v>
      </c>
      <c r="G310" s="18">
        <v>41.0</v>
      </c>
      <c r="H310" s="18">
        <v>20.0</v>
      </c>
      <c r="I310" s="19">
        <v>0.488</v>
      </c>
      <c r="J310" s="18">
        <v>281.0</v>
      </c>
      <c r="K310" s="18">
        <v>6.8</v>
      </c>
      <c r="L310" s="18">
        <v>2.0</v>
      </c>
      <c r="M310" s="18">
        <v>2.0</v>
      </c>
      <c r="N310" s="18">
        <v>1.0</v>
      </c>
      <c r="O310" s="18">
        <v>1.0</v>
      </c>
      <c r="P310" s="20">
        <f t="shared" si="1"/>
        <v>0.9779765322</v>
      </c>
      <c r="Q310" s="20">
        <f t="shared" si="2"/>
        <v>0.8627963285</v>
      </c>
      <c r="R310" s="24"/>
      <c r="S310" s="20">
        <v>0.9779765321507762</v>
      </c>
      <c r="T310" s="22">
        <v>0.13</v>
      </c>
      <c r="U310" s="30"/>
      <c r="V310" s="30"/>
      <c r="W310" s="18">
        <v>0.95</v>
      </c>
      <c r="X310" s="22">
        <f t="shared" si="17"/>
        <v>0.1515268318</v>
      </c>
      <c r="Y310" s="20">
        <f t="shared" si="4"/>
        <v>38.57402845</v>
      </c>
      <c r="Z310" s="20">
        <f t="shared" si="6"/>
        <v>37.71123212</v>
      </c>
      <c r="AA310" s="20"/>
      <c r="AB310" s="20">
        <f>IFERROR(__xludf.DUMMYFUNCTION("iferror(PERCENTRANK.INC(FILTER($X$2:$X$423, $U$2:$U$423&lt;3.75), $X310), 1)"),0.43)</f>
        <v>0.43</v>
      </c>
      <c r="AC310" s="20">
        <f>IFERROR(__xludf.DUMMYFUNCTION("iferror(PERCENTRANK.INC(FILTER($X$2:$X$423, $U$2:$U$423&lt;4.25), $X310), 1)"),0.418)</f>
        <v>0.418</v>
      </c>
      <c r="AD310" s="20">
        <f>IFERROR(__xludf.DUMMYFUNCTION("iferror(PERCENTRANK.INC(FILTER($X$2:$X$423, $U$2:$U$423&gt;=4.1), $X310), 0.01)"),0.042)</f>
        <v>0.042</v>
      </c>
      <c r="AE310" s="20"/>
    </row>
    <row r="311" ht="14.25" customHeight="1">
      <c r="A311" s="17" t="s">
        <v>670</v>
      </c>
      <c r="B311" s="17" t="s">
        <v>615</v>
      </c>
      <c r="C311" s="18">
        <v>8.0</v>
      </c>
      <c r="D311" s="17" t="s">
        <v>98</v>
      </c>
      <c r="E311" s="17" t="s">
        <v>144</v>
      </c>
      <c r="F311" s="18">
        <v>162.0</v>
      </c>
      <c r="G311" s="18">
        <v>149.0</v>
      </c>
      <c r="H311" s="18">
        <v>73.0</v>
      </c>
      <c r="I311" s="19">
        <v>0.49</v>
      </c>
      <c r="J311" s="18">
        <v>784.0</v>
      </c>
      <c r="K311" s="18">
        <v>5.3</v>
      </c>
      <c r="L311" s="18">
        <v>4.0</v>
      </c>
      <c r="M311" s="18">
        <v>4.0</v>
      </c>
      <c r="N311" s="18">
        <v>8.0</v>
      </c>
      <c r="O311" s="18">
        <v>10.0</v>
      </c>
      <c r="P311" s="20">
        <f t="shared" si="1"/>
        <v>0.9495560088</v>
      </c>
      <c r="Q311" s="20">
        <f t="shared" si="2"/>
        <v>0.8493193174</v>
      </c>
      <c r="R311" s="24"/>
      <c r="S311" s="20">
        <v>0.9495560087828322</v>
      </c>
      <c r="T311" s="22">
        <v>1.22</v>
      </c>
      <c r="W311" s="25">
        <v>0.95</v>
      </c>
      <c r="X311" s="22">
        <f t="shared" si="17"/>
        <v>0.3111900612</v>
      </c>
      <c r="Y311" s="20">
        <f t="shared" si="4"/>
        <v>40.54827436</v>
      </c>
      <c r="Z311" s="20">
        <f t="shared" si="6"/>
        <v>39.69895504</v>
      </c>
      <c r="AA311" s="20"/>
      <c r="AB311" s="20">
        <f>IFERROR(__xludf.DUMMYFUNCTION("iferror(PERCENTRANK.INC(FILTER($X$2:$X$423, $U$2:$U$423&lt;3.75), $X311), 1)"),0.549)</f>
        <v>0.549</v>
      </c>
      <c r="AC311" s="20">
        <f>IFERROR(__xludf.DUMMYFUNCTION("iferror(PERCENTRANK.INC(FILTER($X$2:$X$423, $U$2:$U$423&lt;4.25), $X311), 1)"),0.533)</f>
        <v>0.533</v>
      </c>
      <c r="AD311" s="20">
        <f>IFERROR(__xludf.DUMMYFUNCTION("iferror(PERCENTRANK.INC(FILTER($X$2:$X$423, $U$2:$U$423&gt;=4.1), $X311), 0.01)"),0.045)</f>
        <v>0.045</v>
      </c>
      <c r="AE311" s="20"/>
    </row>
    <row r="312" ht="14.25" customHeight="1">
      <c r="A312" s="17" t="s">
        <v>671</v>
      </c>
      <c r="B312" s="17" t="s">
        <v>469</v>
      </c>
      <c r="C312" s="18">
        <v>12.0</v>
      </c>
      <c r="D312" s="17" t="s">
        <v>98</v>
      </c>
      <c r="E312" s="17" t="s">
        <v>210</v>
      </c>
      <c r="F312" s="18">
        <v>44.0</v>
      </c>
      <c r="G312" s="18">
        <v>43.0</v>
      </c>
      <c r="H312" s="18">
        <v>26.0</v>
      </c>
      <c r="I312" s="19">
        <v>0.605</v>
      </c>
      <c r="J312" s="18">
        <v>260.0</v>
      </c>
      <c r="K312" s="18">
        <v>6.0</v>
      </c>
      <c r="L312" s="18">
        <v>1.0</v>
      </c>
      <c r="M312" s="18">
        <v>1.0</v>
      </c>
      <c r="N312" s="18">
        <v>1.0</v>
      </c>
      <c r="O312" s="18">
        <v>0.0</v>
      </c>
      <c r="P312" s="20">
        <f t="shared" si="1"/>
        <v>0.9495077273</v>
      </c>
      <c r="Q312" s="20">
        <f t="shared" si="2"/>
        <v>0.8492964223</v>
      </c>
      <c r="R312" s="24"/>
      <c r="S312" s="20">
        <v>0.9495077272727274</v>
      </c>
      <c r="T312" s="22">
        <v>-4.83</v>
      </c>
      <c r="W312" s="25">
        <v>0.9</v>
      </c>
      <c r="X312" s="22">
        <f t="shared" si="17"/>
        <v>-0.5891951489</v>
      </c>
      <c r="Y312" s="20">
        <f t="shared" si="4"/>
        <v>29.41495439</v>
      </c>
      <c r="Z312" s="20">
        <f t="shared" si="6"/>
        <v>28.56565796</v>
      </c>
      <c r="AA312" s="20"/>
      <c r="AB312" s="20">
        <f>IFERROR(__xludf.DUMMYFUNCTION("iferror(PERCENTRANK.INC(FILTER($X$2:$X$423, $U$2:$U$423&lt;3.75), $X312), 1)"),0.049)</f>
        <v>0.049</v>
      </c>
      <c r="AC312" s="20">
        <f>IFERROR(__xludf.DUMMYFUNCTION("iferror(PERCENTRANK.INC(FILTER($X$2:$X$423, $U$2:$U$423&lt;4.25), $X312), 1)"),0.048)</f>
        <v>0.048</v>
      </c>
      <c r="AD312" s="20">
        <f>IFERROR(__xludf.DUMMYFUNCTION("iferror(PERCENTRANK.INC(FILTER($X$2:$X$423, $U$2:$U$423&gt;=4.1), $X312), 0.01)"),0.01)</f>
        <v>0.01</v>
      </c>
      <c r="AE312" s="20"/>
    </row>
    <row r="313" ht="14.25" customHeight="1">
      <c r="A313" s="17" t="s">
        <v>672</v>
      </c>
      <c r="B313" s="17" t="s">
        <v>399</v>
      </c>
      <c r="C313" s="18">
        <v>12.0</v>
      </c>
      <c r="D313" s="17" t="s">
        <v>98</v>
      </c>
      <c r="E313" s="17" t="s">
        <v>210</v>
      </c>
      <c r="F313" s="18">
        <v>40.0</v>
      </c>
      <c r="G313" s="18">
        <v>34.0</v>
      </c>
      <c r="H313" s="18">
        <v>15.0</v>
      </c>
      <c r="I313" s="19">
        <v>0.441</v>
      </c>
      <c r="J313" s="18">
        <v>187.0</v>
      </c>
      <c r="K313" s="18">
        <v>5.5</v>
      </c>
      <c r="L313" s="18">
        <v>1.0</v>
      </c>
      <c r="M313" s="18">
        <v>0.0</v>
      </c>
      <c r="N313" s="18">
        <v>2.0</v>
      </c>
      <c r="O313" s="18">
        <v>1.0</v>
      </c>
      <c r="P313" s="20">
        <f t="shared" si="1"/>
        <v>0.9691575882</v>
      </c>
      <c r="Q313" s="20">
        <f t="shared" si="2"/>
        <v>0.8586143856</v>
      </c>
      <c r="R313" s="24"/>
      <c r="S313" s="20">
        <v>0.969157588235294</v>
      </c>
      <c r="T313" s="22">
        <v>-0.1</v>
      </c>
      <c r="W313" s="25">
        <v>0.9</v>
      </c>
      <c r="X313" s="22">
        <f t="shared" si="17"/>
        <v>0.1231049563</v>
      </c>
      <c r="Y313" s="20">
        <f t="shared" si="4"/>
        <v>38.22259016</v>
      </c>
      <c r="Z313" s="20">
        <f t="shared" si="6"/>
        <v>37.36397578</v>
      </c>
      <c r="AA313" s="20"/>
      <c r="AB313" s="20">
        <f>IFERROR(__xludf.DUMMYFUNCTION("iferror(PERCENTRANK.INC(FILTER($X$2:$X$423, $U$2:$U$423&lt;3.75), $X313), 1)"),0.399)</f>
        <v>0.399</v>
      </c>
      <c r="AC313" s="20">
        <f>IFERROR(__xludf.DUMMYFUNCTION("iferror(PERCENTRANK.INC(FILTER($X$2:$X$423, $U$2:$U$423&lt;4.25), $X313), 1)"),0.388)</f>
        <v>0.388</v>
      </c>
      <c r="AD313" s="20">
        <f>IFERROR(__xludf.DUMMYFUNCTION("iferror(PERCENTRANK.INC(FILTER($X$2:$X$423, $U$2:$U$423&gt;=4.1), $X313), 0.01)"),0.042)</f>
        <v>0.042</v>
      </c>
      <c r="AE313" s="20"/>
    </row>
    <row r="314" ht="14.25" customHeight="1">
      <c r="A314" s="17" t="s">
        <v>673</v>
      </c>
      <c r="B314" s="17" t="s">
        <v>674</v>
      </c>
      <c r="C314" s="18">
        <v>2.0</v>
      </c>
      <c r="D314" s="17" t="s">
        <v>98</v>
      </c>
      <c r="E314" s="17" t="s">
        <v>114</v>
      </c>
      <c r="F314" s="18">
        <v>63.0</v>
      </c>
      <c r="G314" s="18">
        <v>54.0</v>
      </c>
      <c r="H314" s="18">
        <v>29.0</v>
      </c>
      <c r="I314" s="19">
        <v>0.537</v>
      </c>
      <c r="J314" s="18">
        <v>290.0</v>
      </c>
      <c r="K314" s="18">
        <v>5.4</v>
      </c>
      <c r="L314" s="18">
        <v>2.0</v>
      </c>
      <c r="M314" s="18">
        <v>1.0</v>
      </c>
      <c r="N314" s="18">
        <v>5.0</v>
      </c>
      <c r="O314" s="18">
        <v>2.0</v>
      </c>
      <c r="P314" s="20">
        <f t="shared" si="1"/>
        <v>0.922764291</v>
      </c>
      <c r="Q314" s="20">
        <f t="shared" si="2"/>
        <v>0.8366146858</v>
      </c>
      <c r="R314" s="24"/>
      <c r="S314" s="20">
        <v>0.9227642910052911</v>
      </c>
      <c r="T314" s="22">
        <v>-0.81</v>
      </c>
      <c r="W314" s="25">
        <v>0.9</v>
      </c>
      <c r="X314" s="22">
        <f t="shared" si="17"/>
        <v>0.01691464365</v>
      </c>
      <c r="Y314" s="20">
        <f t="shared" si="4"/>
        <v>36.90954024</v>
      </c>
      <c r="Z314" s="20">
        <f t="shared" si="6"/>
        <v>36.07292555</v>
      </c>
      <c r="AA314" s="20"/>
      <c r="AB314" s="20">
        <f>IFERROR(__xludf.DUMMYFUNCTION("iferror(PERCENTRANK.INC(FILTER($X$2:$X$423, $U$2:$U$423&lt;3.75), $X314), 1)"),0.284)</f>
        <v>0.284</v>
      </c>
      <c r="AC314" s="20">
        <f>IFERROR(__xludf.DUMMYFUNCTION("iferror(PERCENTRANK.INC(FILTER($X$2:$X$423, $U$2:$U$423&lt;4.25), $X314), 1)"),0.275)</f>
        <v>0.275</v>
      </c>
      <c r="AD314" s="20">
        <f>IFERROR(__xludf.DUMMYFUNCTION("iferror(PERCENTRANK.INC(FILTER($X$2:$X$423, $U$2:$U$423&gt;=4.1), $X314), 0.01)"),0.04)</f>
        <v>0.04</v>
      </c>
      <c r="AE314" s="20"/>
    </row>
    <row r="315" ht="14.25" customHeight="1">
      <c r="A315" s="17" t="s">
        <v>675</v>
      </c>
      <c r="B315" s="17" t="s">
        <v>249</v>
      </c>
      <c r="C315" s="18">
        <v>10.0</v>
      </c>
      <c r="D315" s="17" t="s">
        <v>98</v>
      </c>
      <c r="E315" s="17" t="s">
        <v>189</v>
      </c>
      <c r="F315" s="18">
        <v>49.0</v>
      </c>
      <c r="G315" s="18">
        <v>42.0</v>
      </c>
      <c r="H315" s="18">
        <v>19.0</v>
      </c>
      <c r="I315" s="19">
        <v>0.452</v>
      </c>
      <c r="J315" s="18">
        <v>261.0</v>
      </c>
      <c r="K315" s="18">
        <v>6.2</v>
      </c>
      <c r="L315" s="18">
        <v>3.0</v>
      </c>
      <c r="M315" s="18">
        <v>2.0</v>
      </c>
      <c r="N315" s="18">
        <v>2.0</v>
      </c>
      <c r="O315" s="18">
        <v>3.0</v>
      </c>
      <c r="P315" s="20">
        <f t="shared" si="1"/>
        <v>0.9420048163</v>
      </c>
      <c r="Q315" s="20">
        <f t="shared" si="2"/>
        <v>0.8457385422</v>
      </c>
      <c r="R315" s="29"/>
      <c r="S315" s="20">
        <v>0.9420048163265307</v>
      </c>
      <c r="T315" s="22">
        <v>-2.23</v>
      </c>
      <c r="U315" s="30"/>
      <c r="V315" s="30"/>
      <c r="W315" s="18">
        <v>0.9</v>
      </c>
      <c r="X315" s="22">
        <f t="shared" si="17"/>
        <v>-0.2073293498</v>
      </c>
      <c r="Y315" s="20">
        <f t="shared" si="4"/>
        <v>34.1367491</v>
      </c>
      <c r="Z315" s="20">
        <f t="shared" si="6"/>
        <v>33.29101056</v>
      </c>
      <c r="AA315" s="20"/>
      <c r="AB315" s="20">
        <f>IFERROR(__xludf.DUMMYFUNCTION("iferror(PERCENTRANK.INC(FILTER($X$2:$X$423, $U$2:$U$423&lt;3.75), $X315), 1)"),0.111)</f>
        <v>0.111</v>
      </c>
      <c r="AC315" s="20">
        <f>IFERROR(__xludf.DUMMYFUNCTION("iferror(PERCENTRANK.INC(FILTER($X$2:$X$423, $U$2:$U$423&lt;4.25), $X315), 1)"),0.108)</f>
        <v>0.108</v>
      </c>
      <c r="AD315" s="20">
        <f>IFERROR(__xludf.DUMMYFUNCTION("iferror(PERCENTRANK.INC(FILTER($X$2:$X$423, $U$2:$U$423&gt;=4.1), $X315), 0.01)"),0.01)</f>
        <v>0.01</v>
      </c>
      <c r="AE315" s="20"/>
    </row>
    <row r="316" ht="14.25" customHeight="1">
      <c r="A316" s="17" t="s">
        <v>676</v>
      </c>
      <c r="B316" s="17" t="s">
        <v>427</v>
      </c>
      <c r="C316" s="18">
        <v>7.0</v>
      </c>
      <c r="D316" s="17" t="s">
        <v>98</v>
      </c>
      <c r="E316" s="17" t="s">
        <v>124</v>
      </c>
      <c r="F316" s="18">
        <v>43.0</v>
      </c>
      <c r="G316" s="18">
        <v>36.0</v>
      </c>
      <c r="H316" s="18">
        <v>22.0</v>
      </c>
      <c r="I316" s="19">
        <v>0.611</v>
      </c>
      <c r="J316" s="18">
        <v>252.0</v>
      </c>
      <c r="K316" s="18">
        <v>7.0</v>
      </c>
      <c r="L316" s="18">
        <v>2.0</v>
      </c>
      <c r="M316" s="18">
        <v>2.0</v>
      </c>
      <c r="N316" s="18">
        <v>1.0</v>
      </c>
      <c r="O316" s="18">
        <v>3.0</v>
      </c>
      <c r="P316" s="20">
        <f t="shared" si="1"/>
        <v>0.9359545194</v>
      </c>
      <c r="Q316" s="20">
        <f t="shared" si="2"/>
        <v>0.8428694916</v>
      </c>
      <c r="R316" s="24"/>
      <c r="S316" s="20">
        <v>0.9359545193798451</v>
      </c>
      <c r="T316" s="22">
        <v>2.65</v>
      </c>
      <c r="W316" s="25">
        <v>0.9</v>
      </c>
      <c r="X316" s="22">
        <f t="shared" si="17"/>
        <v>0.530873519</v>
      </c>
      <c r="Y316" s="20">
        <f t="shared" si="4"/>
        <v>43.26467419</v>
      </c>
      <c r="Z316" s="20">
        <f t="shared" si="6"/>
        <v>42.42180469</v>
      </c>
      <c r="AA316" s="20"/>
      <c r="AB316" s="20">
        <f>IFERROR(__xludf.DUMMYFUNCTION("iferror(PERCENTRANK.INC(FILTER($X$2:$X$423, $U$2:$U$423&lt;3.75), $X316), 1)"),0.68)</f>
        <v>0.68</v>
      </c>
      <c r="AC316" s="20">
        <f>IFERROR(__xludf.DUMMYFUNCTION("iferror(PERCENTRANK.INC(FILTER($X$2:$X$423, $U$2:$U$423&lt;4.25), $X316), 1)"),0.66)</f>
        <v>0.66</v>
      </c>
      <c r="AD316" s="20">
        <f>IFERROR(__xludf.DUMMYFUNCTION("iferror(PERCENTRANK.INC(FILTER($X$2:$X$423, $U$2:$U$423&gt;=4.1), $X316), 0.01)"),0.048)</f>
        <v>0.048</v>
      </c>
      <c r="AE316" s="20"/>
    </row>
    <row r="317" ht="14.25" customHeight="1">
      <c r="A317" s="17" t="s">
        <v>677</v>
      </c>
      <c r="B317" s="17" t="s">
        <v>347</v>
      </c>
      <c r="C317" s="18">
        <v>11.0</v>
      </c>
      <c r="D317" s="17" t="s">
        <v>98</v>
      </c>
      <c r="E317" s="17" t="s">
        <v>117</v>
      </c>
      <c r="F317" s="18">
        <v>97.0</v>
      </c>
      <c r="G317" s="18">
        <v>92.0</v>
      </c>
      <c r="H317" s="18">
        <v>41.0</v>
      </c>
      <c r="I317" s="19">
        <v>0.446</v>
      </c>
      <c r="J317" s="18">
        <v>509.0</v>
      </c>
      <c r="K317" s="18">
        <v>5.5</v>
      </c>
      <c r="L317" s="18">
        <v>3.0</v>
      </c>
      <c r="M317" s="18">
        <v>3.0</v>
      </c>
      <c r="N317" s="18">
        <v>1.0</v>
      </c>
      <c r="O317" s="18">
        <v>4.0</v>
      </c>
      <c r="P317" s="20">
        <f t="shared" si="1"/>
        <v>0.895230113</v>
      </c>
      <c r="Q317" s="20">
        <f t="shared" si="2"/>
        <v>0.8235579796</v>
      </c>
      <c r="R317" s="24"/>
      <c r="S317" s="20">
        <v>0.8952301129538323</v>
      </c>
      <c r="T317" s="22">
        <v>-2.55</v>
      </c>
      <c r="U317" s="30"/>
      <c r="V317" s="30"/>
      <c r="W317" s="18">
        <v>0.95</v>
      </c>
      <c r="X317" s="22">
        <f t="shared" si="17"/>
        <v>-0.2616439348</v>
      </c>
      <c r="Y317" s="20">
        <f t="shared" si="4"/>
        <v>33.46514583</v>
      </c>
      <c r="Z317" s="20">
        <f t="shared" si="6"/>
        <v>32.64158785</v>
      </c>
      <c r="AA317" s="20"/>
      <c r="AB317" s="20">
        <f>IFERROR(__xludf.DUMMYFUNCTION("iferror(PERCENTRANK.INC(FILTER($X$2:$X$423, $U$2:$U$423&lt;3.75), $X317), 1)"),0.09)</f>
        <v>0.09</v>
      </c>
      <c r="AC317" s="20">
        <f>IFERROR(__xludf.DUMMYFUNCTION("iferror(PERCENTRANK.INC(FILTER($X$2:$X$423, $U$2:$U$423&lt;4.25), $X317), 1)"),0.088)</f>
        <v>0.088</v>
      </c>
      <c r="AD317" s="20">
        <f>IFERROR(__xludf.DUMMYFUNCTION("iferror(PERCENTRANK.INC(FILTER($X$2:$X$423, $U$2:$U$423&gt;=4.1), $X317), 0.01)"),0.01)</f>
        <v>0.01</v>
      </c>
      <c r="AE317" s="20"/>
    </row>
    <row r="318" ht="14.25" customHeight="1">
      <c r="A318" s="17" t="s">
        <v>678</v>
      </c>
      <c r="B318" s="17" t="s">
        <v>261</v>
      </c>
      <c r="C318" s="18">
        <v>7.0</v>
      </c>
      <c r="D318" s="17" t="s">
        <v>98</v>
      </c>
      <c r="E318" s="17" t="s">
        <v>147</v>
      </c>
      <c r="F318" s="18">
        <v>26.0</v>
      </c>
      <c r="G318" s="18">
        <v>19.0</v>
      </c>
      <c r="H318" s="18">
        <v>10.0</v>
      </c>
      <c r="I318" s="19">
        <v>0.526</v>
      </c>
      <c r="J318" s="18">
        <v>140.0</v>
      </c>
      <c r="K318" s="18">
        <v>7.4</v>
      </c>
      <c r="L318" s="18">
        <v>1.0</v>
      </c>
      <c r="M318" s="18">
        <v>1.0</v>
      </c>
      <c r="N318" s="18">
        <v>4.0</v>
      </c>
      <c r="O318" s="18">
        <v>0.0</v>
      </c>
      <c r="P318" s="20">
        <f t="shared" si="1"/>
        <v>0.9178358462</v>
      </c>
      <c r="Q318" s="20">
        <f t="shared" si="2"/>
        <v>0.8342776174</v>
      </c>
      <c r="R318" s="24"/>
      <c r="S318" s="20">
        <v>0.9178358461538463</v>
      </c>
      <c r="T318" s="22">
        <v>-14.15</v>
      </c>
      <c r="U318" s="30"/>
      <c r="V318" s="30"/>
      <c r="W318" s="18">
        <v>0.95</v>
      </c>
      <c r="X318" s="22">
        <f t="shared" si="17"/>
        <v>-1.991708392</v>
      </c>
      <c r="Y318" s="20">
        <f t="shared" si="4"/>
        <v>12.07278958</v>
      </c>
      <c r="Z318" s="20">
        <f t="shared" si="6"/>
        <v>11.23851196</v>
      </c>
      <c r="AA318" s="20"/>
      <c r="AB318" s="20">
        <f>IFERROR(__xludf.DUMMYFUNCTION("iferror(PERCENTRANK.INC(FILTER($X$2:$X$423, $U$2:$U$423&lt;3.75), $X318), 1)"),0.005)</f>
        <v>0.005</v>
      </c>
      <c r="AC318" s="20">
        <f>IFERROR(__xludf.DUMMYFUNCTION("iferror(PERCENTRANK.INC(FILTER($X$2:$X$423, $U$2:$U$423&lt;4.25), $X318), 1)"),0.005)</f>
        <v>0.005</v>
      </c>
      <c r="AD318" s="20">
        <f>IFERROR(__xludf.DUMMYFUNCTION("iferror(PERCENTRANK.INC(FILTER($X$2:$X$423, $U$2:$U$423&gt;=4.1), $X318), 0.01)"),0.01)</f>
        <v>0.01</v>
      </c>
      <c r="AE318" s="20"/>
    </row>
    <row r="319" ht="14.25" customHeight="1">
      <c r="A319" s="17" t="s">
        <v>679</v>
      </c>
      <c r="B319" s="17" t="s">
        <v>680</v>
      </c>
      <c r="C319" s="18">
        <v>18.0</v>
      </c>
      <c r="D319" s="17" t="s">
        <v>98</v>
      </c>
      <c r="E319" s="17" t="s">
        <v>108</v>
      </c>
      <c r="F319" s="18">
        <v>123.0</v>
      </c>
      <c r="G319" s="18">
        <v>95.0</v>
      </c>
      <c r="H319" s="18">
        <v>62.0</v>
      </c>
      <c r="I319" s="19">
        <v>0.653</v>
      </c>
      <c r="J319" s="18">
        <v>643.0</v>
      </c>
      <c r="K319" s="18">
        <v>6.8</v>
      </c>
      <c r="L319" s="18">
        <v>5.0</v>
      </c>
      <c r="M319" s="18">
        <v>5.0</v>
      </c>
      <c r="N319" s="18">
        <v>16.0</v>
      </c>
      <c r="O319" s="18">
        <v>6.0</v>
      </c>
      <c r="P319" s="20">
        <f t="shared" si="1"/>
        <v>0.8903633834</v>
      </c>
      <c r="Q319" s="20">
        <f t="shared" si="2"/>
        <v>0.8212501766</v>
      </c>
      <c r="R319" s="24"/>
      <c r="S319" s="20">
        <v>0.8903633833975182</v>
      </c>
      <c r="T319" s="22">
        <v>-0.49</v>
      </c>
      <c r="W319" s="25">
        <v>1.0</v>
      </c>
      <c r="X319" s="22">
        <f t="shared" si="17"/>
        <v>0.04669905676</v>
      </c>
      <c r="Y319" s="20">
        <f t="shared" si="4"/>
        <v>37.27782639</v>
      </c>
      <c r="Z319" s="20">
        <f t="shared" si="6"/>
        <v>36.45657621</v>
      </c>
      <c r="AA319" s="20"/>
      <c r="AB319" s="20">
        <f>IFERROR(__xludf.DUMMYFUNCTION("iferror(PERCENTRANK.INC(FILTER($X$2:$X$423, $U$2:$U$423&lt;3.75), $X319), 1)"),0.322)</f>
        <v>0.322</v>
      </c>
      <c r="AC319" s="20">
        <f>IFERROR(__xludf.DUMMYFUNCTION("iferror(PERCENTRANK.INC(FILTER($X$2:$X$423, $U$2:$U$423&lt;4.25), $X319), 1)"),0.313)</f>
        <v>0.313</v>
      </c>
      <c r="AD319" s="20">
        <f>IFERROR(__xludf.DUMMYFUNCTION("iferror(PERCENTRANK.INC(FILTER($X$2:$X$423, $U$2:$U$423&gt;=4.1), $X319), 0.01)"),0.041)</f>
        <v>0.041</v>
      </c>
      <c r="AE319" s="20"/>
    </row>
    <row r="320" ht="14.25" customHeight="1">
      <c r="A320" s="17" t="s">
        <v>681</v>
      </c>
      <c r="B320" s="17" t="s">
        <v>682</v>
      </c>
      <c r="C320" s="18">
        <v>1.0</v>
      </c>
      <c r="D320" s="17" t="s">
        <v>98</v>
      </c>
      <c r="E320" s="17" t="s">
        <v>124</v>
      </c>
      <c r="F320" s="18">
        <v>100.0</v>
      </c>
      <c r="G320" s="18">
        <v>70.0</v>
      </c>
      <c r="H320" s="18">
        <v>41.0</v>
      </c>
      <c r="I320" s="19">
        <v>0.586</v>
      </c>
      <c r="J320" s="18">
        <v>423.0</v>
      </c>
      <c r="K320" s="18">
        <v>6.0</v>
      </c>
      <c r="L320" s="18">
        <v>2.0</v>
      </c>
      <c r="M320" s="18">
        <v>2.0</v>
      </c>
      <c r="N320" s="18">
        <v>10.0</v>
      </c>
      <c r="O320" s="18">
        <v>4.0</v>
      </c>
      <c r="P320" s="20">
        <f t="shared" si="1"/>
        <v>0.8767877143</v>
      </c>
      <c r="Q320" s="20">
        <f t="shared" si="2"/>
        <v>0.8148125948</v>
      </c>
      <c r="R320" s="24"/>
      <c r="S320" s="20">
        <v>0.8767877142857143</v>
      </c>
      <c r="T320" s="22">
        <v>-0.73</v>
      </c>
      <c r="W320" s="25">
        <v>0.9</v>
      </c>
      <c r="X320" s="22">
        <f t="shared" si="17"/>
        <v>0.008866341429</v>
      </c>
      <c r="Y320" s="20">
        <f t="shared" si="4"/>
        <v>36.81002248</v>
      </c>
      <c r="Z320" s="20">
        <f t="shared" si="6"/>
        <v>35.99520988</v>
      </c>
      <c r="AA320" s="20"/>
      <c r="AB320" s="20">
        <f>IFERROR(__xludf.DUMMYFUNCTION("iferror(PERCENTRANK.INC(FILTER($X$2:$X$423, $U$2:$U$423&lt;3.75), $X320), 1)"),0.273)</f>
        <v>0.273</v>
      </c>
      <c r="AC320" s="20">
        <f>IFERROR(__xludf.DUMMYFUNCTION("iferror(PERCENTRANK.INC(FILTER($X$2:$X$423, $U$2:$U$423&lt;4.25), $X320), 1)"),0.265)</f>
        <v>0.265</v>
      </c>
      <c r="AD320" s="20">
        <f>IFERROR(__xludf.DUMMYFUNCTION("iferror(PERCENTRANK.INC(FILTER($X$2:$X$423, $U$2:$U$423&gt;=4.1), $X320), 0.01)"),0.04)</f>
        <v>0.04</v>
      </c>
      <c r="AE320" s="20"/>
    </row>
    <row r="321" ht="14.25" customHeight="1">
      <c r="A321" s="17" t="s">
        <v>683</v>
      </c>
      <c r="B321" s="17" t="s">
        <v>313</v>
      </c>
      <c r="C321" s="18">
        <v>3.0</v>
      </c>
      <c r="D321" s="17" t="s">
        <v>98</v>
      </c>
      <c r="E321" s="17" t="s">
        <v>158</v>
      </c>
      <c r="F321" s="18">
        <v>27.0</v>
      </c>
      <c r="G321" s="18">
        <v>27.0</v>
      </c>
      <c r="H321" s="18">
        <v>14.0</v>
      </c>
      <c r="I321" s="19">
        <v>0.518</v>
      </c>
      <c r="J321" s="18">
        <v>174.0</v>
      </c>
      <c r="K321" s="18">
        <v>6.4</v>
      </c>
      <c r="L321" s="18">
        <v>1.0</v>
      </c>
      <c r="M321" s="18">
        <v>1.0</v>
      </c>
      <c r="N321" s="18">
        <v>0.0</v>
      </c>
      <c r="O321" s="18">
        <v>2.0</v>
      </c>
      <c r="P321" s="20">
        <f t="shared" si="1"/>
        <v>0.8995667407</v>
      </c>
      <c r="Q321" s="20">
        <f t="shared" si="2"/>
        <v>0.8256144083</v>
      </c>
      <c r="R321" s="24"/>
      <c r="S321" s="20">
        <v>0.8995667407407408</v>
      </c>
      <c r="T321" s="22">
        <v>1.69</v>
      </c>
      <c r="W321" s="25">
        <v>0.95</v>
      </c>
      <c r="X321" s="22">
        <f t="shared" si="17"/>
        <v>0.37494151</v>
      </c>
      <c r="Y321" s="20">
        <f t="shared" si="4"/>
        <v>41.33656505</v>
      </c>
      <c r="Z321" s="20">
        <f t="shared" si="6"/>
        <v>40.51095064</v>
      </c>
      <c r="AA321" s="20"/>
      <c r="AB321" s="20">
        <f>IFERROR(__xludf.DUMMYFUNCTION("iferror(PERCENTRANK.INC(FILTER($X$2:$X$423, $U$2:$U$423&lt;3.75), $X321), 1)"),0.585)</f>
        <v>0.585</v>
      </c>
      <c r="AC321" s="20">
        <f>IFERROR(__xludf.DUMMYFUNCTION("iferror(PERCENTRANK.INC(FILTER($X$2:$X$423, $U$2:$U$423&lt;4.25), $X321), 1)"),0.568)</f>
        <v>0.568</v>
      </c>
      <c r="AD321" s="20">
        <f>IFERROR(__xludf.DUMMYFUNCTION("iferror(PERCENTRANK.INC(FILTER($X$2:$X$423, $U$2:$U$423&gt;=4.1), $X321), 0.01)"),0.046)</f>
        <v>0.046</v>
      </c>
      <c r="AE321" s="20"/>
    </row>
    <row r="322" ht="14.25" customHeight="1">
      <c r="A322" s="17" t="s">
        <v>684</v>
      </c>
      <c r="B322" s="17" t="s">
        <v>283</v>
      </c>
      <c r="C322" s="18">
        <v>17.0</v>
      </c>
      <c r="D322" s="17" t="s">
        <v>98</v>
      </c>
      <c r="E322" s="17" t="s">
        <v>124</v>
      </c>
      <c r="F322" s="18">
        <v>27.0</v>
      </c>
      <c r="G322" s="18">
        <v>25.0</v>
      </c>
      <c r="H322" s="18">
        <v>17.0</v>
      </c>
      <c r="I322" s="19">
        <v>0.68</v>
      </c>
      <c r="J322" s="18">
        <v>132.0</v>
      </c>
      <c r="K322" s="18">
        <v>5.3</v>
      </c>
      <c r="L322" s="18">
        <v>1.0</v>
      </c>
      <c r="M322" s="18">
        <v>0.0</v>
      </c>
      <c r="N322" s="18">
        <v>2.0</v>
      </c>
      <c r="O322" s="18">
        <v>0.0</v>
      </c>
      <c r="P322" s="20">
        <f t="shared" si="1"/>
        <v>0.8982859259</v>
      </c>
      <c r="Q322" s="20">
        <f t="shared" si="2"/>
        <v>0.825007046</v>
      </c>
      <c r="R322" s="24"/>
      <c r="S322" s="20">
        <v>0.898285925925926</v>
      </c>
      <c r="T322" s="22">
        <v>0.15</v>
      </c>
      <c r="W322" s="25">
        <v>0.9</v>
      </c>
      <c r="X322" s="22">
        <f t="shared" si="17"/>
        <v>0.1437686</v>
      </c>
      <c r="Y322" s="20">
        <f t="shared" si="4"/>
        <v>38.47809742</v>
      </c>
      <c r="Z322" s="20">
        <f t="shared" si="6"/>
        <v>37.65309037</v>
      </c>
      <c r="AA322" s="20"/>
      <c r="AB322" s="20">
        <f>IFERROR(__xludf.DUMMYFUNCTION("iferror(PERCENTRANK.INC(FILTER($X$2:$X$423, $U$2:$U$423&lt;3.75), $X322), 1)"),0.42)</f>
        <v>0.42</v>
      </c>
      <c r="AC322" s="20">
        <f>IFERROR(__xludf.DUMMYFUNCTION("iferror(PERCENTRANK.INC(FILTER($X$2:$X$423, $U$2:$U$423&lt;4.25), $X322), 1)"),0.408)</f>
        <v>0.408</v>
      </c>
      <c r="AD322" s="20">
        <f>IFERROR(__xludf.DUMMYFUNCTION("iferror(PERCENTRANK.INC(FILTER($X$2:$X$423, $U$2:$U$423&gt;=4.1), $X322), 0.01)"),0.042)</f>
        <v>0.042</v>
      </c>
      <c r="AE322" s="20"/>
    </row>
    <row r="323" ht="14.25" customHeight="1">
      <c r="A323" s="17" t="s">
        <v>685</v>
      </c>
      <c r="B323" s="17" t="s">
        <v>686</v>
      </c>
      <c r="C323" s="18">
        <v>12.0</v>
      </c>
      <c r="D323" s="17" t="s">
        <v>98</v>
      </c>
      <c r="E323" s="17" t="s">
        <v>147</v>
      </c>
      <c r="F323" s="18">
        <v>96.0</v>
      </c>
      <c r="G323" s="18">
        <v>82.0</v>
      </c>
      <c r="H323" s="18">
        <v>32.0</v>
      </c>
      <c r="I323" s="19">
        <v>0.39</v>
      </c>
      <c r="J323" s="18">
        <v>489.0</v>
      </c>
      <c r="K323" s="18">
        <v>6.0</v>
      </c>
      <c r="L323" s="18">
        <v>3.0</v>
      </c>
      <c r="M323" s="18">
        <v>3.0</v>
      </c>
      <c r="N323" s="18">
        <v>7.0</v>
      </c>
      <c r="O323" s="18">
        <v>5.0</v>
      </c>
      <c r="P323" s="20">
        <f t="shared" si="1"/>
        <v>0.8722328455</v>
      </c>
      <c r="Q323" s="20">
        <f t="shared" si="2"/>
        <v>0.8126526762</v>
      </c>
      <c r="R323" s="24"/>
      <c r="S323" s="20">
        <v>0.8722328455284553</v>
      </c>
      <c r="T323" s="22">
        <v>0.97</v>
      </c>
      <c r="U323" s="30"/>
      <c r="V323" s="30"/>
      <c r="W323" s="18">
        <v>0.95</v>
      </c>
      <c r="X323" s="22">
        <f t="shared" si="17"/>
        <v>0.2697931805</v>
      </c>
      <c r="Y323" s="20">
        <f t="shared" si="4"/>
        <v>40.03639932</v>
      </c>
      <c r="Z323" s="20">
        <f t="shared" si="6"/>
        <v>39.22374664</v>
      </c>
      <c r="AA323" s="20"/>
      <c r="AB323" s="20">
        <f>IFERROR(__xludf.DUMMYFUNCTION("iferror(PERCENTRANK.INC(FILTER($X$2:$X$423, $U$2:$U$423&lt;3.75), $X323), 1)"),0.528)</f>
        <v>0.528</v>
      </c>
      <c r="AC323" s="20">
        <f>IFERROR(__xludf.DUMMYFUNCTION("iferror(PERCENTRANK.INC(FILTER($X$2:$X$423, $U$2:$U$423&lt;4.25), $X323), 1)"),0.513)</f>
        <v>0.513</v>
      </c>
      <c r="AD323" s="20">
        <f>IFERROR(__xludf.DUMMYFUNCTION("iferror(PERCENTRANK.INC(FILTER($X$2:$X$423, $U$2:$U$423&gt;=4.1), $X323), 0.01)"),0.044)</f>
        <v>0.044</v>
      </c>
      <c r="AE323" s="20"/>
    </row>
    <row r="324" ht="14.25" customHeight="1">
      <c r="A324" s="17" t="s">
        <v>687</v>
      </c>
      <c r="B324" s="17" t="s">
        <v>161</v>
      </c>
      <c r="C324" s="18">
        <v>17.0</v>
      </c>
      <c r="D324" s="17" t="s">
        <v>98</v>
      </c>
      <c r="E324" s="17" t="s">
        <v>121</v>
      </c>
      <c r="F324" s="18">
        <v>97.0</v>
      </c>
      <c r="G324" s="18">
        <v>86.0</v>
      </c>
      <c r="H324" s="18">
        <v>50.0</v>
      </c>
      <c r="I324" s="19">
        <v>0.581</v>
      </c>
      <c r="J324" s="18">
        <v>424.0</v>
      </c>
      <c r="K324" s="18">
        <v>4.9</v>
      </c>
      <c r="L324" s="18">
        <v>3.0</v>
      </c>
      <c r="M324" s="18">
        <v>2.0</v>
      </c>
      <c r="N324" s="18">
        <v>7.0</v>
      </c>
      <c r="O324" s="18">
        <v>3.0</v>
      </c>
      <c r="P324" s="20">
        <f t="shared" si="1"/>
        <v>0.8891950748</v>
      </c>
      <c r="Q324" s="20">
        <f t="shared" si="2"/>
        <v>0.8206961647</v>
      </c>
      <c r="R324" s="24"/>
      <c r="S324" s="20">
        <v>0.8891950748022057</v>
      </c>
      <c r="T324" s="22">
        <v>-1.55</v>
      </c>
      <c r="W324" s="25">
        <v>0.9</v>
      </c>
      <c r="X324" s="22">
        <f t="shared" si="17"/>
        <v>-0.1124586649</v>
      </c>
      <c r="Y324" s="20">
        <f t="shared" si="4"/>
        <v>35.30983111</v>
      </c>
      <c r="Z324" s="20">
        <f t="shared" si="6"/>
        <v>34.48913495</v>
      </c>
      <c r="AA324" s="20"/>
      <c r="AB324" s="20">
        <f>IFERROR(__xludf.DUMMYFUNCTION("iferror(PERCENTRANK.INC(FILTER($X$2:$X$423, $U$2:$U$423&lt;3.75), $X324), 1)"),0.168)</f>
        <v>0.168</v>
      </c>
      <c r="AC324" s="20">
        <f>IFERROR(__xludf.DUMMYFUNCTION("iferror(PERCENTRANK.INC(FILTER($X$2:$X$423, $U$2:$U$423&lt;4.25), $X324), 1)"),0.163)</f>
        <v>0.163</v>
      </c>
      <c r="AD324" s="20">
        <f>IFERROR(__xludf.DUMMYFUNCTION("iferror(PERCENTRANK.INC(FILTER($X$2:$X$423, $U$2:$U$423&gt;=4.1), $X324), 0.01)"),0.01)</f>
        <v>0.01</v>
      </c>
      <c r="AE324" s="20"/>
    </row>
    <row r="325" ht="14.25" customHeight="1">
      <c r="A325" s="17" t="s">
        <v>688</v>
      </c>
      <c r="B325" s="17" t="s">
        <v>169</v>
      </c>
      <c r="C325" s="18">
        <v>1.0</v>
      </c>
      <c r="D325" s="17" t="s">
        <v>98</v>
      </c>
      <c r="E325" s="17" t="s">
        <v>121</v>
      </c>
      <c r="F325" s="18">
        <v>74.0</v>
      </c>
      <c r="G325" s="18">
        <v>61.0</v>
      </c>
      <c r="H325" s="18">
        <v>36.0</v>
      </c>
      <c r="I325" s="19">
        <v>0.59</v>
      </c>
      <c r="J325" s="18">
        <v>316.0</v>
      </c>
      <c r="K325" s="18">
        <v>5.2</v>
      </c>
      <c r="L325" s="18">
        <v>1.0</v>
      </c>
      <c r="M325" s="18">
        <v>1.0</v>
      </c>
      <c r="N325" s="18">
        <v>4.0</v>
      </c>
      <c r="O325" s="18">
        <v>2.0</v>
      </c>
      <c r="P325" s="20">
        <f t="shared" si="1"/>
        <v>0.8246464377</v>
      </c>
      <c r="Q325" s="20">
        <f t="shared" si="2"/>
        <v>0.7900872035</v>
      </c>
      <c r="R325" s="24"/>
      <c r="S325" s="20">
        <v>0.8246464377492246</v>
      </c>
      <c r="T325" s="22">
        <v>-0.76</v>
      </c>
      <c r="W325" s="25">
        <v>0.9</v>
      </c>
      <c r="X325" s="22">
        <f t="shared" si="17"/>
        <v>-0.002672730904</v>
      </c>
      <c r="Y325" s="20">
        <f t="shared" si="4"/>
        <v>36.66734112</v>
      </c>
      <c r="Z325" s="20">
        <f t="shared" si="6"/>
        <v>35.87725391</v>
      </c>
      <c r="AA325" s="20"/>
      <c r="AB325" s="20">
        <f>IFERROR(__xludf.DUMMYFUNCTION("iferror(PERCENTRANK.INC(FILTER($X$2:$X$423, $U$2:$U$423&lt;3.75), $X325), 1)"),0.258)</f>
        <v>0.258</v>
      </c>
      <c r="AC325" s="20">
        <f>IFERROR(__xludf.DUMMYFUNCTION("iferror(PERCENTRANK.INC(FILTER($X$2:$X$423, $U$2:$U$423&lt;4.25), $X325), 1)"),0.25)</f>
        <v>0.25</v>
      </c>
      <c r="AD325" s="20">
        <f>IFERROR(__xludf.DUMMYFUNCTION("iferror(PERCENTRANK.INC(FILTER($X$2:$X$423, $U$2:$U$423&gt;=4.1), $X325), 0.01)"),0.01)</f>
        <v>0.01</v>
      </c>
      <c r="AE325" s="20"/>
    </row>
    <row r="326" ht="14.25" customHeight="1">
      <c r="A326" s="17" t="s">
        <v>689</v>
      </c>
      <c r="B326" s="17" t="s">
        <v>421</v>
      </c>
      <c r="C326" s="18">
        <v>5.0</v>
      </c>
      <c r="D326" s="17" t="s">
        <v>98</v>
      </c>
      <c r="E326" s="17" t="s">
        <v>189</v>
      </c>
      <c r="F326" s="18">
        <v>52.0</v>
      </c>
      <c r="G326" s="18">
        <v>42.0</v>
      </c>
      <c r="H326" s="18">
        <v>17.0</v>
      </c>
      <c r="I326" s="19">
        <v>0.405</v>
      </c>
      <c r="J326" s="18">
        <v>251.0</v>
      </c>
      <c r="K326" s="18">
        <v>6.0</v>
      </c>
      <c r="L326" s="18">
        <v>1.0</v>
      </c>
      <c r="M326" s="18">
        <v>1.0</v>
      </c>
      <c r="N326" s="18">
        <v>3.0</v>
      </c>
      <c r="O326" s="18">
        <v>2.0</v>
      </c>
      <c r="P326" s="20">
        <f t="shared" si="1"/>
        <v>0.8678474542</v>
      </c>
      <c r="Q326" s="20">
        <f t="shared" si="2"/>
        <v>0.8105731238</v>
      </c>
      <c r="R326" s="24"/>
      <c r="S326" s="20">
        <v>0.8678474542124541</v>
      </c>
      <c r="T326" s="22">
        <v>-5.85</v>
      </c>
      <c r="U326" s="30"/>
      <c r="V326" s="30"/>
      <c r="W326" s="18">
        <v>0.9</v>
      </c>
      <c r="X326" s="22">
        <f t="shared" si="17"/>
        <v>-0.7538317378</v>
      </c>
      <c r="Y326" s="20">
        <f t="shared" si="4"/>
        <v>27.37921257</v>
      </c>
      <c r="Z326" s="20">
        <f t="shared" si="6"/>
        <v>26.56863945</v>
      </c>
      <c r="AA326" s="20"/>
      <c r="AB326" s="20">
        <f>IFERROR(__xludf.DUMMYFUNCTION("iferror(PERCENTRANK.INC(FILTER($X$2:$X$423, $U$2:$U$423&lt;3.75), $X326), 1)"),0.044)</f>
        <v>0.044</v>
      </c>
      <c r="AC326" s="20">
        <f>IFERROR(__xludf.DUMMYFUNCTION("iferror(PERCENTRANK.INC(FILTER($X$2:$X$423, $U$2:$U$423&lt;4.25), $X326), 1)"),0.043)</f>
        <v>0.043</v>
      </c>
      <c r="AD326" s="20">
        <f>IFERROR(__xludf.DUMMYFUNCTION("iferror(PERCENTRANK.INC(FILTER($X$2:$X$423, $U$2:$U$423&gt;=4.1), $X326), 0.01)"),0.01)</f>
        <v>0.01</v>
      </c>
      <c r="AE326" s="20"/>
    </row>
    <row r="327" ht="14.25" customHeight="1">
      <c r="A327" s="17" t="s">
        <v>690</v>
      </c>
      <c r="B327" s="17" t="s">
        <v>475</v>
      </c>
      <c r="C327" s="18">
        <v>15.0</v>
      </c>
      <c r="D327" s="17" t="s">
        <v>98</v>
      </c>
      <c r="E327" s="17" t="s">
        <v>138</v>
      </c>
      <c r="F327" s="18">
        <v>33.0</v>
      </c>
      <c r="G327" s="18">
        <v>28.0</v>
      </c>
      <c r="H327" s="18">
        <v>17.0</v>
      </c>
      <c r="I327" s="19">
        <v>0.607</v>
      </c>
      <c r="J327" s="18">
        <v>142.0</v>
      </c>
      <c r="K327" s="18">
        <v>5.1</v>
      </c>
      <c r="L327" s="18">
        <v>1.0</v>
      </c>
      <c r="M327" s="18">
        <v>0.0</v>
      </c>
      <c r="N327" s="18">
        <v>2.0</v>
      </c>
      <c r="O327" s="18">
        <v>1.0</v>
      </c>
      <c r="P327" s="20">
        <f t="shared" si="1"/>
        <v>0.8626715108</v>
      </c>
      <c r="Q327" s="20">
        <f t="shared" si="2"/>
        <v>0.8081186917</v>
      </c>
      <c r="R327" s="24"/>
      <c r="S327" s="20">
        <v>0.8626715108225106</v>
      </c>
      <c r="T327" s="22">
        <v>1.82</v>
      </c>
      <c r="U327" s="30"/>
      <c r="V327" s="30"/>
      <c r="W327" s="18">
        <v>0.9</v>
      </c>
      <c r="X327" s="22">
        <f t="shared" si="17"/>
        <v>0.3959306903</v>
      </c>
      <c r="Y327" s="20">
        <f t="shared" si="4"/>
        <v>41.59609759</v>
      </c>
      <c r="Z327" s="20">
        <f t="shared" si="6"/>
        <v>40.7879789</v>
      </c>
      <c r="AA327" s="20"/>
      <c r="AB327" s="20">
        <f>IFERROR(__xludf.DUMMYFUNCTION("iferror(PERCENTRANK.INC(FILTER($X$2:$X$423, $U$2:$U$423&lt;3.75), $X327), 1)"),0.595)</f>
        <v>0.595</v>
      </c>
      <c r="AC327" s="20">
        <f>IFERROR(__xludf.DUMMYFUNCTION("iferror(PERCENTRANK.INC(FILTER($X$2:$X$423, $U$2:$U$423&lt;4.25), $X327), 1)"),0.578)</f>
        <v>0.578</v>
      </c>
      <c r="AD327" s="20">
        <f>IFERROR(__xludf.DUMMYFUNCTION("iferror(PERCENTRANK.INC(FILTER($X$2:$X$423, $U$2:$U$423&gt;=4.1), $X327), 0.01)"),0.046)</f>
        <v>0.046</v>
      </c>
      <c r="AE327" s="20"/>
    </row>
    <row r="328" ht="14.25" customHeight="1">
      <c r="A328" s="17" t="s">
        <v>691</v>
      </c>
      <c r="B328" s="17" t="s">
        <v>615</v>
      </c>
      <c r="C328" s="18">
        <v>3.0</v>
      </c>
      <c r="D328" s="17" t="s">
        <v>98</v>
      </c>
      <c r="E328" s="17" t="s">
        <v>144</v>
      </c>
      <c r="F328" s="18">
        <v>96.0</v>
      </c>
      <c r="G328" s="18">
        <v>71.0</v>
      </c>
      <c r="H328" s="18">
        <v>42.0</v>
      </c>
      <c r="I328" s="19">
        <v>0.592</v>
      </c>
      <c r="J328" s="18">
        <v>352.0</v>
      </c>
      <c r="K328" s="18">
        <v>5.0</v>
      </c>
      <c r="L328" s="18">
        <v>3.0</v>
      </c>
      <c r="M328" s="18">
        <v>2.0</v>
      </c>
      <c r="N328" s="18">
        <v>8.0</v>
      </c>
      <c r="O328" s="18">
        <v>2.0</v>
      </c>
      <c r="P328" s="20">
        <f t="shared" si="1"/>
        <v>0.8398754554</v>
      </c>
      <c r="Q328" s="20">
        <f t="shared" si="2"/>
        <v>0.7973088031</v>
      </c>
      <c r="R328" s="24"/>
      <c r="S328" s="20">
        <v>0.839875455399061</v>
      </c>
      <c r="T328" s="22">
        <v>-1.5</v>
      </c>
      <c r="W328" s="25">
        <v>0.95</v>
      </c>
      <c r="X328" s="22">
        <f t="shared" si="17"/>
        <v>-0.1116168135</v>
      </c>
      <c r="Y328" s="20">
        <f t="shared" si="4"/>
        <v>35.32024066</v>
      </c>
      <c r="Z328" s="20">
        <f t="shared" si="6"/>
        <v>34.52293185</v>
      </c>
      <c r="AA328" s="20"/>
      <c r="AB328" s="20">
        <f>IFERROR(__xludf.DUMMYFUNCTION("iferror(PERCENTRANK.INC(FILTER($X$2:$X$423, $U$2:$U$423&lt;3.75), $X328), 1)"),0.17)</f>
        <v>0.17</v>
      </c>
      <c r="AC328" s="20">
        <f>IFERROR(__xludf.DUMMYFUNCTION("iferror(PERCENTRANK.INC(FILTER($X$2:$X$423, $U$2:$U$423&lt;4.25), $X328), 1)"),0.165)</f>
        <v>0.165</v>
      </c>
      <c r="AD328" s="20">
        <f>IFERROR(__xludf.DUMMYFUNCTION("iferror(PERCENTRANK.INC(FILTER($X$2:$X$423, $U$2:$U$423&gt;=4.1), $X328), 0.01)"),0.01)</f>
        <v>0.01</v>
      </c>
      <c r="AE328" s="20"/>
    </row>
    <row r="329" ht="14.25" customHeight="1">
      <c r="A329" s="17" t="s">
        <v>692</v>
      </c>
      <c r="B329" s="17" t="s">
        <v>610</v>
      </c>
      <c r="C329" s="18">
        <v>15.0</v>
      </c>
      <c r="D329" s="17" t="s">
        <v>98</v>
      </c>
      <c r="E329" s="17" t="s">
        <v>189</v>
      </c>
      <c r="F329" s="18">
        <v>85.0</v>
      </c>
      <c r="G329" s="18">
        <v>82.0</v>
      </c>
      <c r="H329" s="18">
        <v>40.0</v>
      </c>
      <c r="I329" s="19">
        <v>0.488</v>
      </c>
      <c r="J329" s="18">
        <v>348.0</v>
      </c>
      <c r="K329" s="18">
        <v>4.2</v>
      </c>
      <c r="L329" s="18">
        <v>0.0</v>
      </c>
      <c r="M329" s="18">
        <v>0.0</v>
      </c>
      <c r="N329" s="18">
        <v>1.0</v>
      </c>
      <c r="O329" s="18">
        <v>2.0</v>
      </c>
      <c r="P329" s="20">
        <f t="shared" si="1"/>
        <v>0.838539099</v>
      </c>
      <c r="Q329" s="20">
        <f t="shared" si="2"/>
        <v>0.7966751029</v>
      </c>
      <c r="R329" s="24"/>
      <c r="S329" s="20">
        <v>0.8385390989956959</v>
      </c>
      <c r="T329" s="22">
        <v>-0.38</v>
      </c>
      <c r="U329" s="30"/>
      <c r="V329" s="30"/>
      <c r="W329" s="18">
        <v>0.9</v>
      </c>
      <c r="X329" s="22">
        <f t="shared" si="17"/>
        <v>0.05620277836</v>
      </c>
      <c r="Y329" s="20">
        <f t="shared" si="4"/>
        <v>37.39534051</v>
      </c>
      <c r="Z329" s="20">
        <f t="shared" si="6"/>
        <v>36.5986654</v>
      </c>
      <c r="AA329" s="20"/>
      <c r="AB329" s="20">
        <f>IFERROR(__xludf.DUMMYFUNCTION("iferror(PERCENTRANK.INC(FILTER($X$2:$X$423, $U$2:$U$423&lt;3.75), $X329), 1)"),0.327)</f>
        <v>0.327</v>
      </c>
      <c r="AC329" s="20">
        <f>IFERROR(__xludf.DUMMYFUNCTION("iferror(PERCENTRANK.INC(FILTER($X$2:$X$423, $U$2:$U$423&lt;4.25), $X329), 1)"),0.318)</f>
        <v>0.318</v>
      </c>
      <c r="AD329" s="20">
        <f>IFERROR(__xludf.DUMMYFUNCTION("iferror(PERCENTRANK.INC(FILTER($X$2:$X$423, $U$2:$U$423&gt;=4.1), $X329), 0.01)"),0.041)</f>
        <v>0.041</v>
      </c>
      <c r="AE329" s="20"/>
    </row>
    <row r="330" ht="14.25" customHeight="1">
      <c r="A330" s="17" t="s">
        <v>693</v>
      </c>
      <c r="B330" s="17" t="s">
        <v>537</v>
      </c>
      <c r="C330" s="18">
        <v>8.0</v>
      </c>
      <c r="D330" s="17" t="s">
        <v>98</v>
      </c>
      <c r="E330" s="17" t="s">
        <v>179</v>
      </c>
      <c r="F330" s="18">
        <v>60.0</v>
      </c>
      <c r="G330" s="18">
        <v>38.0</v>
      </c>
      <c r="H330" s="18">
        <v>24.0</v>
      </c>
      <c r="I330" s="19">
        <v>0.632</v>
      </c>
      <c r="J330" s="18">
        <v>236.0</v>
      </c>
      <c r="K330" s="18">
        <v>6.2</v>
      </c>
      <c r="L330" s="18">
        <v>2.0</v>
      </c>
      <c r="M330" s="18">
        <v>1.0</v>
      </c>
      <c r="N330" s="18">
        <v>12.0</v>
      </c>
      <c r="O330" s="18">
        <v>3.0</v>
      </c>
      <c r="P330" s="20">
        <f t="shared" si="1"/>
        <v>0.8380661053</v>
      </c>
      <c r="Q330" s="20">
        <f t="shared" si="2"/>
        <v>0.7964508093</v>
      </c>
      <c r="R330" s="24"/>
      <c r="S330" s="20">
        <v>0.838066105263158</v>
      </c>
      <c r="T330" s="22">
        <v>-0.69</v>
      </c>
      <c r="W330" s="25">
        <v>0.9</v>
      </c>
      <c r="X330" s="22">
        <f t="shared" si="17"/>
        <v>0.009638924211</v>
      </c>
      <c r="Y330" s="20">
        <f t="shared" si="4"/>
        <v>36.81957551</v>
      </c>
      <c r="Z330" s="20">
        <f t="shared" si="6"/>
        <v>36.0231247</v>
      </c>
      <c r="AA330" s="20"/>
      <c r="AB330" s="20">
        <f>IFERROR(__xludf.DUMMYFUNCTION("iferror(PERCENTRANK.INC(FILTER($X$2:$X$423, $U$2:$U$423&lt;3.75), $X330), 1)"),0.278)</f>
        <v>0.278</v>
      </c>
      <c r="AC330" s="20">
        <f>IFERROR(__xludf.DUMMYFUNCTION("iferror(PERCENTRANK.INC(FILTER($X$2:$X$423, $U$2:$U$423&lt;4.25), $X330), 1)"),0.27)</f>
        <v>0.27</v>
      </c>
      <c r="AD330" s="20">
        <f>IFERROR(__xludf.DUMMYFUNCTION("iferror(PERCENTRANK.INC(FILTER($X$2:$X$423, $U$2:$U$423&gt;=4.1), $X330), 0.01)"),0.04)</f>
        <v>0.04</v>
      </c>
      <c r="AE330" s="20"/>
    </row>
    <row r="331" ht="14.25" customHeight="1">
      <c r="A331" s="17" t="s">
        <v>694</v>
      </c>
      <c r="B331" s="17" t="s">
        <v>585</v>
      </c>
      <c r="C331" s="18">
        <v>7.0</v>
      </c>
      <c r="D331" s="17" t="s">
        <v>98</v>
      </c>
      <c r="E331" s="17" t="s">
        <v>144</v>
      </c>
      <c r="F331" s="18">
        <v>222.0</v>
      </c>
      <c r="G331" s="18">
        <v>199.0</v>
      </c>
      <c r="H331" s="18">
        <v>105.0</v>
      </c>
      <c r="I331" s="19">
        <v>0.528</v>
      </c>
      <c r="J331" s="18">
        <v>1183.0</v>
      </c>
      <c r="K331" s="18">
        <v>5.9</v>
      </c>
      <c r="L331" s="18">
        <v>8.0</v>
      </c>
      <c r="M331" s="18">
        <v>9.0</v>
      </c>
      <c r="N331" s="18">
        <v>11.0</v>
      </c>
      <c r="O331" s="18">
        <v>13.0</v>
      </c>
      <c r="P331" s="20">
        <f t="shared" si="1"/>
        <v>0.8342851439</v>
      </c>
      <c r="Q331" s="20">
        <f t="shared" si="2"/>
        <v>0.7946578776</v>
      </c>
      <c r="R331" s="24"/>
      <c r="S331" s="20">
        <v>0.8342851439177871</v>
      </c>
      <c r="T331" s="22">
        <v>-0.84</v>
      </c>
      <c r="W331" s="25">
        <v>0.95</v>
      </c>
      <c r="X331" s="22">
        <f t="shared" si="17"/>
        <v>-0.007114366992</v>
      </c>
      <c r="Y331" s="20">
        <f t="shared" si="4"/>
        <v>36.61242001</v>
      </c>
      <c r="Z331" s="20">
        <f t="shared" si="6"/>
        <v>35.81776213</v>
      </c>
      <c r="AA331" s="20"/>
      <c r="AB331" s="20">
        <f>IFERROR(__xludf.DUMMYFUNCTION("iferror(PERCENTRANK.INC(FILTER($X$2:$X$423, $U$2:$U$423&lt;3.75), $X331), 1)"),0.255)</f>
        <v>0.255</v>
      </c>
      <c r="AC331" s="20">
        <f>IFERROR(__xludf.DUMMYFUNCTION("iferror(PERCENTRANK.INC(FILTER($X$2:$X$423, $U$2:$U$423&lt;4.25), $X331), 1)"),0.248)</f>
        <v>0.248</v>
      </c>
      <c r="AD331" s="20">
        <f>IFERROR(__xludf.DUMMYFUNCTION("iferror(PERCENTRANK.INC(FILTER($X$2:$X$423, $U$2:$U$423&gt;=4.1), $X331), 0.01)"),0.01)</f>
        <v>0.01</v>
      </c>
      <c r="AE331" s="20"/>
    </row>
    <row r="332" ht="14.25" customHeight="1">
      <c r="A332" s="17" t="s">
        <v>695</v>
      </c>
      <c r="B332" s="17" t="s">
        <v>295</v>
      </c>
      <c r="C332" s="18">
        <v>6.0</v>
      </c>
      <c r="D332" s="17" t="s">
        <v>98</v>
      </c>
      <c r="E332" s="17" t="s">
        <v>158</v>
      </c>
      <c r="F332" s="18">
        <v>51.0</v>
      </c>
      <c r="G332" s="18">
        <v>35.0</v>
      </c>
      <c r="H332" s="18">
        <v>21.0</v>
      </c>
      <c r="I332" s="19">
        <v>0.6</v>
      </c>
      <c r="J332" s="18">
        <v>269.0</v>
      </c>
      <c r="K332" s="18">
        <v>7.7</v>
      </c>
      <c r="L332" s="18">
        <v>2.0</v>
      </c>
      <c r="M332" s="18">
        <v>3.0</v>
      </c>
      <c r="N332" s="18">
        <v>3.0</v>
      </c>
      <c r="O332" s="18">
        <v>2.0</v>
      </c>
      <c r="P332" s="20">
        <f t="shared" si="1"/>
        <v>0.8328621849</v>
      </c>
      <c r="Q332" s="20">
        <f t="shared" si="2"/>
        <v>0.7939831104</v>
      </c>
      <c r="R332" s="24"/>
      <c r="S332" s="20">
        <v>0.8328621848739498</v>
      </c>
      <c r="T332" s="22">
        <v>0.9</v>
      </c>
      <c r="U332" s="30"/>
      <c r="V332" s="30"/>
      <c r="W332" s="18">
        <v>0.95</v>
      </c>
      <c r="X332" s="22">
        <f t="shared" si="17"/>
        <v>0.247436395</v>
      </c>
      <c r="Y332" s="20">
        <f t="shared" si="4"/>
        <v>39.75995625</v>
      </c>
      <c r="Z332" s="20">
        <f t="shared" si="6"/>
        <v>38.96597314</v>
      </c>
      <c r="AA332" s="20"/>
      <c r="AB332" s="20">
        <f>IFERROR(__xludf.DUMMYFUNCTION("iferror(PERCENTRANK.INC(FILTER($X$2:$X$423, $U$2:$U$423&lt;3.75), $X332), 1)"),0.505)</f>
        <v>0.505</v>
      </c>
      <c r="AC332" s="20">
        <f>IFERROR(__xludf.DUMMYFUNCTION("iferror(PERCENTRANK.INC(FILTER($X$2:$X$423, $U$2:$U$423&lt;4.25), $X332), 1)"),0.49)</f>
        <v>0.49</v>
      </c>
      <c r="AD332" s="20">
        <f>IFERROR(__xludf.DUMMYFUNCTION("iferror(PERCENTRANK.INC(FILTER($X$2:$X$423, $U$2:$U$423&gt;=4.1), $X332), 0.01)"),0.044)</f>
        <v>0.044</v>
      </c>
      <c r="AE332" s="20"/>
    </row>
    <row r="333" ht="14.25" customHeight="1">
      <c r="A333" s="17" t="s">
        <v>696</v>
      </c>
      <c r="B333" s="17" t="s">
        <v>341</v>
      </c>
      <c r="C333" s="18">
        <v>15.0</v>
      </c>
      <c r="D333" s="17" t="s">
        <v>98</v>
      </c>
      <c r="E333" s="17" t="s">
        <v>114</v>
      </c>
      <c r="F333" s="18">
        <v>147.0</v>
      </c>
      <c r="G333" s="18">
        <v>133.0</v>
      </c>
      <c r="H333" s="18">
        <v>86.0</v>
      </c>
      <c r="I333" s="19">
        <v>0.647</v>
      </c>
      <c r="J333" s="18">
        <v>843.0</v>
      </c>
      <c r="K333" s="18">
        <v>6.3</v>
      </c>
      <c r="L333" s="18">
        <v>3.0</v>
      </c>
      <c r="M333" s="18">
        <v>5.0</v>
      </c>
      <c r="N333" s="18">
        <v>9.0</v>
      </c>
      <c r="O333" s="18">
        <v>6.0</v>
      </c>
      <c r="P333" s="20">
        <f t="shared" si="1"/>
        <v>0.8236142846</v>
      </c>
      <c r="Q333" s="20">
        <f t="shared" si="2"/>
        <v>0.7895977565</v>
      </c>
      <c r="R333" s="24"/>
      <c r="S333" s="20">
        <v>0.8236142846401716</v>
      </c>
      <c r="T333" s="22">
        <v>-6.82</v>
      </c>
      <c r="U333" s="30"/>
      <c r="V333" s="30"/>
      <c r="W333" s="18">
        <v>0.9</v>
      </c>
      <c r="X333" s="22">
        <f t="shared" si="17"/>
        <v>-0.9118120716</v>
      </c>
      <c r="Y333" s="20">
        <f t="shared" si="4"/>
        <v>25.42577577</v>
      </c>
      <c r="Z333" s="20">
        <f t="shared" si="6"/>
        <v>24.63617801</v>
      </c>
      <c r="AA333" s="20"/>
      <c r="AB333" s="20">
        <f>IFERROR(__xludf.DUMMYFUNCTION("iferror(PERCENTRANK.INC(FILTER($X$2:$X$423, $U$2:$U$423&lt;3.75), $X333), 1)"),0.026)</f>
        <v>0.026</v>
      </c>
      <c r="AC333" s="20">
        <f>IFERROR(__xludf.DUMMYFUNCTION("iferror(PERCENTRANK.INC(FILTER($X$2:$X$423, $U$2:$U$423&lt;4.25), $X333), 1)"),0.025)</f>
        <v>0.025</v>
      </c>
      <c r="AD333" s="20">
        <f>IFERROR(__xludf.DUMMYFUNCTION("iferror(PERCENTRANK.INC(FILTER($X$2:$X$423, $U$2:$U$423&gt;=4.1), $X333), 0.01)"),0.01)</f>
        <v>0.01</v>
      </c>
      <c r="AE333" s="20"/>
    </row>
    <row r="334" ht="14.25" customHeight="1">
      <c r="A334" s="17" t="s">
        <v>697</v>
      </c>
      <c r="B334" s="17" t="s">
        <v>263</v>
      </c>
      <c r="C334" s="18">
        <v>8.0</v>
      </c>
      <c r="D334" s="17" t="s">
        <v>98</v>
      </c>
      <c r="E334" s="17" t="s">
        <v>179</v>
      </c>
      <c r="F334" s="18">
        <v>35.0</v>
      </c>
      <c r="G334" s="18">
        <v>27.0</v>
      </c>
      <c r="H334" s="18">
        <v>14.0</v>
      </c>
      <c r="I334" s="19">
        <v>0.518</v>
      </c>
      <c r="J334" s="18">
        <v>188.0</v>
      </c>
      <c r="K334" s="18">
        <v>7.0</v>
      </c>
      <c r="L334" s="18">
        <v>0.0</v>
      </c>
      <c r="M334" s="18">
        <v>1.0</v>
      </c>
      <c r="N334" s="18">
        <v>3.0</v>
      </c>
      <c r="O334" s="18">
        <v>1.0</v>
      </c>
      <c r="P334" s="20">
        <f t="shared" si="1"/>
        <v>0.8186820847</v>
      </c>
      <c r="Q334" s="20">
        <f t="shared" si="2"/>
        <v>0.7872589074</v>
      </c>
      <c r="R334" s="24"/>
      <c r="S334" s="20">
        <v>0.8186820846560847</v>
      </c>
      <c r="T334" s="22">
        <v>-0.33</v>
      </c>
      <c r="U334" s="30"/>
      <c r="V334" s="30"/>
      <c r="W334" s="18">
        <v>0.9</v>
      </c>
      <c r="X334" s="22">
        <f t="shared" si="17"/>
        <v>0.06102208143</v>
      </c>
      <c r="Y334" s="20">
        <f t="shared" si="4"/>
        <v>37.45493149</v>
      </c>
      <c r="Z334" s="20">
        <f t="shared" si="6"/>
        <v>36.66767259</v>
      </c>
      <c r="AA334" s="20"/>
      <c r="AB334" s="20">
        <f>IFERROR(__xludf.DUMMYFUNCTION("iferror(PERCENTRANK.INC(FILTER($X$2:$X$423, $U$2:$U$423&lt;3.75), $X334), 1)"),0.332)</f>
        <v>0.332</v>
      </c>
      <c r="AC334" s="20">
        <f>IFERROR(__xludf.DUMMYFUNCTION("iferror(PERCENTRANK.INC(FILTER($X$2:$X$423, $U$2:$U$423&lt;4.25), $X334), 1)"),0.323)</f>
        <v>0.323</v>
      </c>
      <c r="AD334" s="20">
        <f>IFERROR(__xludf.DUMMYFUNCTION("iferror(PERCENTRANK.INC(FILTER($X$2:$X$423, $U$2:$U$423&gt;=4.1), $X334), 0.01)"),0.041)</f>
        <v>0.041</v>
      </c>
      <c r="AE334" s="20"/>
    </row>
    <row r="335" ht="14.25" customHeight="1">
      <c r="A335" s="17" t="s">
        <v>698</v>
      </c>
      <c r="B335" s="17" t="s">
        <v>682</v>
      </c>
      <c r="C335" s="18">
        <v>2.0</v>
      </c>
      <c r="D335" s="17" t="s">
        <v>98</v>
      </c>
      <c r="E335" s="17" t="s">
        <v>124</v>
      </c>
      <c r="F335" s="18">
        <v>268.0</v>
      </c>
      <c r="G335" s="18">
        <v>222.0</v>
      </c>
      <c r="H335" s="18">
        <v>134.0</v>
      </c>
      <c r="I335" s="19">
        <v>0.604</v>
      </c>
      <c r="J335" s="18">
        <v>1583.0</v>
      </c>
      <c r="K335" s="18">
        <v>7.1</v>
      </c>
      <c r="L335" s="18">
        <v>12.0</v>
      </c>
      <c r="M335" s="18">
        <v>14.0</v>
      </c>
      <c r="N335" s="18">
        <v>22.0</v>
      </c>
      <c r="O335" s="18">
        <v>13.0</v>
      </c>
      <c r="P335" s="20">
        <f t="shared" si="1"/>
        <v>0.7756916009</v>
      </c>
      <c r="Q335" s="20">
        <f t="shared" si="2"/>
        <v>0.7668728217</v>
      </c>
      <c r="R335" s="24"/>
      <c r="S335" s="20">
        <v>0.7756916009143469</v>
      </c>
      <c r="T335" s="22">
        <v>-0.84</v>
      </c>
      <c r="U335" s="30"/>
      <c r="V335" s="30"/>
      <c r="W335" s="18">
        <v>0.9</v>
      </c>
      <c r="X335" s="22">
        <f t="shared" si="17"/>
        <v>-0.02128163388</v>
      </c>
      <c r="Y335" s="20">
        <f t="shared" si="4"/>
        <v>36.43724086</v>
      </c>
      <c r="Z335" s="20">
        <f t="shared" si="6"/>
        <v>35.67036804</v>
      </c>
      <c r="AA335" s="20"/>
      <c r="AB335" s="20">
        <f>IFERROR(__xludf.DUMMYFUNCTION("iferror(PERCENTRANK.INC(FILTER($X$2:$X$423, $U$2:$U$423&lt;3.75), $X335), 1)"),0.232)</f>
        <v>0.232</v>
      </c>
      <c r="AC335" s="20">
        <f>IFERROR(__xludf.DUMMYFUNCTION("iferror(PERCENTRANK.INC(FILTER($X$2:$X$423, $U$2:$U$423&lt;4.25), $X335), 1)"),0.225)</f>
        <v>0.225</v>
      </c>
      <c r="AD335" s="20">
        <f>IFERROR(__xludf.DUMMYFUNCTION("iferror(PERCENTRANK.INC(FILTER($X$2:$X$423, $U$2:$U$423&gt;=4.1), $X335), 0.01)"),0.01)</f>
        <v>0.01</v>
      </c>
      <c r="AE335" s="20"/>
    </row>
    <row r="336" ht="14.25" customHeight="1">
      <c r="A336" s="17" t="s">
        <v>699</v>
      </c>
      <c r="B336" s="17" t="s">
        <v>529</v>
      </c>
      <c r="C336" s="18">
        <v>2.0</v>
      </c>
      <c r="D336" s="17" t="s">
        <v>98</v>
      </c>
      <c r="E336" s="17" t="s">
        <v>144</v>
      </c>
      <c r="F336" s="18">
        <v>111.0</v>
      </c>
      <c r="G336" s="18">
        <v>95.0</v>
      </c>
      <c r="H336" s="18">
        <v>59.0</v>
      </c>
      <c r="I336" s="19">
        <v>0.621</v>
      </c>
      <c r="J336" s="18">
        <v>538.0</v>
      </c>
      <c r="K336" s="18">
        <v>5.7</v>
      </c>
      <c r="L336" s="18">
        <v>2.0</v>
      </c>
      <c r="M336" s="18">
        <v>3.0</v>
      </c>
      <c r="N336" s="18">
        <v>6.0</v>
      </c>
      <c r="O336" s="18">
        <v>3.0</v>
      </c>
      <c r="P336" s="20">
        <f t="shared" si="1"/>
        <v>0.7934297881</v>
      </c>
      <c r="Q336" s="20">
        <f t="shared" si="2"/>
        <v>0.7752842693</v>
      </c>
      <c r="R336" s="24"/>
      <c r="S336" s="20">
        <v>0.7934297880512091</v>
      </c>
      <c r="T336" s="22">
        <v>-1.8</v>
      </c>
      <c r="W336" s="25">
        <v>0.95</v>
      </c>
      <c r="X336" s="22">
        <f t="shared" si="17"/>
        <v>-0.1628869786</v>
      </c>
      <c r="Y336" s="20">
        <f t="shared" si="4"/>
        <v>34.68628183</v>
      </c>
      <c r="Z336" s="20">
        <f t="shared" si="6"/>
        <v>33.91099756</v>
      </c>
      <c r="AA336" s="20"/>
      <c r="AB336" s="20">
        <f>IFERROR(__xludf.DUMMYFUNCTION("iferror(PERCENTRANK.INC(FILTER($X$2:$X$423, $U$2:$U$423&lt;3.75), $X336), 1)"),0.137)</f>
        <v>0.137</v>
      </c>
      <c r="AC336" s="20">
        <f>IFERROR(__xludf.DUMMYFUNCTION("iferror(PERCENTRANK.INC(FILTER($X$2:$X$423, $U$2:$U$423&lt;4.25), $X336), 1)"),0.133)</f>
        <v>0.133</v>
      </c>
      <c r="AD336" s="20">
        <f>IFERROR(__xludf.DUMMYFUNCTION("iferror(PERCENTRANK.INC(FILTER($X$2:$X$423, $U$2:$U$423&gt;=4.1), $X336), 0.01)"),0.01)</f>
        <v>0.01</v>
      </c>
      <c r="AE336" s="20"/>
    </row>
    <row r="337" ht="14.25" customHeight="1">
      <c r="A337" s="17" t="s">
        <v>700</v>
      </c>
      <c r="B337" s="17" t="s">
        <v>339</v>
      </c>
      <c r="C337" s="18">
        <v>4.0</v>
      </c>
      <c r="D337" s="17" t="s">
        <v>98</v>
      </c>
      <c r="E337" s="17" t="s">
        <v>105</v>
      </c>
      <c r="F337" s="18">
        <v>27.0</v>
      </c>
      <c r="G337" s="18">
        <v>24.0</v>
      </c>
      <c r="H337" s="18">
        <v>15.0</v>
      </c>
      <c r="I337" s="19">
        <v>0.625</v>
      </c>
      <c r="J337" s="18">
        <v>104.0</v>
      </c>
      <c r="K337" s="18">
        <v>4.3</v>
      </c>
      <c r="L337" s="18">
        <v>1.0</v>
      </c>
      <c r="M337" s="18">
        <v>0.0</v>
      </c>
      <c r="N337" s="18">
        <v>1.0</v>
      </c>
      <c r="O337" s="18">
        <v>0.0</v>
      </c>
      <c r="P337" s="20">
        <f t="shared" si="1"/>
        <v>0.772537963</v>
      </c>
      <c r="Q337" s="20">
        <f t="shared" si="2"/>
        <v>0.7653773667</v>
      </c>
      <c r="R337" s="24"/>
      <c r="S337" s="20">
        <v>0.7725379629629627</v>
      </c>
      <c r="T337" s="22">
        <v>1.39</v>
      </c>
      <c r="U337" s="30"/>
      <c r="V337" s="30"/>
      <c r="W337" s="18">
        <v>0.9</v>
      </c>
      <c r="X337" s="22">
        <f t="shared" si="17"/>
        <v>0.312792625</v>
      </c>
      <c r="Y337" s="20">
        <f t="shared" si="4"/>
        <v>40.56809016</v>
      </c>
      <c r="Z337" s="20">
        <f t="shared" si="6"/>
        <v>39.8027128</v>
      </c>
      <c r="AA337" s="20"/>
      <c r="AB337" s="20">
        <f>IFERROR(__xludf.DUMMYFUNCTION("iferror(PERCENTRANK.INC(FILTER($X$2:$X$423, $U$2:$U$423&lt;3.75), $X337), 1)"),0.552)</f>
        <v>0.552</v>
      </c>
      <c r="AC337" s="20">
        <f>IFERROR(__xludf.DUMMYFUNCTION("iferror(PERCENTRANK.INC(FILTER($X$2:$X$423, $U$2:$U$423&lt;4.25), $X337), 1)"),0.535)</f>
        <v>0.535</v>
      </c>
      <c r="AD337" s="20">
        <f>IFERROR(__xludf.DUMMYFUNCTION("iferror(PERCENTRANK.INC(FILTER($X$2:$X$423, $U$2:$U$423&gt;=4.1), $X337), 0.01)"),0.045)</f>
        <v>0.045</v>
      </c>
      <c r="AE337" s="20"/>
    </row>
    <row r="338" ht="14.25" customHeight="1">
      <c r="A338" s="17" t="s">
        <v>701</v>
      </c>
      <c r="B338" s="17" t="s">
        <v>667</v>
      </c>
      <c r="C338" s="18">
        <v>11.0</v>
      </c>
      <c r="D338" s="17" t="s">
        <v>98</v>
      </c>
      <c r="E338" s="17" t="s">
        <v>210</v>
      </c>
      <c r="F338" s="18">
        <v>144.0</v>
      </c>
      <c r="G338" s="18">
        <v>123.0</v>
      </c>
      <c r="H338" s="18">
        <v>68.0</v>
      </c>
      <c r="I338" s="19">
        <v>0.553</v>
      </c>
      <c r="J338" s="18">
        <v>592.0</v>
      </c>
      <c r="K338" s="18">
        <v>4.8</v>
      </c>
      <c r="L338" s="18">
        <v>3.0</v>
      </c>
      <c r="M338" s="18">
        <v>3.0</v>
      </c>
      <c r="N338" s="18">
        <v>10.0</v>
      </c>
      <c r="O338" s="18">
        <v>5.0</v>
      </c>
      <c r="P338" s="20">
        <f t="shared" si="1"/>
        <v>0.8075062304</v>
      </c>
      <c r="Q338" s="20">
        <f t="shared" si="2"/>
        <v>0.7819593178</v>
      </c>
      <c r="R338" s="24"/>
      <c r="S338" s="20">
        <v>0.8075062303523036</v>
      </c>
      <c r="T338" s="22">
        <v>0.13</v>
      </c>
      <c r="U338" s="30"/>
      <c r="V338" s="30"/>
      <c r="W338" s="18">
        <v>0.9</v>
      </c>
      <c r="X338" s="22">
        <f t="shared" si="17"/>
        <v>0.1285133411</v>
      </c>
      <c r="Y338" s="20">
        <f t="shared" si="4"/>
        <v>38.28946518</v>
      </c>
      <c r="Z338" s="20">
        <f t="shared" si="6"/>
        <v>37.50750586</v>
      </c>
      <c r="AA338" s="20"/>
      <c r="AB338" s="20">
        <f>IFERROR(__xludf.DUMMYFUNCTION("iferror(PERCENTRANK.INC(FILTER($X$2:$X$423, $U$2:$U$423&lt;3.75), $X338), 1)"),0.407)</f>
        <v>0.407</v>
      </c>
      <c r="AC338" s="20">
        <f>IFERROR(__xludf.DUMMYFUNCTION("iferror(PERCENTRANK.INC(FILTER($X$2:$X$423, $U$2:$U$423&lt;4.25), $X338), 1)"),0.395)</f>
        <v>0.395</v>
      </c>
      <c r="AD338" s="20">
        <f>IFERROR(__xludf.DUMMYFUNCTION("iferror(PERCENTRANK.INC(FILTER($X$2:$X$423, $U$2:$U$423&gt;=4.1), $X338), 0.01)"),0.042)</f>
        <v>0.042</v>
      </c>
      <c r="AE338" s="20"/>
    </row>
    <row r="339" ht="14.25" customHeight="1">
      <c r="A339" s="17" t="s">
        <v>702</v>
      </c>
      <c r="B339" s="17" t="s">
        <v>703</v>
      </c>
      <c r="C339" s="18">
        <v>1.0</v>
      </c>
      <c r="D339" s="17" t="s">
        <v>98</v>
      </c>
      <c r="E339" s="17" t="s">
        <v>179</v>
      </c>
      <c r="F339" s="18">
        <v>83.0</v>
      </c>
      <c r="G339" s="18">
        <v>70.0</v>
      </c>
      <c r="H339" s="18">
        <v>35.0</v>
      </c>
      <c r="I339" s="19">
        <v>0.5</v>
      </c>
      <c r="J339" s="18">
        <v>343.0</v>
      </c>
      <c r="K339" s="18">
        <v>4.9</v>
      </c>
      <c r="L339" s="18">
        <v>3.0</v>
      </c>
      <c r="M339" s="18">
        <v>2.0</v>
      </c>
      <c r="N339" s="18">
        <v>7.0</v>
      </c>
      <c r="O339" s="18">
        <v>3.0</v>
      </c>
      <c r="P339" s="20">
        <f t="shared" si="1"/>
        <v>0.8052769363</v>
      </c>
      <c r="Q339" s="20">
        <f t="shared" si="2"/>
        <v>0.7809021866</v>
      </c>
      <c r="R339" s="24"/>
      <c r="S339" s="20">
        <v>0.8052769363166955</v>
      </c>
      <c r="T339" s="22">
        <v>-7.76</v>
      </c>
      <c r="U339" s="30"/>
      <c r="V339" s="30"/>
      <c r="W339" s="18">
        <v>0.9</v>
      </c>
      <c r="X339" s="22">
        <f t="shared" si="17"/>
        <v>-1.055287614</v>
      </c>
      <c r="Y339" s="20">
        <f t="shared" si="4"/>
        <v>23.65169163</v>
      </c>
      <c r="Z339" s="20">
        <f t="shared" si="6"/>
        <v>22.87078944</v>
      </c>
      <c r="AA339" s="20"/>
      <c r="AB339" s="20">
        <f>IFERROR(__xludf.DUMMYFUNCTION("iferror(PERCENTRANK.INC(FILTER($X$2:$X$423, $U$2:$U$423&lt;3.75), $X339), 1)"),0.01)</f>
        <v>0.01</v>
      </c>
      <c r="AC339" s="20">
        <f>IFERROR(__xludf.DUMMYFUNCTION("iferror(PERCENTRANK.INC(FILTER($X$2:$X$423, $U$2:$U$423&lt;4.25), $X339), 1)"),0.01)</f>
        <v>0.01</v>
      </c>
      <c r="AD339" s="20">
        <f>IFERROR(__xludf.DUMMYFUNCTION("iferror(PERCENTRANK.INC(FILTER($X$2:$X$423, $U$2:$U$423&gt;=4.1), $X339), 0.01)"),0.01)</f>
        <v>0.01</v>
      </c>
      <c r="AE339" s="20"/>
    </row>
    <row r="340" ht="14.25" customHeight="1">
      <c r="A340" s="17" t="s">
        <v>704</v>
      </c>
      <c r="B340" s="17" t="s">
        <v>484</v>
      </c>
      <c r="C340" s="18">
        <v>4.0</v>
      </c>
      <c r="D340" s="17" t="s">
        <v>98</v>
      </c>
      <c r="E340" s="17" t="s">
        <v>114</v>
      </c>
      <c r="F340" s="18">
        <v>151.0</v>
      </c>
      <c r="G340" s="18">
        <v>128.0</v>
      </c>
      <c r="H340" s="18">
        <v>78.0</v>
      </c>
      <c r="I340" s="19">
        <v>0.609</v>
      </c>
      <c r="J340" s="18">
        <v>711.0</v>
      </c>
      <c r="K340" s="18">
        <v>5.5</v>
      </c>
      <c r="L340" s="18">
        <v>3.0</v>
      </c>
      <c r="M340" s="18">
        <v>4.0</v>
      </c>
      <c r="N340" s="18">
        <v>14.0</v>
      </c>
      <c r="O340" s="18">
        <v>2.0</v>
      </c>
      <c r="P340" s="20">
        <f t="shared" si="1"/>
        <v>0.7978477682</v>
      </c>
      <c r="Q340" s="20">
        <f t="shared" si="2"/>
        <v>0.7773792754</v>
      </c>
      <c r="R340" s="29"/>
      <c r="S340" s="20">
        <v>0.7978477682119205</v>
      </c>
      <c r="T340" s="22">
        <v>-14.86</v>
      </c>
      <c r="U340" s="31"/>
      <c r="V340" s="30"/>
      <c r="W340" s="18">
        <v>0.9</v>
      </c>
      <c r="X340" s="22">
        <f t="shared" si="17"/>
        <v>-2.115306693</v>
      </c>
      <c r="Y340" s="20">
        <f t="shared" si="4"/>
        <v>10.54448878</v>
      </c>
      <c r="Z340" s="20">
        <f t="shared" si="6"/>
        <v>9.767109509</v>
      </c>
      <c r="AA340" s="20"/>
      <c r="AB340" s="20">
        <f>IFERROR(__xludf.DUMMYFUNCTION("iferror(PERCENTRANK.INC(FILTER($X$2:$X$423, $U$2:$U$423&lt;3.75), $X340), 1)"),0.003)</f>
        <v>0.003</v>
      </c>
      <c r="AC340" s="20">
        <f>IFERROR(__xludf.DUMMYFUNCTION("iferror(PERCENTRANK.INC(FILTER($X$2:$X$423, $U$2:$U$423&lt;4.25), $X340), 1)"),0.003)</f>
        <v>0.003</v>
      </c>
      <c r="AD340" s="20">
        <f>IFERROR(__xludf.DUMMYFUNCTION("iferror(PERCENTRANK.INC(FILTER($X$2:$X$423, $U$2:$U$423&gt;=4.1), $X340), 0.01)"),0.01)</f>
        <v>0.01</v>
      </c>
      <c r="AE340" s="20"/>
    </row>
    <row r="341" ht="14.25" customHeight="1">
      <c r="A341" s="17" t="s">
        <v>705</v>
      </c>
      <c r="B341" s="17" t="s">
        <v>537</v>
      </c>
      <c r="C341" s="18">
        <v>10.0</v>
      </c>
      <c r="D341" s="17" t="s">
        <v>98</v>
      </c>
      <c r="E341" s="17" t="s">
        <v>179</v>
      </c>
      <c r="F341" s="18">
        <v>28.0</v>
      </c>
      <c r="G341" s="18">
        <v>23.0</v>
      </c>
      <c r="H341" s="18">
        <v>8.0</v>
      </c>
      <c r="I341" s="19">
        <v>0.348</v>
      </c>
      <c r="J341" s="18">
        <v>109.0</v>
      </c>
      <c r="K341" s="18">
        <v>4.7</v>
      </c>
      <c r="L341" s="18">
        <v>1.0</v>
      </c>
      <c r="M341" s="18">
        <v>0.0</v>
      </c>
      <c r="N341" s="18">
        <v>1.0</v>
      </c>
      <c r="O341" s="18">
        <v>1.0</v>
      </c>
      <c r="P341" s="20">
        <f t="shared" si="1"/>
        <v>0.7971391056</v>
      </c>
      <c r="Q341" s="20">
        <f t="shared" si="2"/>
        <v>0.7770432276</v>
      </c>
      <c r="R341" s="24"/>
      <c r="S341" s="20">
        <v>0.7971391055900621</v>
      </c>
      <c r="T341" s="22">
        <v>-1.73</v>
      </c>
      <c r="U341" s="30"/>
      <c r="V341" s="30"/>
      <c r="W341" s="18">
        <v>0.9</v>
      </c>
      <c r="X341" s="22">
        <f t="shared" si="17"/>
        <v>-0.1518862207</v>
      </c>
      <c r="Y341" s="20">
        <f t="shared" si="4"/>
        <v>34.82230689</v>
      </c>
      <c r="Z341" s="20">
        <f t="shared" si="6"/>
        <v>34.04526367</v>
      </c>
      <c r="AA341" s="20"/>
      <c r="AB341" s="20">
        <f>IFERROR(__xludf.DUMMYFUNCTION("iferror(PERCENTRANK.INC(FILTER($X$2:$X$423, $U$2:$U$423&lt;3.75), $X341), 1)"),0.144)</f>
        <v>0.144</v>
      </c>
      <c r="AC341" s="20">
        <f>IFERROR(__xludf.DUMMYFUNCTION("iferror(PERCENTRANK.INC(FILTER($X$2:$X$423, $U$2:$U$423&lt;4.25), $X341), 1)"),0.14)</f>
        <v>0.14</v>
      </c>
      <c r="AD341" s="20">
        <f>IFERROR(__xludf.DUMMYFUNCTION("iferror(PERCENTRANK.INC(FILTER($X$2:$X$423, $U$2:$U$423&gt;=4.1), $X341), 0.01)"),0.01)</f>
        <v>0.01</v>
      </c>
      <c r="AE341" s="20"/>
    </row>
    <row r="342" ht="14.25" customHeight="1">
      <c r="A342" s="17" t="s">
        <v>706</v>
      </c>
      <c r="B342" s="17" t="s">
        <v>360</v>
      </c>
      <c r="C342" s="18">
        <v>10.0</v>
      </c>
      <c r="D342" s="17" t="s">
        <v>98</v>
      </c>
      <c r="E342" s="17" t="s">
        <v>189</v>
      </c>
      <c r="F342" s="18">
        <v>60.0</v>
      </c>
      <c r="G342" s="18">
        <v>47.0</v>
      </c>
      <c r="H342" s="18">
        <v>30.0</v>
      </c>
      <c r="I342" s="19">
        <v>0.638</v>
      </c>
      <c r="J342" s="18">
        <v>327.0</v>
      </c>
      <c r="K342" s="18">
        <v>7.0</v>
      </c>
      <c r="L342" s="18">
        <v>2.0</v>
      </c>
      <c r="M342" s="18">
        <v>3.0</v>
      </c>
      <c r="N342" s="18">
        <v>5.0</v>
      </c>
      <c r="O342" s="18">
        <v>3.0</v>
      </c>
      <c r="P342" s="20">
        <f t="shared" si="1"/>
        <v>0.7516688369</v>
      </c>
      <c r="Q342" s="20">
        <f t="shared" si="2"/>
        <v>0.7554812279</v>
      </c>
      <c r="R342" s="24"/>
      <c r="S342" s="20">
        <v>0.7516688368794329</v>
      </c>
      <c r="T342" s="22">
        <v>-2.4</v>
      </c>
      <c r="W342" s="25">
        <v>0.9</v>
      </c>
      <c r="X342" s="22">
        <f t="shared" si="17"/>
        <v>-0.2472496745</v>
      </c>
      <c r="Y342" s="20">
        <f t="shared" si="4"/>
        <v>33.64313177</v>
      </c>
      <c r="Z342" s="20">
        <f t="shared" si="6"/>
        <v>32.88765054</v>
      </c>
      <c r="AA342" s="20"/>
      <c r="AB342" s="20">
        <f>IFERROR(__xludf.DUMMYFUNCTION("iferror(PERCENTRANK.INC(FILTER($X$2:$X$423, $U$2:$U$423&lt;3.75), $X342), 1)"),0.093)</f>
        <v>0.093</v>
      </c>
      <c r="AC342" s="20">
        <f>IFERROR(__xludf.DUMMYFUNCTION("iferror(PERCENTRANK.INC(FILTER($X$2:$X$423, $U$2:$U$423&lt;4.25), $X342), 1)"),0.09)</f>
        <v>0.09</v>
      </c>
      <c r="AD342" s="20">
        <f>IFERROR(__xludf.DUMMYFUNCTION("iferror(PERCENTRANK.INC(FILTER($X$2:$X$423, $U$2:$U$423&gt;=4.1), $X342), 0.01)"),0.01)</f>
        <v>0.01</v>
      </c>
      <c r="AE342" s="20"/>
    </row>
    <row r="343" ht="14.25" customHeight="1">
      <c r="A343" s="17" t="s">
        <v>707</v>
      </c>
      <c r="B343" s="17" t="s">
        <v>548</v>
      </c>
      <c r="C343" s="18">
        <v>15.0</v>
      </c>
      <c r="D343" s="17" t="s">
        <v>98</v>
      </c>
      <c r="E343" s="17" t="s">
        <v>121</v>
      </c>
      <c r="F343" s="18">
        <v>249.0</v>
      </c>
      <c r="G343" s="18">
        <v>206.0</v>
      </c>
      <c r="H343" s="18">
        <v>124.0</v>
      </c>
      <c r="I343" s="19">
        <v>0.602</v>
      </c>
      <c r="J343" s="18">
        <v>1264.0</v>
      </c>
      <c r="K343" s="18">
        <v>6.1</v>
      </c>
      <c r="L343" s="18">
        <v>7.0</v>
      </c>
      <c r="M343" s="18">
        <v>9.0</v>
      </c>
      <c r="N343" s="18">
        <v>24.0</v>
      </c>
      <c r="O343" s="18">
        <v>13.0</v>
      </c>
      <c r="P343" s="20">
        <f t="shared" si="1"/>
        <v>0.7625430209</v>
      </c>
      <c r="Q343" s="20">
        <f t="shared" si="2"/>
        <v>0.7606377655</v>
      </c>
      <c r="R343" s="24"/>
      <c r="S343" s="20">
        <v>0.7625430209381213</v>
      </c>
      <c r="T343" s="22">
        <v>0.54</v>
      </c>
      <c r="W343" s="25">
        <v>0.9</v>
      </c>
      <c r="X343" s="22">
        <f t="shared" si="17"/>
        <v>0.1839433078</v>
      </c>
      <c r="Y343" s="20">
        <f t="shared" si="4"/>
        <v>38.97486022</v>
      </c>
      <c r="Z343" s="20">
        <f t="shared" si="6"/>
        <v>38.21422245</v>
      </c>
      <c r="AA343" s="20"/>
      <c r="AB343" s="20">
        <f>IFERROR(__xludf.DUMMYFUNCTION("iferror(PERCENTRANK.INC(FILTER($X$2:$X$423, $U$2:$U$423&lt;3.75), $X343), 1)"),0.459)</f>
        <v>0.459</v>
      </c>
      <c r="AC343" s="20">
        <f>IFERROR(__xludf.DUMMYFUNCTION("iferror(PERCENTRANK.INC(FILTER($X$2:$X$423, $U$2:$U$423&lt;4.25), $X343), 1)"),0.445)</f>
        <v>0.445</v>
      </c>
      <c r="AD343" s="20">
        <f>IFERROR(__xludf.DUMMYFUNCTION("iferror(PERCENTRANK.INC(FILTER($X$2:$X$423, $U$2:$U$423&gt;=4.1), $X343), 0.01)"),0.043)</f>
        <v>0.043</v>
      </c>
      <c r="AE343" s="20"/>
    </row>
    <row r="344" ht="14.25" customHeight="1">
      <c r="A344" s="17" t="s">
        <v>708</v>
      </c>
      <c r="B344" s="17" t="s">
        <v>154</v>
      </c>
      <c r="C344" s="18">
        <v>11.0</v>
      </c>
      <c r="D344" s="17" t="s">
        <v>98</v>
      </c>
      <c r="E344" s="17" t="s">
        <v>155</v>
      </c>
      <c r="F344" s="18">
        <v>69.0</v>
      </c>
      <c r="G344" s="18">
        <v>64.0</v>
      </c>
      <c r="H344" s="18">
        <v>27.0</v>
      </c>
      <c r="I344" s="19">
        <v>0.422</v>
      </c>
      <c r="J344" s="18">
        <v>358.0</v>
      </c>
      <c r="K344" s="18">
        <v>5.6</v>
      </c>
      <c r="L344" s="18">
        <v>1.0</v>
      </c>
      <c r="M344" s="18">
        <v>2.0</v>
      </c>
      <c r="N344" s="18">
        <v>1.0</v>
      </c>
      <c r="O344" s="18">
        <v>4.0</v>
      </c>
      <c r="P344" s="20">
        <f t="shared" si="1"/>
        <v>0.7288612464</v>
      </c>
      <c r="Q344" s="20">
        <f t="shared" si="2"/>
        <v>0.7446658693</v>
      </c>
      <c r="R344" s="24"/>
      <c r="S344" s="20">
        <v>0.7288612463768115</v>
      </c>
      <c r="T344" s="22">
        <v>-1.48</v>
      </c>
      <c r="U344" s="30"/>
      <c r="V344" s="30"/>
      <c r="W344" s="18">
        <v>0.9</v>
      </c>
      <c r="X344" s="22">
        <f t="shared" si="17"/>
        <v>-0.1236037317</v>
      </c>
      <c r="Y344" s="20">
        <f t="shared" si="4"/>
        <v>35.17202166</v>
      </c>
      <c r="Z344" s="20">
        <f t="shared" si="6"/>
        <v>34.42735579</v>
      </c>
      <c r="AA344" s="20"/>
      <c r="AB344" s="20">
        <f>IFERROR(__xludf.DUMMYFUNCTION("iferror(PERCENTRANK.INC(FILTER($X$2:$X$423, $U$2:$U$423&lt;3.75), $X344), 1)"),0.16)</f>
        <v>0.16</v>
      </c>
      <c r="AC344" s="20">
        <f>IFERROR(__xludf.DUMMYFUNCTION("iferror(PERCENTRANK.INC(FILTER($X$2:$X$423, $U$2:$U$423&lt;4.25), $X344), 1)"),0.155)</f>
        <v>0.155</v>
      </c>
      <c r="AD344" s="20">
        <f>IFERROR(__xludf.DUMMYFUNCTION("iferror(PERCENTRANK.INC(FILTER($X$2:$X$423, $U$2:$U$423&gt;=4.1), $X344), 0.01)"),0.01)</f>
        <v>0.01</v>
      </c>
      <c r="AE344" s="20"/>
    </row>
    <row r="345" ht="14.25" customHeight="1">
      <c r="A345" s="17" t="s">
        <v>709</v>
      </c>
      <c r="B345" s="17" t="s">
        <v>710</v>
      </c>
      <c r="C345" s="18">
        <v>7.0</v>
      </c>
      <c r="D345" s="17" t="s">
        <v>98</v>
      </c>
      <c r="E345" s="17" t="s">
        <v>158</v>
      </c>
      <c r="F345" s="18">
        <v>60.0</v>
      </c>
      <c r="G345" s="18">
        <v>58.0</v>
      </c>
      <c r="H345" s="18">
        <v>31.0</v>
      </c>
      <c r="I345" s="19">
        <v>0.534</v>
      </c>
      <c r="J345" s="18">
        <v>323.0</v>
      </c>
      <c r="K345" s="18">
        <v>5.6</v>
      </c>
      <c r="L345" s="18">
        <v>3.0</v>
      </c>
      <c r="M345" s="18">
        <v>3.0</v>
      </c>
      <c r="N345" s="18">
        <v>0.0</v>
      </c>
      <c r="O345" s="18">
        <v>3.0</v>
      </c>
      <c r="P345" s="20">
        <f t="shared" si="1"/>
        <v>0.7647586897</v>
      </c>
      <c r="Q345" s="20">
        <f t="shared" si="2"/>
        <v>0.7616884356</v>
      </c>
      <c r="R345" s="29"/>
      <c r="S345" s="20">
        <v>0.7647586896551724</v>
      </c>
      <c r="T345" s="22">
        <v>4.81</v>
      </c>
      <c r="U345" s="31"/>
      <c r="V345" s="30"/>
      <c r="W345" s="18">
        <v>0.95</v>
      </c>
      <c r="X345" s="22">
        <f t="shared" si="17"/>
        <v>0.8304781133</v>
      </c>
      <c r="Y345" s="20">
        <f t="shared" si="4"/>
        <v>46.96930391</v>
      </c>
      <c r="Z345" s="20">
        <f t="shared" si="6"/>
        <v>46.20761548</v>
      </c>
      <c r="AA345" s="20"/>
      <c r="AB345" s="20">
        <f>IFERROR(__xludf.DUMMYFUNCTION("iferror(PERCENTRANK.INC(FILTER($X$2:$X$423, $U$2:$U$423&lt;3.75), $X345), 1)"),0.845)</f>
        <v>0.845</v>
      </c>
      <c r="AC345" s="20">
        <f>IFERROR(__xludf.DUMMYFUNCTION("iferror(PERCENTRANK.INC(FILTER($X$2:$X$423, $U$2:$U$423&lt;4.25), $X345), 1)"),0.82)</f>
        <v>0.82</v>
      </c>
      <c r="AD345" s="20">
        <f>IFERROR(__xludf.DUMMYFUNCTION("iferror(PERCENTRANK.INC(FILTER($X$2:$X$423, $U$2:$U$423&gt;=4.1), $X345), 0.01)"),0.053)</f>
        <v>0.053</v>
      </c>
      <c r="AE345" s="20"/>
    </row>
    <row r="346" ht="14.25" customHeight="1">
      <c r="A346" s="17" t="s">
        <v>711</v>
      </c>
      <c r="B346" s="17" t="s">
        <v>660</v>
      </c>
      <c r="C346" s="18">
        <v>5.0</v>
      </c>
      <c r="D346" s="17" t="s">
        <v>98</v>
      </c>
      <c r="E346" s="17" t="s">
        <v>155</v>
      </c>
      <c r="F346" s="18">
        <v>34.0</v>
      </c>
      <c r="G346" s="18">
        <v>28.0</v>
      </c>
      <c r="H346" s="18">
        <v>12.0</v>
      </c>
      <c r="I346" s="19">
        <v>0.429</v>
      </c>
      <c r="J346" s="18">
        <v>140.0</v>
      </c>
      <c r="K346" s="18">
        <v>5.0</v>
      </c>
      <c r="L346" s="18">
        <v>1.0</v>
      </c>
      <c r="M346" s="18">
        <v>0.0</v>
      </c>
      <c r="N346" s="18">
        <v>5.0</v>
      </c>
      <c r="O346" s="18">
        <v>1.0</v>
      </c>
      <c r="P346" s="20">
        <f t="shared" si="1"/>
        <v>0.7593727479</v>
      </c>
      <c r="Q346" s="20">
        <f t="shared" si="2"/>
        <v>0.7591344222</v>
      </c>
      <c r="R346" s="24"/>
      <c r="S346" s="20">
        <v>0.7593727478991597</v>
      </c>
      <c r="T346" s="22">
        <v>-0.57</v>
      </c>
      <c r="W346" s="25">
        <v>0.9</v>
      </c>
      <c r="X346" s="22">
        <f t="shared" si="17"/>
        <v>0.01701532097</v>
      </c>
      <c r="Y346" s="20">
        <f t="shared" si="4"/>
        <v>36.91078512</v>
      </c>
      <c r="Z346" s="20">
        <f t="shared" si="6"/>
        <v>36.1516507</v>
      </c>
      <c r="AA346" s="20"/>
      <c r="AB346" s="20">
        <f>IFERROR(__xludf.DUMMYFUNCTION("iferror(PERCENTRANK.INC(FILTER($X$2:$X$423, $U$2:$U$423&lt;3.75), $X346), 1)"),0.286)</f>
        <v>0.286</v>
      </c>
      <c r="AC346" s="20">
        <f>IFERROR(__xludf.DUMMYFUNCTION("iferror(PERCENTRANK.INC(FILTER($X$2:$X$423, $U$2:$U$423&lt;4.25), $X346), 1)"),0.278)</f>
        <v>0.278</v>
      </c>
      <c r="AD346" s="20">
        <f>IFERROR(__xludf.DUMMYFUNCTION("iferror(PERCENTRANK.INC(FILTER($X$2:$X$423, $U$2:$U$423&gt;=4.1), $X346), 0.01)"),0.04)</f>
        <v>0.04</v>
      </c>
      <c r="AE346" s="20"/>
    </row>
    <row r="347" ht="14.25" customHeight="1">
      <c r="A347" s="17" t="s">
        <v>712</v>
      </c>
      <c r="B347" s="17" t="s">
        <v>509</v>
      </c>
      <c r="C347" s="18">
        <v>16.0</v>
      </c>
      <c r="D347" s="17" t="s">
        <v>98</v>
      </c>
      <c r="E347" s="17" t="s">
        <v>99</v>
      </c>
      <c r="F347" s="18">
        <v>76.0</v>
      </c>
      <c r="G347" s="18">
        <v>59.0</v>
      </c>
      <c r="H347" s="18">
        <v>30.0</v>
      </c>
      <c r="I347" s="19">
        <v>0.508</v>
      </c>
      <c r="J347" s="18">
        <v>427.0</v>
      </c>
      <c r="K347" s="18">
        <v>7.2</v>
      </c>
      <c r="L347" s="18">
        <v>3.0</v>
      </c>
      <c r="M347" s="18">
        <v>4.0</v>
      </c>
      <c r="N347" s="18">
        <v>7.0</v>
      </c>
      <c r="O347" s="18">
        <v>7.0</v>
      </c>
      <c r="P347" s="20">
        <f t="shared" si="1"/>
        <v>0.7261354826</v>
      </c>
      <c r="Q347" s="20">
        <f t="shared" si="2"/>
        <v>0.7433733122</v>
      </c>
      <c r="R347" s="24"/>
      <c r="S347" s="20">
        <v>0.726135482604817</v>
      </c>
      <c r="T347" s="22">
        <v>0.39</v>
      </c>
      <c r="U347" s="30"/>
      <c r="V347" s="30"/>
      <c r="W347" s="18">
        <v>1.0</v>
      </c>
      <c r="X347" s="22">
        <f t="shared" si="17"/>
        <v>0.1565282902</v>
      </c>
      <c r="Y347" s="20">
        <f t="shared" si="4"/>
        <v>38.63587179</v>
      </c>
      <c r="Z347" s="20">
        <f t="shared" si="6"/>
        <v>37.89249848</v>
      </c>
      <c r="AA347" s="20"/>
      <c r="AB347" s="20">
        <f>IFERROR(__xludf.DUMMYFUNCTION("iferror(PERCENTRANK.INC(FILTER($X$2:$X$423, $U$2:$U$423&lt;3.75), $X347), 1)"),0.433)</f>
        <v>0.433</v>
      </c>
      <c r="AC347" s="20">
        <f>IFERROR(__xludf.DUMMYFUNCTION("iferror(PERCENTRANK.INC(FILTER($X$2:$X$423, $U$2:$U$423&lt;4.25), $X347), 1)"),0.42)</f>
        <v>0.42</v>
      </c>
      <c r="AD347" s="20">
        <f>IFERROR(__xludf.DUMMYFUNCTION("iferror(PERCENTRANK.INC(FILTER($X$2:$X$423, $U$2:$U$423&gt;=4.1), $X347), 0.01)"),0.042)</f>
        <v>0.042</v>
      </c>
      <c r="AE347" s="20"/>
    </row>
    <row r="348" ht="14.25" customHeight="1">
      <c r="A348" s="17" t="s">
        <v>713</v>
      </c>
      <c r="B348" s="17" t="s">
        <v>662</v>
      </c>
      <c r="C348" s="18">
        <v>15.0</v>
      </c>
      <c r="D348" s="17" t="s">
        <v>98</v>
      </c>
      <c r="E348" s="17" t="s">
        <v>114</v>
      </c>
      <c r="F348" s="18">
        <v>29.0</v>
      </c>
      <c r="G348" s="18">
        <v>22.0</v>
      </c>
      <c r="H348" s="18">
        <v>11.0</v>
      </c>
      <c r="I348" s="19">
        <v>0.5</v>
      </c>
      <c r="J348" s="18">
        <v>125.0</v>
      </c>
      <c r="K348" s="18">
        <v>5.7</v>
      </c>
      <c r="L348" s="18">
        <v>0.0</v>
      </c>
      <c r="M348" s="18">
        <v>0.0</v>
      </c>
      <c r="N348" s="18">
        <v>3.0</v>
      </c>
      <c r="O348" s="18">
        <v>2.0</v>
      </c>
      <c r="P348" s="20">
        <f t="shared" si="1"/>
        <v>0.7253244514</v>
      </c>
      <c r="Q348" s="20">
        <f t="shared" si="2"/>
        <v>0.7429887213</v>
      </c>
      <c r="R348" s="29"/>
      <c r="S348" s="20">
        <v>0.725324451410658</v>
      </c>
      <c r="T348" s="22">
        <v>-1.2</v>
      </c>
      <c r="U348" s="31"/>
      <c r="V348" s="30"/>
      <c r="W348" s="18">
        <v>0.9</v>
      </c>
      <c r="X348" s="22">
        <f t="shared" si="17"/>
        <v>-0.08208119906</v>
      </c>
      <c r="Y348" s="20">
        <f t="shared" si="4"/>
        <v>35.68545039</v>
      </c>
      <c r="Z348" s="20">
        <f t="shared" si="6"/>
        <v>34.94246167</v>
      </c>
      <c r="AA348" s="20"/>
      <c r="AB348" s="20">
        <f>IFERROR(__xludf.DUMMYFUNCTION("iferror(PERCENTRANK.INC(FILTER($X$2:$X$423, $U$2:$U$423&lt;3.75), $X348), 1)"),0.191)</f>
        <v>0.191</v>
      </c>
      <c r="AC348" s="20">
        <f>IFERROR(__xludf.DUMMYFUNCTION("iferror(PERCENTRANK.INC(FILTER($X$2:$X$423, $U$2:$U$423&lt;4.25), $X348), 1)"),0.185)</f>
        <v>0.185</v>
      </c>
      <c r="AD348" s="20">
        <f>IFERROR(__xludf.DUMMYFUNCTION("iferror(PERCENTRANK.INC(FILTER($X$2:$X$423, $U$2:$U$423&gt;=4.1), $X348), 0.01)"),0.01)</f>
        <v>0.01</v>
      </c>
      <c r="AE348" s="20"/>
    </row>
    <row r="349" ht="14.25" customHeight="1">
      <c r="A349" s="17" t="s">
        <v>714</v>
      </c>
      <c r="B349" s="17" t="s">
        <v>151</v>
      </c>
      <c r="C349" s="18">
        <v>18.0</v>
      </c>
      <c r="D349" s="17" t="s">
        <v>98</v>
      </c>
      <c r="E349" s="17" t="s">
        <v>124</v>
      </c>
      <c r="F349" s="18">
        <v>110.0</v>
      </c>
      <c r="G349" s="18">
        <v>85.0</v>
      </c>
      <c r="H349" s="18">
        <v>52.0</v>
      </c>
      <c r="I349" s="19">
        <v>0.612</v>
      </c>
      <c r="J349" s="18">
        <v>546.0</v>
      </c>
      <c r="K349" s="18">
        <v>6.4</v>
      </c>
      <c r="L349" s="18">
        <v>2.0</v>
      </c>
      <c r="M349" s="18">
        <v>4.0</v>
      </c>
      <c r="N349" s="18">
        <v>5.0</v>
      </c>
      <c r="O349" s="18">
        <v>4.0</v>
      </c>
      <c r="P349" s="20">
        <f t="shared" si="1"/>
        <v>0.6939823957</v>
      </c>
      <c r="Q349" s="20">
        <f t="shared" si="2"/>
        <v>0.7281263196</v>
      </c>
      <c r="R349" s="24"/>
      <c r="S349" s="20">
        <v>0.6939823957219252</v>
      </c>
      <c r="T349" s="22">
        <v>0.1</v>
      </c>
      <c r="W349" s="25">
        <v>0.9</v>
      </c>
      <c r="X349" s="22">
        <f t="shared" si="17"/>
        <v>0.1190973594</v>
      </c>
      <c r="Y349" s="20">
        <f t="shared" si="4"/>
        <v>38.17303597</v>
      </c>
      <c r="Z349" s="20">
        <f t="shared" si="6"/>
        <v>37.44490965</v>
      </c>
      <c r="AA349" s="20"/>
      <c r="AB349" s="20">
        <f>IFERROR(__xludf.DUMMYFUNCTION("iferror(PERCENTRANK.INC(FILTER($X$2:$X$423, $U$2:$U$423&lt;3.75), $X349), 1)"),0.392)</f>
        <v>0.392</v>
      </c>
      <c r="AC349" s="20">
        <f>IFERROR(__xludf.DUMMYFUNCTION("iferror(PERCENTRANK.INC(FILTER($X$2:$X$423, $U$2:$U$423&lt;4.25), $X349), 1)"),0.38)</f>
        <v>0.38</v>
      </c>
      <c r="AD349" s="20">
        <f>IFERROR(__xludf.DUMMYFUNCTION("iferror(PERCENTRANK.INC(FILTER($X$2:$X$423, $U$2:$U$423&gt;=4.1), $X349), 0.01)"),0.042)</f>
        <v>0.042</v>
      </c>
      <c r="AE349" s="20"/>
    </row>
    <row r="350" ht="14.25" customHeight="1">
      <c r="A350" s="17" t="s">
        <v>715</v>
      </c>
      <c r="B350" s="17" t="s">
        <v>716</v>
      </c>
      <c r="C350" s="18">
        <v>3.0</v>
      </c>
      <c r="D350" s="17" t="s">
        <v>98</v>
      </c>
      <c r="E350" s="17" t="s">
        <v>147</v>
      </c>
      <c r="F350" s="18">
        <v>56.0</v>
      </c>
      <c r="G350" s="18">
        <v>47.0</v>
      </c>
      <c r="H350" s="18">
        <v>28.0</v>
      </c>
      <c r="I350" s="19">
        <v>0.596</v>
      </c>
      <c r="J350" s="18">
        <v>305.0</v>
      </c>
      <c r="K350" s="18">
        <v>6.5</v>
      </c>
      <c r="L350" s="18">
        <v>2.0</v>
      </c>
      <c r="M350" s="18">
        <v>3.0</v>
      </c>
      <c r="N350" s="18">
        <v>4.0</v>
      </c>
      <c r="O350" s="18">
        <v>2.0</v>
      </c>
      <c r="P350" s="20">
        <f t="shared" si="1"/>
        <v>0.6927008754</v>
      </c>
      <c r="Q350" s="20">
        <f t="shared" si="2"/>
        <v>0.7275186227</v>
      </c>
      <c r="R350" s="24"/>
      <c r="S350" s="20">
        <v>0.6927008753799392</v>
      </c>
      <c r="T350" s="22">
        <v>-1.71</v>
      </c>
      <c r="U350" s="30"/>
      <c r="V350" s="30"/>
      <c r="W350" s="18">
        <v>0.95</v>
      </c>
      <c r="X350" s="22">
        <f t="shared" si="17"/>
        <v>-0.1629853818</v>
      </c>
      <c r="Y350" s="20">
        <f t="shared" si="4"/>
        <v>34.68506507</v>
      </c>
      <c r="Z350" s="20">
        <f t="shared" si="6"/>
        <v>33.95754644</v>
      </c>
      <c r="AA350" s="20"/>
      <c r="AB350" s="20">
        <f>IFERROR(__xludf.DUMMYFUNCTION("iferror(PERCENTRANK.INC(FILTER($X$2:$X$423, $U$2:$U$423&lt;3.75), $X350), 1)"),0.134)</f>
        <v>0.134</v>
      </c>
      <c r="AC350" s="20">
        <f>IFERROR(__xludf.DUMMYFUNCTION("iferror(PERCENTRANK.INC(FILTER($X$2:$X$423, $U$2:$U$423&lt;4.25), $X350), 1)"),0.13)</f>
        <v>0.13</v>
      </c>
      <c r="AD350" s="20">
        <f>IFERROR(__xludf.DUMMYFUNCTION("iferror(PERCENTRANK.INC(FILTER($X$2:$X$423, $U$2:$U$423&gt;=4.1), $X350), 0.01)"),0.01)</f>
        <v>0.01</v>
      </c>
      <c r="AE350" s="20"/>
    </row>
    <row r="351" ht="14.25" customHeight="1">
      <c r="A351" s="17" t="s">
        <v>717</v>
      </c>
      <c r="B351" s="17" t="s">
        <v>161</v>
      </c>
      <c r="C351" s="18">
        <v>11.0</v>
      </c>
      <c r="D351" s="17" t="s">
        <v>98</v>
      </c>
      <c r="E351" s="17" t="s">
        <v>121</v>
      </c>
      <c r="F351" s="18">
        <v>66.0</v>
      </c>
      <c r="G351" s="18">
        <v>57.0</v>
      </c>
      <c r="H351" s="18">
        <v>32.0</v>
      </c>
      <c r="I351" s="19">
        <v>0.561</v>
      </c>
      <c r="J351" s="18">
        <v>283.0</v>
      </c>
      <c r="K351" s="18">
        <v>5.0</v>
      </c>
      <c r="L351" s="18">
        <v>2.0</v>
      </c>
      <c r="M351" s="18">
        <v>2.0</v>
      </c>
      <c r="N351" s="18">
        <v>3.0</v>
      </c>
      <c r="O351" s="18">
        <v>3.0</v>
      </c>
      <c r="P351" s="20">
        <f t="shared" si="1"/>
        <v>0.6827671914</v>
      </c>
      <c r="Q351" s="20">
        <f t="shared" si="2"/>
        <v>0.7228080702</v>
      </c>
      <c r="R351" s="24"/>
      <c r="S351" s="20">
        <v>0.6827671913875598</v>
      </c>
      <c r="T351" s="22">
        <v>-0.71</v>
      </c>
      <c r="W351" s="25">
        <v>0.9</v>
      </c>
      <c r="X351" s="22">
        <f t="shared" si="17"/>
        <v>-0.009205675227</v>
      </c>
      <c r="Y351" s="20">
        <f t="shared" si="4"/>
        <v>36.58656085</v>
      </c>
      <c r="Z351" s="20">
        <f t="shared" si="6"/>
        <v>35.86375278</v>
      </c>
      <c r="AA351" s="20"/>
      <c r="AB351" s="20">
        <f>IFERROR(__xludf.DUMMYFUNCTION("iferror(PERCENTRANK.INC(FILTER($X$2:$X$423, $U$2:$U$423&lt;3.75), $X351), 1)"),0.247)</f>
        <v>0.247</v>
      </c>
      <c r="AC351" s="20">
        <f>IFERROR(__xludf.DUMMYFUNCTION("iferror(PERCENTRANK.INC(FILTER($X$2:$X$423, $U$2:$U$423&lt;4.25), $X351), 1)"),0.24)</f>
        <v>0.24</v>
      </c>
      <c r="AD351" s="20">
        <f>IFERROR(__xludf.DUMMYFUNCTION("iferror(PERCENTRANK.INC(FILTER($X$2:$X$423, $U$2:$U$423&gt;=4.1), $X351), 0.01)"),0.01)</f>
        <v>0.01</v>
      </c>
      <c r="AE351" s="20"/>
    </row>
    <row r="352" ht="14.25" customHeight="1">
      <c r="A352" s="17" t="s">
        <v>718</v>
      </c>
      <c r="B352" s="17" t="s">
        <v>399</v>
      </c>
      <c r="C352" s="18">
        <v>16.0</v>
      </c>
      <c r="D352" s="17" t="s">
        <v>98</v>
      </c>
      <c r="E352" s="17" t="s">
        <v>210</v>
      </c>
      <c r="F352" s="18">
        <v>103.0</v>
      </c>
      <c r="G352" s="18">
        <v>98.0</v>
      </c>
      <c r="H352" s="18">
        <v>46.0</v>
      </c>
      <c r="I352" s="19">
        <v>0.469</v>
      </c>
      <c r="J352" s="18">
        <v>584.0</v>
      </c>
      <c r="K352" s="18">
        <v>6.0</v>
      </c>
      <c r="L352" s="18">
        <v>2.0</v>
      </c>
      <c r="M352" s="18">
        <v>4.0</v>
      </c>
      <c r="N352" s="18">
        <v>3.0</v>
      </c>
      <c r="O352" s="18">
        <v>7.0</v>
      </c>
      <c r="P352" s="20">
        <f t="shared" si="1"/>
        <v>0.6642139293</v>
      </c>
      <c r="Q352" s="20">
        <f t="shared" si="2"/>
        <v>0.714010114</v>
      </c>
      <c r="R352" s="24"/>
      <c r="S352" s="20">
        <v>0.6642139292649099</v>
      </c>
      <c r="T352" s="22">
        <v>-0.85</v>
      </c>
      <c r="W352" s="25">
        <v>0.9</v>
      </c>
      <c r="X352" s="22">
        <f t="shared" si="17"/>
        <v>-0.03783111955</v>
      </c>
      <c r="Y352" s="20">
        <f t="shared" si="4"/>
        <v>36.23260542</v>
      </c>
      <c r="Z352" s="20">
        <f t="shared" si="6"/>
        <v>35.51859531</v>
      </c>
      <c r="AA352" s="20"/>
      <c r="AB352" s="20">
        <f>IFERROR(__xludf.DUMMYFUNCTION("iferror(PERCENTRANK.INC(FILTER($X$2:$X$423, $U$2:$U$423&lt;3.75), $X352), 1)"),0.224)</f>
        <v>0.224</v>
      </c>
      <c r="AC352" s="20">
        <f>IFERROR(__xludf.DUMMYFUNCTION("iferror(PERCENTRANK.INC(FILTER($X$2:$X$423, $U$2:$U$423&lt;4.25), $X352), 1)"),0.218)</f>
        <v>0.218</v>
      </c>
      <c r="AD352" s="20">
        <f>IFERROR(__xludf.DUMMYFUNCTION("iferror(PERCENTRANK.INC(FILTER($X$2:$X$423, $U$2:$U$423&gt;=4.1), $X352), 0.01)"),0.01)</f>
        <v>0.01</v>
      </c>
      <c r="AE352" s="20"/>
    </row>
    <row r="353" ht="14.25" customHeight="1">
      <c r="A353" s="17" t="s">
        <v>719</v>
      </c>
      <c r="B353" s="17" t="s">
        <v>445</v>
      </c>
      <c r="C353" s="18">
        <v>1.0</v>
      </c>
      <c r="D353" s="17" t="s">
        <v>98</v>
      </c>
      <c r="E353" s="17" t="s">
        <v>155</v>
      </c>
      <c r="F353" s="18">
        <v>116.0</v>
      </c>
      <c r="G353" s="18">
        <v>106.0</v>
      </c>
      <c r="H353" s="18">
        <v>53.0</v>
      </c>
      <c r="I353" s="19">
        <v>0.5</v>
      </c>
      <c r="J353" s="18">
        <v>550.0</v>
      </c>
      <c r="K353" s="18">
        <v>5.2</v>
      </c>
      <c r="L353" s="18">
        <v>5.0</v>
      </c>
      <c r="M353" s="18">
        <v>5.0</v>
      </c>
      <c r="N353" s="18">
        <v>5.0</v>
      </c>
      <c r="O353" s="18">
        <v>7.0</v>
      </c>
      <c r="P353" s="20">
        <f t="shared" si="1"/>
        <v>0.675566363</v>
      </c>
      <c r="Q353" s="20">
        <f t="shared" si="2"/>
        <v>0.7193934376</v>
      </c>
      <c r="R353" s="24"/>
      <c r="S353" s="20">
        <v>0.6755663630448925</v>
      </c>
      <c r="T353" s="22">
        <v>-1.69</v>
      </c>
      <c r="U353" s="30"/>
      <c r="V353" s="30"/>
      <c r="W353" s="18">
        <v>0.9</v>
      </c>
      <c r="X353" s="22">
        <f t="shared" si="17"/>
        <v>-0.1521650455</v>
      </c>
      <c r="Y353" s="20">
        <f t="shared" si="4"/>
        <v>34.81885921</v>
      </c>
      <c r="Z353" s="20">
        <f t="shared" si="6"/>
        <v>34.09946577</v>
      </c>
      <c r="AA353" s="20"/>
      <c r="AB353" s="20">
        <f>IFERROR(__xludf.DUMMYFUNCTION("iferror(PERCENTRANK.INC(FILTER($X$2:$X$423, $U$2:$U$423&lt;3.75), $X353), 1)"),0.142)</f>
        <v>0.142</v>
      </c>
      <c r="AC353" s="20">
        <f>IFERROR(__xludf.DUMMYFUNCTION("iferror(PERCENTRANK.INC(FILTER($X$2:$X$423, $U$2:$U$423&lt;4.25), $X353), 1)"),0.138)</f>
        <v>0.138</v>
      </c>
      <c r="AD353" s="20">
        <f>IFERROR(__xludf.DUMMYFUNCTION("iferror(PERCENTRANK.INC(FILTER($X$2:$X$423, $U$2:$U$423&gt;=4.1), $X353), 0.01)"),0.01)</f>
        <v>0.01</v>
      </c>
      <c r="AE353" s="20"/>
    </row>
    <row r="354" ht="14.25" customHeight="1">
      <c r="A354" s="17" t="s">
        <v>720</v>
      </c>
      <c r="B354" s="17" t="s">
        <v>351</v>
      </c>
      <c r="C354" s="18">
        <v>10.0</v>
      </c>
      <c r="D354" s="17" t="s">
        <v>98</v>
      </c>
      <c r="E354" s="17" t="s">
        <v>135</v>
      </c>
      <c r="F354" s="18">
        <v>26.0</v>
      </c>
      <c r="G354" s="18">
        <v>19.0</v>
      </c>
      <c r="H354" s="18">
        <v>10.0</v>
      </c>
      <c r="I354" s="19">
        <v>0.526</v>
      </c>
      <c r="J354" s="18">
        <v>141.0</v>
      </c>
      <c r="K354" s="18">
        <v>7.4</v>
      </c>
      <c r="L354" s="18">
        <v>1.0</v>
      </c>
      <c r="M354" s="18">
        <v>2.0</v>
      </c>
      <c r="N354" s="18">
        <v>3.0</v>
      </c>
      <c r="O354" s="18">
        <v>2.0</v>
      </c>
      <c r="P354" s="20">
        <f t="shared" si="1"/>
        <v>0.6728868583</v>
      </c>
      <c r="Q354" s="20">
        <f t="shared" si="2"/>
        <v>0.7181228166</v>
      </c>
      <c r="R354" s="24"/>
      <c r="S354" s="20">
        <v>0.6728868582995954</v>
      </c>
      <c r="T354" s="22">
        <v>-3.37</v>
      </c>
      <c r="W354" s="25">
        <v>1.0</v>
      </c>
      <c r="X354" s="22">
        <f t="shared" si="17"/>
        <v>-0.4096136227</v>
      </c>
      <c r="Y354" s="20">
        <f t="shared" si="4"/>
        <v>31.6354913</v>
      </c>
      <c r="Z354" s="20">
        <f t="shared" si="6"/>
        <v>30.91736848</v>
      </c>
      <c r="AA354" s="20"/>
      <c r="AB354" s="20">
        <f>IFERROR(__xludf.DUMMYFUNCTION("iferror(PERCENTRANK.INC(FILTER($X$2:$X$423, $U$2:$U$423&lt;3.75), $X354), 1)"),0.067)</f>
        <v>0.067</v>
      </c>
      <c r="AC354" s="20">
        <f>IFERROR(__xludf.DUMMYFUNCTION("iferror(PERCENTRANK.INC(FILTER($X$2:$X$423, $U$2:$U$423&lt;4.25), $X354), 1)"),0.065)</f>
        <v>0.065</v>
      </c>
      <c r="AD354" s="20">
        <f>IFERROR(__xludf.DUMMYFUNCTION("iferror(PERCENTRANK.INC(FILTER($X$2:$X$423, $U$2:$U$423&gt;=4.1), $X354), 0.01)"),0.01)</f>
        <v>0.01</v>
      </c>
      <c r="AE354" s="20"/>
    </row>
    <row r="355" ht="14.25" customHeight="1">
      <c r="A355" s="17" t="s">
        <v>721</v>
      </c>
      <c r="B355" s="17" t="s">
        <v>644</v>
      </c>
      <c r="C355" s="18">
        <v>18.0</v>
      </c>
      <c r="D355" s="17" t="s">
        <v>98</v>
      </c>
      <c r="E355" s="17" t="s">
        <v>102</v>
      </c>
      <c r="F355" s="18">
        <v>42.0</v>
      </c>
      <c r="G355" s="18">
        <v>32.0</v>
      </c>
      <c r="H355" s="18">
        <v>18.0</v>
      </c>
      <c r="I355" s="19">
        <v>0.563</v>
      </c>
      <c r="J355" s="18">
        <v>223.0</v>
      </c>
      <c r="K355" s="18">
        <v>7.0</v>
      </c>
      <c r="L355" s="18">
        <v>1.0</v>
      </c>
      <c r="M355" s="18">
        <v>2.0</v>
      </c>
      <c r="N355" s="18">
        <v>6.0</v>
      </c>
      <c r="O355" s="18">
        <v>2.0</v>
      </c>
      <c r="P355" s="20">
        <f t="shared" si="1"/>
        <v>0.6894838571</v>
      </c>
      <c r="Q355" s="20">
        <f t="shared" si="2"/>
        <v>0.7259931128</v>
      </c>
      <c r="R355" s="24"/>
      <c r="S355" s="20">
        <v>0.6894838571428571</v>
      </c>
      <c r="T355" s="22">
        <v>-1.26</v>
      </c>
      <c r="U355" s="30"/>
      <c r="V355" s="30"/>
      <c r="W355" s="18">
        <v>0.9</v>
      </c>
      <c r="X355" s="22">
        <f t="shared" si="17"/>
        <v>-0.08557742143</v>
      </c>
      <c r="Y355" s="20">
        <f t="shared" si="4"/>
        <v>35.64221938</v>
      </c>
      <c r="Z355" s="20">
        <f t="shared" si="6"/>
        <v>34.91622627</v>
      </c>
      <c r="AA355" s="20"/>
      <c r="AB355" s="20">
        <f>IFERROR(__xludf.DUMMYFUNCTION("iferror(PERCENTRANK.INC(FILTER($X$2:$X$423, $U$2:$U$423&lt;3.75), $X355), 1)"),0.188)</f>
        <v>0.188</v>
      </c>
      <c r="AC355" s="20">
        <f>IFERROR(__xludf.DUMMYFUNCTION("iferror(PERCENTRANK.INC(FILTER($X$2:$X$423, $U$2:$U$423&lt;4.25), $X355), 1)"),0.183)</f>
        <v>0.183</v>
      </c>
      <c r="AD355" s="20">
        <f>IFERROR(__xludf.DUMMYFUNCTION("iferror(PERCENTRANK.INC(FILTER($X$2:$X$423, $U$2:$U$423&gt;=4.1), $X355), 0.01)"),0.01)</f>
        <v>0.01</v>
      </c>
      <c r="AE355" s="20"/>
    </row>
    <row r="356" ht="14.25" customHeight="1">
      <c r="A356" s="17" t="s">
        <v>722</v>
      </c>
      <c r="B356" s="17" t="s">
        <v>723</v>
      </c>
      <c r="C356" s="18">
        <v>6.0</v>
      </c>
      <c r="D356" s="17" t="s">
        <v>98</v>
      </c>
      <c r="E356" s="17" t="s">
        <v>132</v>
      </c>
      <c r="F356" s="18">
        <v>202.0</v>
      </c>
      <c r="G356" s="18">
        <v>181.0</v>
      </c>
      <c r="H356" s="18">
        <v>113.0</v>
      </c>
      <c r="I356" s="19">
        <v>0.624</v>
      </c>
      <c r="J356" s="18">
        <v>1046.0</v>
      </c>
      <c r="K356" s="18">
        <v>5.8</v>
      </c>
      <c r="L356" s="18">
        <v>6.0</v>
      </c>
      <c r="M356" s="18">
        <v>8.0</v>
      </c>
      <c r="N356" s="18">
        <v>11.0</v>
      </c>
      <c r="O356" s="18">
        <v>11.0</v>
      </c>
      <c r="P356" s="20">
        <f t="shared" si="1"/>
        <v>0.6700937699</v>
      </c>
      <c r="Q356" s="20">
        <f t="shared" si="2"/>
        <v>0.7167983342</v>
      </c>
      <c r="R356" s="24"/>
      <c r="S356" s="20">
        <v>0.6700937699250588</v>
      </c>
      <c r="T356" s="22">
        <v>0.06</v>
      </c>
      <c r="W356" s="25">
        <v>0.95</v>
      </c>
      <c r="X356" s="22">
        <f t="shared" si="17"/>
        <v>0.1044883622</v>
      </c>
      <c r="Y356" s="20">
        <f t="shared" si="4"/>
        <v>37.9923948</v>
      </c>
      <c r="Z356" s="20">
        <f t="shared" si="6"/>
        <v>37.27559647</v>
      </c>
      <c r="AA356" s="20"/>
      <c r="AB356" s="20">
        <f>IFERROR(__xludf.DUMMYFUNCTION("iferror(PERCENTRANK.INC(FILTER($X$2:$X$423, $U$2:$U$423&lt;3.75), $X356), 1)"),0.374)</f>
        <v>0.374</v>
      </c>
      <c r="AC356" s="20">
        <f>IFERROR(__xludf.DUMMYFUNCTION("iferror(PERCENTRANK.INC(FILTER($X$2:$X$423, $U$2:$U$423&lt;4.25), $X356), 1)"),0.363)</f>
        <v>0.363</v>
      </c>
      <c r="AD356" s="20">
        <f>IFERROR(__xludf.DUMMYFUNCTION("iferror(PERCENTRANK.INC(FILTER($X$2:$X$423, $U$2:$U$423&gt;=4.1), $X356), 0.01)"),0.042)</f>
        <v>0.042</v>
      </c>
      <c r="AE356" s="20"/>
    </row>
    <row r="357" ht="14.25" customHeight="1">
      <c r="A357" s="17" t="s">
        <v>724</v>
      </c>
      <c r="B357" s="17" t="s">
        <v>461</v>
      </c>
      <c r="C357" s="18">
        <v>2.0</v>
      </c>
      <c r="D357" s="17" t="s">
        <v>98</v>
      </c>
      <c r="E357" s="17" t="s">
        <v>102</v>
      </c>
      <c r="F357" s="18">
        <v>95.0</v>
      </c>
      <c r="G357" s="18">
        <v>78.0</v>
      </c>
      <c r="H357" s="18">
        <v>41.0</v>
      </c>
      <c r="I357" s="19">
        <v>0.526</v>
      </c>
      <c r="J357" s="18">
        <v>454.0</v>
      </c>
      <c r="K357" s="18">
        <v>5.8</v>
      </c>
      <c r="L357" s="18">
        <v>0.0</v>
      </c>
      <c r="M357" s="18">
        <v>2.0</v>
      </c>
      <c r="N357" s="18">
        <v>8.0</v>
      </c>
      <c r="O357" s="18">
        <v>3.0</v>
      </c>
      <c r="P357" s="20">
        <f t="shared" si="1"/>
        <v>0.6639022429</v>
      </c>
      <c r="Q357" s="20">
        <f t="shared" si="2"/>
        <v>0.7138623123</v>
      </c>
      <c r="R357" s="24"/>
      <c r="S357" s="20">
        <v>0.6639022429149799</v>
      </c>
      <c r="T357" s="22">
        <v>0.99</v>
      </c>
      <c r="U357" s="30"/>
      <c r="V357" s="30"/>
      <c r="W357" s="18">
        <v>0.9</v>
      </c>
      <c r="X357" s="22">
        <f t="shared" si="17"/>
        <v>0.2431060696</v>
      </c>
      <c r="Y357" s="20">
        <f t="shared" si="4"/>
        <v>39.7064115</v>
      </c>
      <c r="Z357" s="20">
        <f t="shared" si="6"/>
        <v>38.99254919</v>
      </c>
      <c r="AA357" s="20"/>
      <c r="AB357" s="20">
        <f>IFERROR(__xludf.DUMMYFUNCTION("iferror(PERCENTRANK.INC(FILTER($X$2:$X$423, $U$2:$U$423&lt;3.75), $X357), 1)"),0.503)</f>
        <v>0.503</v>
      </c>
      <c r="AC357" s="20">
        <f>IFERROR(__xludf.DUMMYFUNCTION("iferror(PERCENTRANK.INC(FILTER($X$2:$X$423, $U$2:$U$423&lt;4.25), $X357), 1)"),0.488)</f>
        <v>0.488</v>
      </c>
      <c r="AD357" s="20">
        <f>IFERROR(__xludf.DUMMYFUNCTION("iferror(PERCENTRANK.INC(FILTER($X$2:$X$423, $U$2:$U$423&gt;=4.1), $X357), 0.01)"),0.044)</f>
        <v>0.044</v>
      </c>
      <c r="AE357" s="20"/>
    </row>
    <row r="358" ht="14.25" customHeight="1">
      <c r="A358" s="17" t="s">
        <v>725</v>
      </c>
      <c r="B358" s="17" t="s">
        <v>726</v>
      </c>
      <c r="C358" s="18">
        <v>6.0</v>
      </c>
      <c r="D358" s="17" t="s">
        <v>98</v>
      </c>
      <c r="E358" s="17" t="s">
        <v>99</v>
      </c>
      <c r="F358" s="18">
        <v>312.0</v>
      </c>
      <c r="G358" s="18">
        <v>276.0</v>
      </c>
      <c r="H358" s="18">
        <v>163.0</v>
      </c>
      <c r="I358" s="19">
        <v>0.591</v>
      </c>
      <c r="J358" s="18">
        <v>1537.0</v>
      </c>
      <c r="K358" s="18">
        <v>5.6</v>
      </c>
      <c r="L358" s="18">
        <v>3.0</v>
      </c>
      <c r="M358" s="18">
        <v>8.0</v>
      </c>
      <c r="N358" s="18">
        <v>19.0</v>
      </c>
      <c r="O358" s="18">
        <v>14.0</v>
      </c>
      <c r="P358" s="20">
        <f t="shared" si="1"/>
        <v>0.676259854</v>
      </c>
      <c r="Q358" s="20">
        <f t="shared" si="2"/>
        <v>0.719722291</v>
      </c>
      <c r="R358" s="24"/>
      <c r="S358" s="20">
        <v>0.6762598539576365</v>
      </c>
      <c r="T358" s="22">
        <v>-1.8</v>
      </c>
      <c r="U358" s="16">
        <v>4.37</v>
      </c>
      <c r="V358" s="16">
        <v>3.04</v>
      </c>
      <c r="W358" s="25">
        <v>1.0</v>
      </c>
      <c r="X358" s="22">
        <f t="shared" si="17"/>
        <v>2.88029508</v>
      </c>
      <c r="Y358" s="20">
        <f t="shared" si="4"/>
        <v>72.31542013</v>
      </c>
      <c r="Z358" s="20">
        <f t="shared" si="6"/>
        <v>71.59569784</v>
      </c>
      <c r="AA358" s="20"/>
      <c r="AB358" s="20">
        <f>IFERROR(__xludf.DUMMYFUNCTION("iferror(PERCENTRANK.INC(FILTER($X$2:$X$423, $U$2:$U$423&lt;3.75), $X358), 1)"),0.986)</f>
        <v>0.986</v>
      </c>
      <c r="AC358" s="20">
        <f>IFERROR(__xludf.DUMMYFUNCTION("iferror(PERCENTRANK.INC(FILTER($X$2:$X$423, $U$2:$U$423&lt;4.25), $X358), 1)"),0.965)</f>
        <v>0.965</v>
      </c>
      <c r="AD358" s="20">
        <f>IFERROR(__xludf.DUMMYFUNCTION("iferror(PERCENTRANK.INC(FILTER($X$2:$X$423, $U$2:$U$423&gt;=4.1), $X358), 0.01)"),0.12)</f>
        <v>0.12</v>
      </c>
      <c r="AE358" s="20"/>
    </row>
    <row r="359" ht="14.25" customHeight="1">
      <c r="A359" s="17" t="s">
        <v>727</v>
      </c>
      <c r="B359" s="17" t="s">
        <v>386</v>
      </c>
      <c r="C359" s="18">
        <v>11.0</v>
      </c>
      <c r="D359" s="17" t="s">
        <v>98</v>
      </c>
      <c r="E359" s="17" t="s">
        <v>158</v>
      </c>
      <c r="F359" s="18">
        <v>98.0</v>
      </c>
      <c r="G359" s="18">
        <v>96.0</v>
      </c>
      <c r="H359" s="18">
        <v>55.0</v>
      </c>
      <c r="I359" s="19">
        <v>0.573</v>
      </c>
      <c r="J359" s="18">
        <v>498.0</v>
      </c>
      <c r="K359" s="18">
        <v>5.2</v>
      </c>
      <c r="L359" s="18">
        <v>3.0</v>
      </c>
      <c r="M359" s="18">
        <v>4.0</v>
      </c>
      <c r="N359" s="18">
        <v>1.0</v>
      </c>
      <c r="O359" s="18">
        <v>2.0</v>
      </c>
      <c r="P359" s="20">
        <f t="shared" si="1"/>
        <v>0.6635402517</v>
      </c>
      <c r="Q359" s="20">
        <f t="shared" si="2"/>
        <v>0.7136906561</v>
      </c>
      <c r="R359" s="24"/>
      <c r="S359" s="20">
        <v>0.6635402517006803</v>
      </c>
      <c r="T359" s="22">
        <v>-0.83</v>
      </c>
      <c r="U359" s="30"/>
      <c r="V359" s="30"/>
      <c r="W359" s="18">
        <v>0.95</v>
      </c>
      <c r="X359" s="22">
        <f t="shared" si="17"/>
        <v>-0.02496896224</v>
      </c>
      <c r="Y359" s="20">
        <f t="shared" si="4"/>
        <v>36.39164681</v>
      </c>
      <c r="Z359" s="20">
        <f t="shared" si="6"/>
        <v>35.67795615</v>
      </c>
      <c r="AA359" s="20"/>
      <c r="AB359" s="20">
        <f>IFERROR(__xludf.DUMMYFUNCTION("iferror(PERCENTRANK.INC(FILTER($X$2:$X$423, $U$2:$U$423&lt;3.75), $X359), 1)"),0.229)</f>
        <v>0.229</v>
      </c>
      <c r="AC359" s="20">
        <f>IFERROR(__xludf.DUMMYFUNCTION("iferror(PERCENTRANK.INC(FILTER($X$2:$X$423, $U$2:$U$423&lt;4.25), $X359), 1)"),0.223)</f>
        <v>0.223</v>
      </c>
      <c r="AD359" s="20">
        <f>IFERROR(__xludf.DUMMYFUNCTION("iferror(PERCENTRANK.INC(FILTER($X$2:$X$423, $U$2:$U$423&gt;=4.1), $X359), 0.01)"),0.01)</f>
        <v>0.01</v>
      </c>
      <c r="AE359" s="20"/>
    </row>
    <row r="360" ht="14.25" customHeight="1">
      <c r="A360" s="17" t="s">
        <v>728</v>
      </c>
      <c r="B360" s="17" t="s">
        <v>726</v>
      </c>
      <c r="C360" s="18">
        <v>18.0</v>
      </c>
      <c r="D360" s="17" t="s">
        <v>98</v>
      </c>
      <c r="E360" s="17" t="s">
        <v>99</v>
      </c>
      <c r="F360" s="18">
        <v>86.0</v>
      </c>
      <c r="G360" s="18">
        <v>71.0</v>
      </c>
      <c r="H360" s="18">
        <v>36.0</v>
      </c>
      <c r="I360" s="19">
        <v>0.507</v>
      </c>
      <c r="J360" s="18">
        <v>358.0</v>
      </c>
      <c r="K360" s="18">
        <v>5.0</v>
      </c>
      <c r="L360" s="18">
        <v>1.0</v>
      </c>
      <c r="M360" s="18">
        <v>2.0</v>
      </c>
      <c r="N360" s="18">
        <v>2.0</v>
      </c>
      <c r="O360" s="18">
        <v>3.0</v>
      </c>
      <c r="P360" s="20">
        <f t="shared" si="1"/>
        <v>0.6528903691</v>
      </c>
      <c r="Q360" s="20">
        <f t="shared" si="2"/>
        <v>0.7086404822</v>
      </c>
      <c r="R360" s="24"/>
      <c r="S360" s="20">
        <v>0.6528903691451032</v>
      </c>
      <c r="T360" s="22">
        <v>-0.21</v>
      </c>
      <c r="U360" s="30"/>
      <c r="V360" s="30"/>
      <c r="W360" s="18">
        <v>1.0</v>
      </c>
      <c r="X360" s="22">
        <f t="shared" si="17"/>
        <v>0.0615368776</v>
      </c>
      <c r="Y360" s="20">
        <f t="shared" si="4"/>
        <v>37.46129698</v>
      </c>
      <c r="Z360" s="20">
        <f t="shared" si="6"/>
        <v>36.7526565</v>
      </c>
      <c r="AA360" s="20"/>
      <c r="AB360" s="20">
        <f>IFERROR(__xludf.DUMMYFUNCTION("iferror(PERCENTRANK.INC(FILTER($X$2:$X$423, $U$2:$U$423&lt;3.75), $X360), 1)"),0.335)</f>
        <v>0.335</v>
      </c>
      <c r="AC360" s="20">
        <f>IFERROR(__xludf.DUMMYFUNCTION("iferror(PERCENTRANK.INC(FILTER($X$2:$X$423, $U$2:$U$423&lt;4.25), $X360), 1)"),0.325)</f>
        <v>0.325</v>
      </c>
      <c r="AD360" s="20">
        <f>IFERROR(__xludf.DUMMYFUNCTION("iferror(PERCENTRANK.INC(FILTER($X$2:$X$423, $U$2:$U$423&gt;=4.1), $X360), 0.01)"),0.041)</f>
        <v>0.041</v>
      </c>
      <c r="AE360" s="20"/>
    </row>
    <row r="361" ht="14.25" customHeight="1">
      <c r="A361" s="17" t="s">
        <v>729</v>
      </c>
      <c r="B361" s="17" t="s">
        <v>555</v>
      </c>
      <c r="C361" s="18">
        <v>12.0</v>
      </c>
      <c r="D361" s="17" t="s">
        <v>98</v>
      </c>
      <c r="E361" s="17" t="s">
        <v>117</v>
      </c>
      <c r="F361" s="18">
        <v>249.0</v>
      </c>
      <c r="G361" s="18">
        <v>222.0</v>
      </c>
      <c r="H361" s="18">
        <v>118.0</v>
      </c>
      <c r="I361" s="19">
        <v>0.531</v>
      </c>
      <c r="J361" s="18">
        <v>1029.0</v>
      </c>
      <c r="K361" s="18">
        <v>4.6</v>
      </c>
      <c r="L361" s="18">
        <v>4.0</v>
      </c>
      <c r="M361" s="18">
        <v>6.0</v>
      </c>
      <c r="N361" s="18">
        <v>14.0</v>
      </c>
      <c r="O361" s="18">
        <v>13.0</v>
      </c>
      <c r="P361" s="20">
        <f t="shared" si="1"/>
        <v>0.6478452536</v>
      </c>
      <c r="Q361" s="20">
        <f t="shared" si="2"/>
        <v>0.7062480886</v>
      </c>
      <c r="R361" s="24"/>
      <c r="S361" s="20">
        <v>0.6478452535547596</v>
      </c>
      <c r="T361" s="22">
        <v>-0.95</v>
      </c>
      <c r="U361" s="30"/>
      <c r="V361" s="30"/>
      <c r="W361" s="18">
        <v>0.95</v>
      </c>
      <c r="X361" s="22">
        <f t="shared" si="17"/>
        <v>-0.05018205137</v>
      </c>
      <c r="Y361" s="20">
        <f t="shared" si="4"/>
        <v>36.07988537</v>
      </c>
      <c r="Z361" s="20">
        <f t="shared" si="6"/>
        <v>35.37363728</v>
      </c>
      <c r="AA361" s="20"/>
      <c r="AB361" s="20">
        <f>IFERROR(__xludf.DUMMYFUNCTION("iferror(PERCENTRANK.INC(FILTER($X$2:$X$423, $U$2:$U$423&lt;3.75), $X361), 1)"),0.216)</f>
        <v>0.216</v>
      </c>
      <c r="AC361" s="20">
        <f>IFERROR(__xludf.DUMMYFUNCTION("iferror(PERCENTRANK.INC(FILTER($X$2:$X$423, $U$2:$U$423&lt;4.25), $X361), 1)"),0.21)</f>
        <v>0.21</v>
      </c>
      <c r="AD361" s="20">
        <f>IFERROR(__xludf.DUMMYFUNCTION("iferror(PERCENTRANK.INC(FILTER($X$2:$X$423, $U$2:$U$423&gt;=4.1), $X361), 0.01)"),0.01)</f>
        <v>0.01</v>
      </c>
      <c r="AE361" s="20"/>
    </row>
    <row r="362" ht="14.25" customHeight="1">
      <c r="A362" s="17" t="s">
        <v>730</v>
      </c>
      <c r="B362" s="17" t="s">
        <v>565</v>
      </c>
      <c r="C362" s="18">
        <v>5.0</v>
      </c>
      <c r="D362" s="17" t="s">
        <v>98</v>
      </c>
      <c r="E362" s="17" t="s">
        <v>506</v>
      </c>
      <c r="F362" s="18">
        <v>122.0</v>
      </c>
      <c r="G362" s="18">
        <v>102.0</v>
      </c>
      <c r="H362" s="18">
        <v>61.0</v>
      </c>
      <c r="I362" s="19">
        <v>0.598</v>
      </c>
      <c r="J362" s="18">
        <v>507.0</v>
      </c>
      <c r="K362" s="18">
        <v>5.0</v>
      </c>
      <c r="L362" s="18">
        <v>2.0</v>
      </c>
      <c r="M362" s="18">
        <v>3.0</v>
      </c>
      <c r="N362" s="18">
        <v>10.0</v>
      </c>
      <c r="O362" s="18">
        <v>4.0</v>
      </c>
      <c r="P362" s="20">
        <f t="shared" si="1"/>
        <v>0.6364462379</v>
      </c>
      <c r="Q362" s="20">
        <f t="shared" si="2"/>
        <v>0.7008426757</v>
      </c>
      <c r="R362" s="24"/>
      <c r="S362" s="20">
        <v>0.636446237865638</v>
      </c>
      <c r="T362" s="22">
        <v>-0.51</v>
      </c>
      <c r="W362" s="25">
        <v>0.95</v>
      </c>
      <c r="X362" s="22">
        <f t="shared" si="17"/>
        <v>0.009420242112</v>
      </c>
      <c r="Y362" s="20">
        <f t="shared" si="4"/>
        <v>36.81687149</v>
      </c>
      <c r="Z362" s="20">
        <f t="shared" si="6"/>
        <v>36.11602882</v>
      </c>
      <c r="AA362" s="20"/>
      <c r="AB362" s="20">
        <f>IFERROR(__xludf.DUMMYFUNCTION("iferror(PERCENTRANK.INC(FILTER($X$2:$X$423, $U$2:$U$423&lt;3.75), $X362), 1)"),0.276)</f>
        <v>0.276</v>
      </c>
      <c r="AC362" s="20">
        <f>IFERROR(__xludf.DUMMYFUNCTION("iferror(PERCENTRANK.INC(FILTER($X$2:$X$423, $U$2:$U$423&lt;4.25), $X362), 1)"),0.268)</f>
        <v>0.268</v>
      </c>
      <c r="AD362" s="20">
        <f>IFERROR(__xludf.DUMMYFUNCTION("iferror(PERCENTRANK.INC(FILTER($X$2:$X$423, $U$2:$U$423&gt;=4.1), $X362), 0.01)"),0.04)</f>
        <v>0.04</v>
      </c>
      <c r="AE362" s="20"/>
    </row>
    <row r="363" ht="14.25" customHeight="1">
      <c r="A363" s="17" t="s">
        <v>731</v>
      </c>
      <c r="B363" s="17" t="s">
        <v>449</v>
      </c>
      <c r="C363" s="18">
        <v>10.0</v>
      </c>
      <c r="D363" s="17" t="s">
        <v>98</v>
      </c>
      <c r="E363" s="17" t="s">
        <v>172</v>
      </c>
      <c r="F363" s="18">
        <v>73.0</v>
      </c>
      <c r="G363" s="18">
        <v>63.0</v>
      </c>
      <c r="H363" s="18">
        <v>28.0</v>
      </c>
      <c r="I363" s="19">
        <v>0.444</v>
      </c>
      <c r="J363" s="18">
        <v>324.0</v>
      </c>
      <c r="K363" s="18">
        <v>5.1</v>
      </c>
      <c r="L363" s="18">
        <v>3.0</v>
      </c>
      <c r="M363" s="18">
        <v>3.0</v>
      </c>
      <c r="N363" s="18">
        <v>5.0</v>
      </c>
      <c r="O363" s="18">
        <v>4.0</v>
      </c>
      <c r="P363" s="20">
        <f t="shared" si="1"/>
        <v>0.6170211985</v>
      </c>
      <c r="Q363" s="20">
        <f t="shared" si="2"/>
        <v>0.6916313228</v>
      </c>
      <c r="R363" s="24"/>
      <c r="S363" s="20">
        <v>0.6170211985214177</v>
      </c>
      <c r="T363" s="22">
        <v>-0.33</v>
      </c>
      <c r="W363" s="25">
        <v>0.9</v>
      </c>
      <c r="X363" s="22">
        <f t="shared" si="17"/>
        <v>0.0337978618</v>
      </c>
      <c r="Y363" s="20">
        <f t="shared" si="4"/>
        <v>37.1183023</v>
      </c>
      <c r="Z363" s="20">
        <f t="shared" si="6"/>
        <v>36.42667098</v>
      </c>
      <c r="AA363" s="20"/>
      <c r="AB363" s="20">
        <f>IFERROR(__xludf.DUMMYFUNCTION("iferror(PERCENTRANK.INC(FILTER($X$2:$X$423, $U$2:$U$423&lt;3.75), $X363), 1)"),0.309)</f>
        <v>0.309</v>
      </c>
      <c r="AC363" s="20">
        <f>IFERROR(__xludf.DUMMYFUNCTION("iferror(PERCENTRANK.INC(FILTER($X$2:$X$423, $U$2:$U$423&lt;4.25), $X363), 1)"),0.3)</f>
        <v>0.3</v>
      </c>
      <c r="AD363" s="20">
        <f>IFERROR(__xludf.DUMMYFUNCTION("iferror(PERCENTRANK.INC(FILTER($X$2:$X$423, $U$2:$U$423&gt;=4.1), $X363), 0.01)"),0.041)</f>
        <v>0.041</v>
      </c>
      <c r="AE363" s="20"/>
    </row>
    <row r="364" ht="14.25" customHeight="1">
      <c r="A364" s="17" t="s">
        <v>732</v>
      </c>
      <c r="B364" s="17" t="s">
        <v>257</v>
      </c>
      <c r="C364" s="18">
        <v>12.0</v>
      </c>
      <c r="D364" s="17" t="s">
        <v>98</v>
      </c>
      <c r="E364" s="17" t="s">
        <v>182</v>
      </c>
      <c r="F364" s="18">
        <v>30.0</v>
      </c>
      <c r="G364" s="18">
        <v>27.0</v>
      </c>
      <c r="H364" s="18">
        <v>16.0</v>
      </c>
      <c r="I364" s="19">
        <v>0.593</v>
      </c>
      <c r="J364" s="18">
        <v>161.0</v>
      </c>
      <c r="K364" s="18">
        <v>6.0</v>
      </c>
      <c r="L364" s="18">
        <v>1.0</v>
      </c>
      <c r="M364" s="18">
        <v>2.0</v>
      </c>
      <c r="N364" s="18">
        <v>1.0</v>
      </c>
      <c r="O364" s="18">
        <v>1.0</v>
      </c>
      <c r="P364" s="20">
        <f t="shared" si="1"/>
        <v>0.629988037</v>
      </c>
      <c r="Q364" s="20">
        <f t="shared" si="2"/>
        <v>0.6977801972</v>
      </c>
      <c r="R364" s="24"/>
      <c r="S364" s="20">
        <v>0.629988037037037</v>
      </c>
      <c r="T364" s="22">
        <v>0.0</v>
      </c>
      <c r="W364" s="25">
        <v>1.0</v>
      </c>
      <c r="X364" s="22">
        <f t="shared" si="17"/>
        <v>0.08977329528</v>
      </c>
      <c r="Y364" s="20">
        <f t="shared" si="4"/>
        <v>37.81044207</v>
      </c>
      <c r="Z364" s="20">
        <f t="shared" si="6"/>
        <v>37.11266187</v>
      </c>
      <c r="AA364" s="20"/>
      <c r="AB364" s="20">
        <f>IFERROR(__xludf.DUMMYFUNCTION("iferror(PERCENTRANK.INC(FILTER($X$2:$X$423, $U$2:$U$423&lt;3.75), $X364), 1)"),0.358)</f>
        <v>0.358</v>
      </c>
      <c r="AC364" s="20">
        <f>IFERROR(__xludf.DUMMYFUNCTION("iferror(PERCENTRANK.INC(FILTER($X$2:$X$423, $U$2:$U$423&lt;4.25), $X364), 1)"),0.348)</f>
        <v>0.348</v>
      </c>
      <c r="AD364" s="20">
        <f>IFERROR(__xludf.DUMMYFUNCTION("iferror(PERCENTRANK.INC(FILTER($X$2:$X$423, $U$2:$U$423&gt;=4.1), $X364), 0.01)"),0.041)</f>
        <v>0.041</v>
      </c>
      <c r="AE364" s="20"/>
    </row>
    <row r="365" ht="14.25" customHeight="1">
      <c r="A365" s="17" t="s">
        <v>733</v>
      </c>
      <c r="B365" s="17" t="s">
        <v>723</v>
      </c>
      <c r="C365" s="18">
        <v>10.0</v>
      </c>
      <c r="D365" s="17" t="s">
        <v>98</v>
      </c>
      <c r="E365" s="17" t="s">
        <v>132</v>
      </c>
      <c r="F365" s="18">
        <v>60.0</v>
      </c>
      <c r="G365" s="18">
        <v>49.0</v>
      </c>
      <c r="H365" s="18">
        <v>29.0</v>
      </c>
      <c r="I365" s="19">
        <v>0.592</v>
      </c>
      <c r="J365" s="18">
        <v>216.0</v>
      </c>
      <c r="K365" s="18">
        <v>4.4</v>
      </c>
      <c r="L365" s="18">
        <v>1.0</v>
      </c>
      <c r="M365" s="18">
        <v>1.0</v>
      </c>
      <c r="N365" s="18">
        <v>5.0</v>
      </c>
      <c r="O365" s="18">
        <v>2.0</v>
      </c>
      <c r="P365" s="20">
        <f t="shared" si="1"/>
        <v>0.5969576054</v>
      </c>
      <c r="Q365" s="20">
        <f t="shared" si="2"/>
        <v>0.6821171677</v>
      </c>
      <c r="R365" s="24"/>
      <c r="S365" s="20">
        <v>0.596957605442177</v>
      </c>
      <c r="T365" s="22">
        <v>-0.35</v>
      </c>
      <c r="U365" s="30"/>
      <c r="V365" s="30"/>
      <c r="W365" s="18">
        <v>0.95</v>
      </c>
      <c r="X365" s="22">
        <f t="shared" si="17"/>
        <v>0.03256645878</v>
      </c>
      <c r="Y365" s="20">
        <f t="shared" si="4"/>
        <v>37.10307592</v>
      </c>
      <c r="Z365" s="20">
        <f t="shared" si="6"/>
        <v>36.42095876</v>
      </c>
      <c r="AA365" s="20"/>
      <c r="AB365" s="20">
        <f>IFERROR(__xludf.DUMMYFUNCTION("iferror(PERCENTRANK.INC(FILTER($X$2:$X$423, $U$2:$U$423&lt;3.75), $X365), 1)"),0.307)</f>
        <v>0.307</v>
      </c>
      <c r="AC365" s="20">
        <f>IFERROR(__xludf.DUMMYFUNCTION("iferror(PERCENTRANK.INC(FILTER($X$2:$X$423, $U$2:$U$423&lt;4.25), $X365), 1)"),0.298)</f>
        <v>0.298</v>
      </c>
      <c r="AD365" s="20">
        <f>IFERROR(__xludf.DUMMYFUNCTION("iferror(PERCENTRANK.INC(FILTER($X$2:$X$423, $U$2:$U$423&gt;=4.1), $X365), 0.01)"),0.041)</f>
        <v>0.041</v>
      </c>
      <c r="AE365" s="20"/>
    </row>
    <row r="366" ht="14.25" customHeight="1">
      <c r="A366" s="17" t="s">
        <v>734</v>
      </c>
      <c r="B366" s="17" t="s">
        <v>473</v>
      </c>
      <c r="C366" s="18">
        <v>9.0</v>
      </c>
      <c r="D366" s="17" t="s">
        <v>98</v>
      </c>
      <c r="E366" s="17" t="s">
        <v>117</v>
      </c>
      <c r="F366" s="18">
        <v>45.0</v>
      </c>
      <c r="G366" s="18">
        <v>41.0</v>
      </c>
      <c r="H366" s="18">
        <v>20.0</v>
      </c>
      <c r="I366" s="19">
        <v>0.488</v>
      </c>
      <c r="J366" s="18">
        <v>196.0</v>
      </c>
      <c r="K366" s="18">
        <v>4.8</v>
      </c>
      <c r="L366" s="18">
        <v>2.0</v>
      </c>
      <c r="M366" s="18">
        <v>2.0</v>
      </c>
      <c r="N366" s="18">
        <v>0.0</v>
      </c>
      <c r="O366" s="18">
        <v>4.0</v>
      </c>
      <c r="P366" s="20">
        <f t="shared" si="1"/>
        <v>0.5941672195</v>
      </c>
      <c r="Q366" s="20">
        <f t="shared" si="2"/>
        <v>0.6807939668</v>
      </c>
      <c r="R366" s="24"/>
      <c r="S366" s="20">
        <v>0.5941672195121951</v>
      </c>
      <c r="T366" s="22">
        <v>2.3</v>
      </c>
      <c r="W366" s="25">
        <v>0.95</v>
      </c>
      <c r="X366" s="22">
        <f t="shared" si="17"/>
        <v>0.4252125746</v>
      </c>
      <c r="Y366" s="20">
        <f t="shared" si="4"/>
        <v>41.95816994</v>
      </c>
      <c r="Z366" s="20">
        <f t="shared" si="6"/>
        <v>41.27737597</v>
      </c>
      <c r="AA366" s="20"/>
      <c r="AB366" s="20">
        <f>IFERROR(__xludf.DUMMYFUNCTION("iferror(PERCENTRANK.INC(FILTER($X$2:$X$423, $U$2:$U$423&lt;3.75), $X366), 1)"),0.608)</f>
        <v>0.608</v>
      </c>
      <c r="AC366" s="20">
        <f>IFERROR(__xludf.DUMMYFUNCTION("iferror(PERCENTRANK.INC(FILTER($X$2:$X$423, $U$2:$U$423&lt;4.25), $X366), 1)"),0.59)</f>
        <v>0.59</v>
      </c>
      <c r="AD366" s="20">
        <f>IFERROR(__xludf.DUMMYFUNCTION("iferror(PERCENTRANK.INC(FILTER($X$2:$X$423, $U$2:$U$423&gt;=4.1), $X366), 0.01)"),0.047)</f>
        <v>0.047</v>
      </c>
      <c r="AE366" s="20"/>
    </row>
    <row r="367" ht="14.25" customHeight="1">
      <c r="A367" s="17" t="s">
        <v>735</v>
      </c>
      <c r="B367" s="17" t="s">
        <v>129</v>
      </c>
      <c r="C367" s="18">
        <v>6.0</v>
      </c>
      <c r="D367" s="17" t="s">
        <v>98</v>
      </c>
      <c r="E367" s="17" t="s">
        <v>124</v>
      </c>
      <c r="F367" s="18">
        <v>53.0</v>
      </c>
      <c r="G367" s="18">
        <v>40.0</v>
      </c>
      <c r="H367" s="18">
        <v>23.0</v>
      </c>
      <c r="I367" s="19">
        <v>0.575</v>
      </c>
      <c r="J367" s="18">
        <v>223.0</v>
      </c>
      <c r="K367" s="18">
        <v>5.6</v>
      </c>
      <c r="L367" s="18">
        <v>0.0</v>
      </c>
      <c r="M367" s="18">
        <v>1.0</v>
      </c>
      <c r="N367" s="18">
        <v>6.0</v>
      </c>
      <c r="O367" s="18">
        <v>3.0</v>
      </c>
      <c r="P367" s="20">
        <f t="shared" si="1"/>
        <v>0.5932174528</v>
      </c>
      <c r="Q367" s="20">
        <f t="shared" si="2"/>
        <v>0.6803435875</v>
      </c>
      <c r="R367" s="24"/>
      <c r="S367" s="20">
        <v>0.5932174528301887</v>
      </c>
      <c r="T367" s="22">
        <v>-5.69</v>
      </c>
      <c r="W367" s="25">
        <v>0.9</v>
      </c>
      <c r="X367" s="22">
        <f t="shared" si="17"/>
        <v>-0.7645173821</v>
      </c>
      <c r="Y367" s="20">
        <f t="shared" si="4"/>
        <v>27.2470839</v>
      </c>
      <c r="Z367" s="20">
        <f t="shared" si="6"/>
        <v>26.56674032</v>
      </c>
      <c r="AA367" s="20"/>
      <c r="AB367" s="20">
        <f>IFERROR(__xludf.DUMMYFUNCTION("iferror(PERCENTRANK.INC(FILTER($X$2:$X$423, $U$2:$U$423&lt;3.75), $X367), 1)"),0.041)</f>
        <v>0.041</v>
      </c>
      <c r="AC367" s="20">
        <f>IFERROR(__xludf.DUMMYFUNCTION("iferror(PERCENTRANK.INC(FILTER($X$2:$X$423, $U$2:$U$423&lt;4.25), $X367), 1)"),0.04)</f>
        <v>0.04</v>
      </c>
      <c r="AD367" s="20">
        <f>IFERROR(__xludf.DUMMYFUNCTION("iferror(PERCENTRANK.INC(FILTER($X$2:$X$423, $U$2:$U$423&gt;=4.1), $X367), 0.01)"),0.01)</f>
        <v>0.01</v>
      </c>
      <c r="AE367" s="20"/>
    </row>
    <row r="368" ht="14.25" customHeight="1">
      <c r="A368" s="17" t="s">
        <v>736</v>
      </c>
      <c r="B368" s="17" t="s">
        <v>674</v>
      </c>
      <c r="C368" s="18">
        <v>10.0</v>
      </c>
      <c r="D368" s="17" t="s">
        <v>98</v>
      </c>
      <c r="E368" s="17" t="s">
        <v>114</v>
      </c>
      <c r="F368" s="18">
        <v>265.0</v>
      </c>
      <c r="G368" s="18">
        <v>221.0</v>
      </c>
      <c r="H368" s="18">
        <v>116.0</v>
      </c>
      <c r="I368" s="19">
        <v>0.525</v>
      </c>
      <c r="J368" s="18">
        <v>1160.0</v>
      </c>
      <c r="K368" s="18">
        <v>5.3</v>
      </c>
      <c r="L368" s="18">
        <v>7.0</v>
      </c>
      <c r="M368" s="18">
        <v>9.0</v>
      </c>
      <c r="N368" s="18">
        <v>22.0</v>
      </c>
      <c r="O368" s="18">
        <v>15.0</v>
      </c>
      <c r="P368" s="20">
        <f t="shared" si="1"/>
        <v>0.5763574895</v>
      </c>
      <c r="Q368" s="20">
        <f t="shared" si="2"/>
        <v>0.6723485936</v>
      </c>
      <c r="R368" s="24"/>
      <c r="S368" s="20">
        <v>0.5763574895415351</v>
      </c>
      <c r="T368" s="22">
        <v>-0.85</v>
      </c>
      <c r="W368" s="25">
        <v>0.9</v>
      </c>
      <c r="X368" s="22">
        <f t="shared" si="17"/>
        <v>-0.04969173891</v>
      </c>
      <c r="Y368" s="20">
        <f t="shared" si="4"/>
        <v>36.08594811</v>
      </c>
      <c r="Z368" s="20">
        <f t="shared" si="6"/>
        <v>35.41359952</v>
      </c>
      <c r="AA368" s="20"/>
      <c r="AB368" s="20">
        <f>IFERROR(__xludf.DUMMYFUNCTION("iferror(PERCENTRANK.INC(FILTER($X$2:$X$423, $U$2:$U$423&lt;3.75), $X368), 1)"),0.219)</f>
        <v>0.219</v>
      </c>
      <c r="AC368" s="20">
        <f>IFERROR(__xludf.DUMMYFUNCTION("iferror(PERCENTRANK.INC(FILTER($X$2:$X$423, $U$2:$U$423&lt;4.25), $X368), 1)"),0.213)</f>
        <v>0.213</v>
      </c>
      <c r="AD368" s="20">
        <f>IFERROR(__xludf.DUMMYFUNCTION("iferror(PERCENTRANK.INC(FILTER($X$2:$X$423, $U$2:$U$423&gt;=4.1), $X368), 0.01)"),0.01)</f>
        <v>0.01</v>
      </c>
      <c r="AE368" s="20"/>
    </row>
    <row r="369" ht="14.25" customHeight="1">
      <c r="A369" s="17" t="s">
        <v>737</v>
      </c>
      <c r="B369" s="17" t="s">
        <v>410</v>
      </c>
      <c r="C369" s="18">
        <v>9.0</v>
      </c>
      <c r="D369" s="17" t="s">
        <v>98</v>
      </c>
      <c r="E369" s="17" t="s">
        <v>147</v>
      </c>
      <c r="F369" s="18">
        <v>54.0</v>
      </c>
      <c r="G369" s="18">
        <v>54.0</v>
      </c>
      <c r="H369" s="18">
        <v>29.0</v>
      </c>
      <c r="I369" s="19">
        <v>0.537</v>
      </c>
      <c r="J369" s="18">
        <v>228.0</v>
      </c>
      <c r="K369" s="18">
        <v>4.2</v>
      </c>
      <c r="L369" s="18">
        <v>2.0</v>
      </c>
      <c r="M369" s="18">
        <v>2.0</v>
      </c>
      <c r="N369" s="18">
        <v>0.0</v>
      </c>
      <c r="O369" s="18">
        <v>3.0</v>
      </c>
      <c r="P369" s="20">
        <f t="shared" si="1"/>
        <v>0.5697145556</v>
      </c>
      <c r="Q369" s="20">
        <f t="shared" si="2"/>
        <v>0.6691985145</v>
      </c>
      <c r="R369" s="24"/>
      <c r="S369" s="20">
        <v>0.5697145555555556</v>
      </c>
      <c r="T369" s="22">
        <v>-3.52</v>
      </c>
      <c r="U369" s="30"/>
      <c r="V369" s="30"/>
      <c r="W369" s="18">
        <v>0.95</v>
      </c>
      <c r="X369" s="22">
        <f t="shared" si="17"/>
        <v>-0.451088535</v>
      </c>
      <c r="Y369" s="20">
        <f t="shared" si="4"/>
        <v>31.12265139</v>
      </c>
      <c r="Z369" s="20">
        <f t="shared" si="6"/>
        <v>30.45345287</v>
      </c>
      <c r="AA369" s="20"/>
      <c r="AB369" s="20">
        <f>IFERROR(__xludf.DUMMYFUNCTION("iferror(PERCENTRANK.INC(FILTER($X$2:$X$423, $U$2:$U$423&lt;3.75), $X369), 1)"),0.057)</f>
        <v>0.057</v>
      </c>
      <c r="AC369" s="20">
        <f>IFERROR(__xludf.DUMMYFUNCTION("iferror(PERCENTRANK.INC(FILTER($X$2:$X$423, $U$2:$U$423&lt;4.25), $X369), 1)"),0.055)</f>
        <v>0.055</v>
      </c>
      <c r="AD369" s="20">
        <f>IFERROR(__xludf.DUMMYFUNCTION("iferror(PERCENTRANK.INC(FILTER($X$2:$X$423, $U$2:$U$423&gt;=4.1), $X369), 0.01)"),0.01)</f>
        <v>0.01</v>
      </c>
      <c r="AE369" s="20"/>
    </row>
    <row r="370" ht="14.25" customHeight="1">
      <c r="A370" s="17" t="s">
        <v>738</v>
      </c>
      <c r="B370" s="17" t="s">
        <v>544</v>
      </c>
      <c r="C370" s="18">
        <v>1.0</v>
      </c>
      <c r="D370" s="17" t="s">
        <v>98</v>
      </c>
      <c r="E370" s="17" t="s">
        <v>158</v>
      </c>
      <c r="F370" s="18">
        <v>63.0</v>
      </c>
      <c r="G370" s="18">
        <v>55.0</v>
      </c>
      <c r="H370" s="18">
        <v>35.0</v>
      </c>
      <c r="I370" s="19">
        <v>0.636</v>
      </c>
      <c r="J370" s="18">
        <v>302.0</v>
      </c>
      <c r="K370" s="18">
        <v>5.5</v>
      </c>
      <c r="L370" s="18">
        <v>2.0</v>
      </c>
      <c r="M370" s="18">
        <v>3.0</v>
      </c>
      <c r="N370" s="18">
        <v>3.0</v>
      </c>
      <c r="O370" s="18">
        <v>5.0</v>
      </c>
      <c r="P370" s="20">
        <f t="shared" si="1"/>
        <v>0.5357056797</v>
      </c>
      <c r="Q370" s="20">
        <f t="shared" si="2"/>
        <v>0.6530715068</v>
      </c>
      <c r="R370" s="24"/>
      <c r="S370" s="20">
        <v>0.5357056796536797</v>
      </c>
      <c r="T370" s="22">
        <v>-2.98</v>
      </c>
      <c r="U370" s="30"/>
      <c r="V370" s="30"/>
      <c r="W370" s="18">
        <v>0.95</v>
      </c>
      <c r="X370" s="22">
        <f t="shared" si="17"/>
        <v>-0.3746797332</v>
      </c>
      <c r="Y370" s="20">
        <f t="shared" si="4"/>
        <v>32.06745105</v>
      </c>
      <c r="Z370" s="20">
        <f t="shared" si="6"/>
        <v>31.41437954</v>
      </c>
      <c r="AA370" s="20"/>
      <c r="AB370" s="20">
        <f>IFERROR(__xludf.DUMMYFUNCTION("iferror(PERCENTRANK.INC(FILTER($X$2:$X$423, $U$2:$U$423&lt;3.75), $X370), 1)"),0.075)</f>
        <v>0.075</v>
      </c>
      <c r="AC370" s="20">
        <f>IFERROR(__xludf.DUMMYFUNCTION("iferror(PERCENTRANK.INC(FILTER($X$2:$X$423, $U$2:$U$423&lt;4.25), $X370), 1)"),0.073)</f>
        <v>0.073</v>
      </c>
      <c r="AD370" s="20">
        <f>IFERROR(__xludf.DUMMYFUNCTION("iferror(PERCENTRANK.INC(FILTER($X$2:$X$423, $U$2:$U$423&gt;=4.1), $X370), 0.01)"),0.01)</f>
        <v>0.01</v>
      </c>
      <c r="AE370" s="20"/>
    </row>
    <row r="371" ht="14.25" customHeight="1">
      <c r="A371" s="17" t="s">
        <v>739</v>
      </c>
      <c r="B371" s="17" t="s">
        <v>740</v>
      </c>
      <c r="C371" s="18">
        <v>5.0</v>
      </c>
      <c r="D371" s="17" t="s">
        <v>98</v>
      </c>
      <c r="E371" s="17" t="s">
        <v>155</v>
      </c>
      <c r="F371" s="18">
        <v>135.0</v>
      </c>
      <c r="G371" s="18">
        <v>120.0</v>
      </c>
      <c r="H371" s="18">
        <v>61.0</v>
      </c>
      <c r="I371" s="19">
        <v>0.508</v>
      </c>
      <c r="J371" s="18">
        <v>526.0</v>
      </c>
      <c r="K371" s="18">
        <v>4.4</v>
      </c>
      <c r="L371" s="18">
        <v>3.0</v>
      </c>
      <c r="M371" s="18">
        <v>4.0</v>
      </c>
      <c r="N371" s="18">
        <v>4.0</v>
      </c>
      <c r="O371" s="18">
        <v>4.0</v>
      </c>
      <c r="P371" s="20">
        <f t="shared" si="1"/>
        <v>0.5440597037</v>
      </c>
      <c r="Q371" s="20">
        <f t="shared" si="2"/>
        <v>0.6570329847</v>
      </c>
      <c r="R371" s="24"/>
      <c r="S371" s="20">
        <v>0.5440597037037036</v>
      </c>
      <c r="T371" s="22">
        <v>-0.25</v>
      </c>
      <c r="U371" s="30"/>
      <c r="V371" s="30"/>
      <c r="W371" s="18">
        <v>0.9</v>
      </c>
      <c r="X371" s="22">
        <f t="shared" si="17"/>
        <v>0.03594806</v>
      </c>
      <c r="Y371" s="20">
        <f t="shared" si="4"/>
        <v>37.14488964</v>
      </c>
      <c r="Z371" s="20">
        <f t="shared" si="6"/>
        <v>36.48785665</v>
      </c>
      <c r="AA371" s="20"/>
      <c r="AB371" s="20">
        <f>IFERROR(__xludf.DUMMYFUNCTION("iferror(PERCENTRANK.INC(FILTER($X$2:$X$423, $U$2:$U$423&lt;3.75), $X371), 1)"),0.312)</f>
        <v>0.312</v>
      </c>
      <c r="AC371" s="20">
        <f>IFERROR(__xludf.DUMMYFUNCTION("iferror(PERCENTRANK.INC(FILTER($X$2:$X$423, $U$2:$U$423&lt;4.25), $X371), 1)"),0.303)</f>
        <v>0.303</v>
      </c>
      <c r="AD371" s="20">
        <f>IFERROR(__xludf.DUMMYFUNCTION("iferror(PERCENTRANK.INC(FILTER($X$2:$X$423, $U$2:$U$423&gt;=4.1), $X371), 0.01)"),0.041)</f>
        <v>0.041</v>
      </c>
      <c r="AE371" s="20"/>
    </row>
    <row r="372" ht="14.25" customHeight="1">
      <c r="A372" s="17" t="s">
        <v>741</v>
      </c>
      <c r="B372" s="17" t="s">
        <v>382</v>
      </c>
      <c r="C372" s="18">
        <v>9.0</v>
      </c>
      <c r="D372" s="17" t="s">
        <v>98</v>
      </c>
      <c r="E372" s="17" t="s">
        <v>182</v>
      </c>
      <c r="F372" s="18">
        <v>37.0</v>
      </c>
      <c r="G372" s="18">
        <v>31.0</v>
      </c>
      <c r="H372" s="18">
        <v>19.0</v>
      </c>
      <c r="I372" s="19">
        <v>0.613</v>
      </c>
      <c r="J372" s="18">
        <v>148.0</v>
      </c>
      <c r="K372" s="18">
        <v>4.8</v>
      </c>
      <c r="L372" s="18">
        <v>0.0</v>
      </c>
      <c r="M372" s="18">
        <v>1.0</v>
      </c>
      <c r="N372" s="18">
        <v>1.0</v>
      </c>
      <c r="O372" s="18">
        <v>1.0</v>
      </c>
      <c r="P372" s="20">
        <f t="shared" si="1"/>
        <v>0.5418575214</v>
      </c>
      <c r="Q372" s="20">
        <f t="shared" si="2"/>
        <v>0.6559887099</v>
      </c>
      <c r="R372" s="29"/>
      <c r="S372" s="20">
        <v>0.5418575213600699</v>
      </c>
      <c r="T372" s="22">
        <v>-2.49</v>
      </c>
      <c r="U372" s="31"/>
      <c r="V372" s="30"/>
      <c r="W372" s="18">
        <v>1.0</v>
      </c>
      <c r="X372" s="22">
        <f t="shared" si="17"/>
        <v>-0.2962853032</v>
      </c>
      <c r="Y372" s="20">
        <f t="shared" si="4"/>
        <v>33.03680312</v>
      </c>
      <c r="Z372" s="20">
        <f t="shared" si="6"/>
        <v>32.38081441</v>
      </c>
      <c r="AA372" s="20"/>
      <c r="AB372" s="20">
        <f>IFERROR(__xludf.DUMMYFUNCTION("iferror(PERCENTRANK.INC(FILTER($X$2:$X$423, $U$2:$U$423&lt;3.75), $X372), 1)"),0.088)</f>
        <v>0.088</v>
      </c>
      <c r="AC372" s="20">
        <f>IFERROR(__xludf.DUMMYFUNCTION("iferror(PERCENTRANK.INC(FILTER($X$2:$X$423, $U$2:$U$423&lt;4.25), $X372), 1)"),0.085)</f>
        <v>0.085</v>
      </c>
      <c r="AD372" s="20">
        <f>IFERROR(__xludf.DUMMYFUNCTION("iferror(PERCENTRANK.INC(FILTER($X$2:$X$423, $U$2:$U$423&gt;=4.1), $X372), 0.01)"),0.01)</f>
        <v>0.01</v>
      </c>
      <c r="AE372" s="20"/>
    </row>
    <row r="373" ht="14.25" customHeight="1">
      <c r="A373" s="17" t="s">
        <v>742</v>
      </c>
      <c r="B373" s="17" t="s">
        <v>740</v>
      </c>
      <c r="C373" s="18">
        <v>8.0</v>
      </c>
      <c r="D373" s="17" t="s">
        <v>98</v>
      </c>
      <c r="E373" s="17" t="s">
        <v>155</v>
      </c>
      <c r="F373" s="18">
        <v>322.0</v>
      </c>
      <c r="G373" s="18">
        <v>297.0</v>
      </c>
      <c r="H373" s="18">
        <v>171.0</v>
      </c>
      <c r="I373" s="19">
        <v>0.576</v>
      </c>
      <c r="J373" s="18">
        <v>1801.0</v>
      </c>
      <c r="K373" s="18">
        <v>6.1</v>
      </c>
      <c r="L373" s="18">
        <v>6.0</v>
      </c>
      <c r="M373" s="18">
        <v>12.0</v>
      </c>
      <c r="N373" s="18">
        <v>12.0</v>
      </c>
      <c r="O373" s="18">
        <v>18.0</v>
      </c>
      <c r="P373" s="20">
        <f t="shared" si="1"/>
        <v>0.5330800708</v>
      </c>
      <c r="Q373" s="20">
        <f t="shared" si="2"/>
        <v>0.6518264432</v>
      </c>
      <c r="R373" s="24"/>
      <c r="S373" s="20">
        <v>0.5330800707698098</v>
      </c>
      <c r="T373" s="22">
        <v>-1.23</v>
      </c>
      <c r="W373" s="25">
        <v>0.9</v>
      </c>
      <c r="X373" s="22">
        <f t="shared" si="17"/>
        <v>-0.1085360899</v>
      </c>
      <c r="Y373" s="20">
        <f t="shared" si="4"/>
        <v>35.358334</v>
      </c>
      <c r="Z373" s="20">
        <f t="shared" si="6"/>
        <v>34.70650756</v>
      </c>
      <c r="AA373" s="20"/>
      <c r="AB373" s="20">
        <f>IFERROR(__xludf.DUMMYFUNCTION("iferror(PERCENTRANK.INC(FILTER($X$2:$X$423, $U$2:$U$423&lt;3.75), $X373), 1)"),0.173)</f>
        <v>0.173</v>
      </c>
      <c r="AC373" s="20">
        <f>IFERROR(__xludf.DUMMYFUNCTION("iferror(PERCENTRANK.INC(FILTER($X$2:$X$423, $U$2:$U$423&lt;4.25), $X373), 1)"),0.168)</f>
        <v>0.168</v>
      </c>
      <c r="AD373" s="20">
        <f>IFERROR(__xludf.DUMMYFUNCTION("iferror(PERCENTRANK.INC(FILTER($X$2:$X$423, $U$2:$U$423&gt;=4.1), $X373), 0.01)"),0.01)</f>
        <v>0.01</v>
      </c>
      <c r="AE373" s="20"/>
    </row>
    <row r="374" ht="14.25" customHeight="1">
      <c r="A374" s="17" t="s">
        <v>743</v>
      </c>
      <c r="B374" s="17" t="s">
        <v>626</v>
      </c>
      <c r="C374" s="18">
        <v>4.0</v>
      </c>
      <c r="D374" s="17" t="s">
        <v>98</v>
      </c>
      <c r="E374" s="17" t="s">
        <v>172</v>
      </c>
      <c r="F374" s="18">
        <v>317.0</v>
      </c>
      <c r="G374" s="18">
        <v>299.0</v>
      </c>
      <c r="H374" s="18">
        <v>170.0</v>
      </c>
      <c r="I374" s="19">
        <v>0.569</v>
      </c>
      <c r="J374" s="18">
        <v>1827.0</v>
      </c>
      <c r="K374" s="18">
        <v>6.1</v>
      </c>
      <c r="L374" s="18">
        <v>9.0</v>
      </c>
      <c r="M374" s="18">
        <v>14.0</v>
      </c>
      <c r="N374" s="18">
        <v>9.0</v>
      </c>
      <c r="O374" s="18">
        <v>17.0</v>
      </c>
      <c r="P374" s="20">
        <f t="shared" si="1"/>
        <v>0.525706883</v>
      </c>
      <c r="Q374" s="20">
        <f t="shared" si="2"/>
        <v>0.6483300778</v>
      </c>
      <c r="R374" s="24"/>
      <c r="S374" s="20">
        <v>0.5257068829747952</v>
      </c>
      <c r="T374" s="22">
        <v>-1.88</v>
      </c>
      <c r="W374" s="25">
        <v>0.9</v>
      </c>
      <c r="X374" s="22">
        <f t="shared" si="17"/>
        <v>-0.2110295708</v>
      </c>
      <c r="Y374" s="20">
        <f t="shared" si="4"/>
        <v>34.09099564</v>
      </c>
      <c r="Z374" s="20">
        <f t="shared" si="6"/>
        <v>33.44266556</v>
      </c>
      <c r="AA374" s="20"/>
      <c r="AB374" s="20">
        <f>IFERROR(__xludf.DUMMYFUNCTION("iferror(PERCENTRANK.INC(FILTER($X$2:$X$423, $U$2:$U$423&lt;3.75), $X374), 1)"),0.108)</f>
        <v>0.108</v>
      </c>
      <c r="AC374" s="20">
        <f>IFERROR(__xludf.DUMMYFUNCTION("iferror(PERCENTRANK.INC(FILTER($X$2:$X$423, $U$2:$U$423&lt;4.25), $X374), 1)"),0.105)</f>
        <v>0.105</v>
      </c>
      <c r="AD374" s="20">
        <f>IFERROR(__xludf.DUMMYFUNCTION("iferror(PERCENTRANK.INC(FILTER($X$2:$X$423, $U$2:$U$423&gt;=4.1), $X374), 0.01)"),0.01)</f>
        <v>0.01</v>
      </c>
      <c r="AE374" s="20"/>
    </row>
    <row r="375" ht="14.25" customHeight="1">
      <c r="A375" s="17" t="s">
        <v>744</v>
      </c>
      <c r="B375" s="17" t="s">
        <v>703</v>
      </c>
      <c r="C375" s="18">
        <v>16.0</v>
      </c>
      <c r="D375" s="17" t="s">
        <v>98</v>
      </c>
      <c r="E375" s="17" t="s">
        <v>179</v>
      </c>
      <c r="F375" s="18">
        <v>225.0</v>
      </c>
      <c r="G375" s="18">
        <v>180.0</v>
      </c>
      <c r="H375" s="18">
        <v>104.0</v>
      </c>
      <c r="I375" s="19">
        <v>0.578</v>
      </c>
      <c r="J375" s="18">
        <v>1134.0</v>
      </c>
      <c r="K375" s="18">
        <v>6.3</v>
      </c>
      <c r="L375" s="18">
        <v>4.0</v>
      </c>
      <c r="M375" s="18">
        <v>8.0</v>
      </c>
      <c r="N375" s="18">
        <v>30.0</v>
      </c>
      <c r="O375" s="18">
        <v>9.0</v>
      </c>
      <c r="P375" s="20">
        <f t="shared" si="1"/>
        <v>0.4999126667</v>
      </c>
      <c r="Q375" s="20">
        <f t="shared" si="2"/>
        <v>0.6360984614</v>
      </c>
      <c r="R375" s="24"/>
      <c r="S375" s="20">
        <v>0.49991266666666667</v>
      </c>
      <c r="T375" s="22">
        <v>4.95</v>
      </c>
      <c r="U375" s="30"/>
      <c r="V375" s="30"/>
      <c r="W375" s="18">
        <v>0.9</v>
      </c>
      <c r="X375" s="22">
        <f t="shared" si="17"/>
        <v>0.80998821</v>
      </c>
      <c r="Y375" s="20">
        <f t="shared" si="4"/>
        <v>46.71594496</v>
      </c>
      <c r="Z375" s="20">
        <f t="shared" si="6"/>
        <v>46.0798465</v>
      </c>
      <c r="AA375" s="20"/>
      <c r="AB375" s="20">
        <f>IFERROR(__xludf.DUMMYFUNCTION("iferror(PERCENTRANK.INC(FILTER($X$2:$X$423, $U$2:$U$423&lt;3.75), $X375), 1)"),0.832)</f>
        <v>0.832</v>
      </c>
      <c r="AC375" s="20">
        <f>IFERROR(__xludf.DUMMYFUNCTION("iferror(PERCENTRANK.INC(FILTER($X$2:$X$423, $U$2:$U$423&lt;4.25), $X375), 1)"),0.808)</f>
        <v>0.808</v>
      </c>
      <c r="AD375" s="20">
        <f>IFERROR(__xludf.DUMMYFUNCTION("iferror(PERCENTRANK.INC(FILTER($X$2:$X$423, $U$2:$U$423&gt;=4.1), $X375), 0.01)"),0.053)</f>
        <v>0.053</v>
      </c>
      <c r="AE375" s="20"/>
    </row>
    <row r="376" ht="14.25" customHeight="1">
      <c r="A376" s="17" t="s">
        <v>745</v>
      </c>
      <c r="B376" s="17" t="s">
        <v>357</v>
      </c>
      <c r="C376" s="18">
        <v>11.0</v>
      </c>
      <c r="D376" s="17" t="s">
        <v>98</v>
      </c>
      <c r="E376" s="17" t="s">
        <v>121</v>
      </c>
      <c r="F376" s="18">
        <v>69.0</v>
      </c>
      <c r="G376" s="18">
        <v>56.0</v>
      </c>
      <c r="H376" s="18">
        <v>27.0</v>
      </c>
      <c r="I376" s="19">
        <v>0.482</v>
      </c>
      <c r="J376" s="18">
        <v>211.0</v>
      </c>
      <c r="K376" s="18">
        <v>3.8</v>
      </c>
      <c r="L376" s="18">
        <v>1.0</v>
      </c>
      <c r="M376" s="18">
        <v>1.0</v>
      </c>
      <c r="N376" s="18">
        <v>7.0</v>
      </c>
      <c r="O376" s="18">
        <v>2.0</v>
      </c>
      <c r="P376" s="20">
        <f t="shared" si="1"/>
        <v>0.4941532961</v>
      </c>
      <c r="Q376" s="20">
        <f t="shared" si="2"/>
        <v>0.6333673681</v>
      </c>
      <c r="R376" s="24"/>
      <c r="S376" s="20">
        <v>0.49415329606625247</v>
      </c>
      <c r="T376" s="22">
        <v>-6.66</v>
      </c>
      <c r="W376" s="25">
        <v>0.9</v>
      </c>
      <c r="X376" s="22">
        <f t="shared" si="17"/>
        <v>-0.932289305</v>
      </c>
      <c r="Y376" s="20">
        <f t="shared" si="4"/>
        <v>25.17257348</v>
      </c>
      <c r="Z376" s="20">
        <f t="shared" si="6"/>
        <v>24.53920611</v>
      </c>
      <c r="AA376" s="20"/>
      <c r="AB376" s="20">
        <f>IFERROR(__xludf.DUMMYFUNCTION("iferror(PERCENTRANK.INC(FILTER($X$2:$X$423, $U$2:$U$423&lt;3.75), $X376), 1)"),0.021)</f>
        <v>0.021</v>
      </c>
      <c r="AC376" s="20">
        <f>IFERROR(__xludf.DUMMYFUNCTION("iferror(PERCENTRANK.INC(FILTER($X$2:$X$423, $U$2:$U$423&lt;4.25), $X376), 1)"),0.02)</f>
        <v>0.02</v>
      </c>
      <c r="AD376" s="20">
        <f>IFERROR(__xludf.DUMMYFUNCTION("iferror(PERCENTRANK.INC(FILTER($X$2:$X$423, $U$2:$U$423&gt;=4.1), $X376), 0.01)"),0.01)</f>
        <v>0.01</v>
      </c>
      <c r="AE376" s="20"/>
    </row>
    <row r="377" ht="14.25" customHeight="1">
      <c r="A377" s="17" t="s">
        <v>746</v>
      </c>
      <c r="B377" s="17" t="s">
        <v>747</v>
      </c>
      <c r="C377" s="18">
        <v>15.0</v>
      </c>
      <c r="D377" s="17" t="s">
        <v>98</v>
      </c>
      <c r="E377" s="17" t="s">
        <v>147</v>
      </c>
      <c r="F377" s="18">
        <v>35.0</v>
      </c>
      <c r="G377" s="18">
        <v>25.0</v>
      </c>
      <c r="H377" s="18">
        <v>14.0</v>
      </c>
      <c r="I377" s="19">
        <v>0.56</v>
      </c>
      <c r="J377" s="18">
        <v>75.0</v>
      </c>
      <c r="K377" s="18">
        <v>3.0</v>
      </c>
      <c r="L377" s="18">
        <v>1.0</v>
      </c>
      <c r="M377" s="18">
        <v>0.0</v>
      </c>
      <c r="N377" s="18">
        <v>4.0</v>
      </c>
      <c r="O377" s="18">
        <v>0.0</v>
      </c>
      <c r="P377" s="20">
        <f t="shared" si="1"/>
        <v>0.4896342857</v>
      </c>
      <c r="Q377" s="20">
        <f t="shared" si="2"/>
        <v>0.6312244536</v>
      </c>
      <c r="R377" s="29"/>
      <c r="S377" s="20">
        <v>0.48963428571428574</v>
      </c>
      <c r="T377" s="22">
        <v>-3.36</v>
      </c>
      <c r="U377" s="31"/>
      <c r="V377" s="30"/>
      <c r="W377" s="18">
        <v>0.95</v>
      </c>
      <c r="X377" s="22">
        <f t="shared" si="17"/>
        <v>-0.4378993714</v>
      </c>
      <c r="Y377" s="20">
        <f t="shared" si="4"/>
        <v>31.28573623</v>
      </c>
      <c r="Z377" s="20">
        <f t="shared" si="6"/>
        <v>30.65451177</v>
      </c>
      <c r="AA377" s="20"/>
      <c r="AB377" s="20">
        <f>IFERROR(__xludf.DUMMYFUNCTION("iferror(PERCENTRANK.INC(FILTER($X$2:$X$423, $U$2:$U$423&lt;3.75), $X377), 1)"),0.059)</f>
        <v>0.059</v>
      </c>
      <c r="AC377" s="20">
        <f>IFERROR(__xludf.DUMMYFUNCTION("iferror(PERCENTRANK.INC(FILTER($X$2:$X$423, $U$2:$U$423&lt;4.25), $X377), 1)"),0.058)</f>
        <v>0.058</v>
      </c>
      <c r="AD377" s="20">
        <f>IFERROR(__xludf.DUMMYFUNCTION("iferror(PERCENTRANK.INC(FILTER($X$2:$X$423, $U$2:$U$423&gt;=4.1), $X377), 0.01)"),0.01)</f>
        <v>0.01</v>
      </c>
      <c r="AE377" s="20"/>
    </row>
    <row r="378" ht="14.25" customHeight="1">
      <c r="A378" s="17" t="s">
        <v>748</v>
      </c>
      <c r="B378" s="17" t="s">
        <v>184</v>
      </c>
      <c r="C378" s="18">
        <v>3.0</v>
      </c>
      <c r="D378" s="17" t="s">
        <v>98</v>
      </c>
      <c r="E378" s="17" t="s">
        <v>158</v>
      </c>
      <c r="F378" s="18">
        <v>25.0</v>
      </c>
      <c r="G378" s="18">
        <v>22.0</v>
      </c>
      <c r="H378" s="18">
        <v>15.0</v>
      </c>
      <c r="I378" s="19">
        <v>0.682</v>
      </c>
      <c r="J378" s="18">
        <v>61.0</v>
      </c>
      <c r="K378" s="18">
        <v>2.8</v>
      </c>
      <c r="L378" s="18">
        <v>1.0</v>
      </c>
      <c r="M378" s="18">
        <v>0.0</v>
      </c>
      <c r="N378" s="18">
        <v>1.0</v>
      </c>
      <c r="O378" s="18">
        <v>1.0</v>
      </c>
      <c r="P378" s="20">
        <f t="shared" si="1"/>
        <v>0.4892103636</v>
      </c>
      <c r="Q378" s="20">
        <f t="shared" si="2"/>
        <v>0.6310234297</v>
      </c>
      <c r="R378" s="29"/>
      <c r="S378" s="20">
        <v>0.4892103636363636</v>
      </c>
      <c r="T378" s="22">
        <v>-0.52</v>
      </c>
      <c r="U378" s="31"/>
      <c r="V378" s="30"/>
      <c r="W378" s="18">
        <v>0.95</v>
      </c>
      <c r="X378" s="22">
        <f t="shared" si="17"/>
        <v>-0.008287523182</v>
      </c>
      <c r="Y378" s="20">
        <f t="shared" si="4"/>
        <v>36.59791386</v>
      </c>
      <c r="Z378" s="20">
        <f t="shared" si="6"/>
        <v>35.96689043</v>
      </c>
      <c r="AA378" s="20"/>
      <c r="AB378" s="20">
        <f>IFERROR(__xludf.DUMMYFUNCTION("iferror(PERCENTRANK.INC(FILTER($X$2:$X$423, $U$2:$U$423&lt;3.75), $X378), 1)"),0.25)</f>
        <v>0.25</v>
      </c>
      <c r="AC378" s="20">
        <f>IFERROR(__xludf.DUMMYFUNCTION("iferror(PERCENTRANK.INC(FILTER($X$2:$X$423, $U$2:$U$423&lt;4.25), $X378), 1)"),0.243)</f>
        <v>0.243</v>
      </c>
      <c r="AD378" s="20">
        <f>IFERROR(__xludf.DUMMYFUNCTION("iferror(PERCENTRANK.INC(FILTER($X$2:$X$423, $U$2:$U$423&gt;=4.1), $X378), 0.01)"),0.01)</f>
        <v>0.01</v>
      </c>
      <c r="AE378" s="20"/>
    </row>
    <row r="379" ht="14.25" customHeight="1">
      <c r="A379" s="17" t="s">
        <v>749</v>
      </c>
      <c r="B379" s="17" t="s">
        <v>477</v>
      </c>
      <c r="C379" s="18">
        <v>14.0</v>
      </c>
      <c r="D379" s="17" t="s">
        <v>98</v>
      </c>
      <c r="E379" s="17" t="s">
        <v>179</v>
      </c>
      <c r="F379" s="18">
        <v>90.0</v>
      </c>
      <c r="G379" s="18">
        <v>73.0</v>
      </c>
      <c r="H379" s="18">
        <v>32.0</v>
      </c>
      <c r="I379" s="19">
        <v>0.438</v>
      </c>
      <c r="J379" s="18">
        <v>312.0</v>
      </c>
      <c r="K379" s="18">
        <v>4.3</v>
      </c>
      <c r="L379" s="18">
        <v>1.0</v>
      </c>
      <c r="M379" s="18">
        <v>2.0</v>
      </c>
      <c r="N379" s="18">
        <v>5.0</v>
      </c>
      <c r="O379" s="18">
        <v>4.0</v>
      </c>
      <c r="P379" s="20">
        <f t="shared" si="1"/>
        <v>0.475274828</v>
      </c>
      <c r="Q379" s="20">
        <f t="shared" si="2"/>
        <v>0.6244151993</v>
      </c>
      <c r="R379" s="24"/>
      <c r="S379" s="20">
        <v>0.4752748280060882</v>
      </c>
      <c r="T379" s="22">
        <v>-0.87</v>
      </c>
      <c r="U379" s="30"/>
      <c r="V379" s="30"/>
      <c r="W379" s="18">
        <v>0.9</v>
      </c>
      <c r="X379" s="22">
        <f t="shared" si="17"/>
        <v>-0.06277333701</v>
      </c>
      <c r="Y379" s="20">
        <f t="shared" si="4"/>
        <v>35.92419333</v>
      </c>
      <c r="Z379" s="20">
        <f t="shared" si="6"/>
        <v>35.29977813</v>
      </c>
      <c r="AA379" s="20"/>
      <c r="AB379" s="20">
        <f>IFERROR(__xludf.DUMMYFUNCTION("iferror(PERCENTRANK.INC(FILTER($X$2:$X$423, $U$2:$U$423&lt;3.75), $X379), 1)"),0.206)</f>
        <v>0.206</v>
      </c>
      <c r="AC379" s="20">
        <f>IFERROR(__xludf.DUMMYFUNCTION("iferror(PERCENTRANK.INC(FILTER($X$2:$X$423, $U$2:$U$423&lt;4.25), $X379), 1)"),0.2)</f>
        <v>0.2</v>
      </c>
      <c r="AD379" s="20">
        <f>IFERROR(__xludf.DUMMYFUNCTION("iferror(PERCENTRANK.INC(FILTER($X$2:$X$423, $U$2:$U$423&gt;=4.1), $X379), 0.01)"),0.01)</f>
        <v>0.01</v>
      </c>
      <c r="AE379" s="20"/>
    </row>
    <row r="380" ht="14.25" customHeight="1">
      <c r="A380" s="17" t="s">
        <v>750</v>
      </c>
      <c r="B380" s="17" t="s">
        <v>384</v>
      </c>
      <c r="C380" s="18">
        <v>17.0</v>
      </c>
      <c r="D380" s="17" t="s">
        <v>98</v>
      </c>
      <c r="E380" s="17" t="s">
        <v>124</v>
      </c>
      <c r="F380" s="18">
        <v>106.0</v>
      </c>
      <c r="G380" s="18">
        <v>83.0</v>
      </c>
      <c r="H380" s="18">
        <v>43.0</v>
      </c>
      <c r="I380" s="19">
        <v>0.518</v>
      </c>
      <c r="J380" s="18">
        <v>536.0</v>
      </c>
      <c r="K380" s="18">
        <v>6.5</v>
      </c>
      <c r="L380" s="18">
        <v>2.0</v>
      </c>
      <c r="M380" s="18">
        <v>5.0</v>
      </c>
      <c r="N380" s="18">
        <v>6.0</v>
      </c>
      <c r="O380" s="18">
        <v>6.0</v>
      </c>
      <c r="P380" s="20">
        <f t="shared" si="1"/>
        <v>0.4679909011</v>
      </c>
      <c r="Q380" s="20">
        <f t="shared" si="2"/>
        <v>0.6209611614</v>
      </c>
      <c r="R380" s="24"/>
      <c r="S380" s="20">
        <v>0.46799090111388963</v>
      </c>
      <c r="T380" s="22">
        <v>0.19</v>
      </c>
      <c r="U380" s="30"/>
      <c r="V380" s="30"/>
      <c r="W380" s="18">
        <v>0.9</v>
      </c>
      <c r="X380" s="22">
        <f t="shared" si="17"/>
        <v>0.09167877165</v>
      </c>
      <c r="Y380" s="20">
        <f t="shared" si="4"/>
        <v>37.8340034</v>
      </c>
      <c r="Z380" s="20">
        <f t="shared" si="6"/>
        <v>37.21304224</v>
      </c>
      <c r="AA380" s="20"/>
      <c r="AB380" s="20">
        <f>IFERROR(__xludf.DUMMYFUNCTION("iferror(PERCENTRANK.INC(FILTER($X$2:$X$423, $U$2:$U$423&lt;3.75), $X380), 1)"),0.361)</f>
        <v>0.361</v>
      </c>
      <c r="AC380" s="20">
        <f>IFERROR(__xludf.DUMMYFUNCTION("iferror(PERCENTRANK.INC(FILTER($X$2:$X$423, $U$2:$U$423&lt;4.25), $X380), 1)"),0.35)</f>
        <v>0.35</v>
      </c>
      <c r="AD380" s="20">
        <f>IFERROR(__xludf.DUMMYFUNCTION("iferror(PERCENTRANK.INC(FILTER($X$2:$X$423, $U$2:$U$423&gt;=4.1), $X380), 0.01)"),0.041)</f>
        <v>0.041</v>
      </c>
      <c r="AE380" s="20"/>
    </row>
    <row r="381" ht="14.25" customHeight="1">
      <c r="A381" s="17" t="s">
        <v>751</v>
      </c>
      <c r="B381" s="17" t="s">
        <v>551</v>
      </c>
      <c r="C381" s="18">
        <v>7.0</v>
      </c>
      <c r="D381" s="17" t="s">
        <v>98</v>
      </c>
      <c r="E381" s="17" t="s">
        <v>179</v>
      </c>
      <c r="F381" s="18">
        <v>25.0</v>
      </c>
      <c r="G381" s="18">
        <v>22.0</v>
      </c>
      <c r="H381" s="18">
        <v>10.0</v>
      </c>
      <c r="I381" s="19">
        <v>0.455</v>
      </c>
      <c r="J381" s="18">
        <v>79.0</v>
      </c>
      <c r="K381" s="18">
        <v>3.6</v>
      </c>
      <c r="L381" s="18">
        <v>0.0</v>
      </c>
      <c r="M381" s="18">
        <v>0.0</v>
      </c>
      <c r="N381" s="18">
        <v>3.0</v>
      </c>
      <c r="O381" s="18">
        <v>0.0</v>
      </c>
      <c r="P381" s="20">
        <f t="shared" si="1"/>
        <v>0.450385</v>
      </c>
      <c r="Q381" s="20">
        <f t="shared" si="2"/>
        <v>0.6126124437</v>
      </c>
      <c r="R381" s="29"/>
      <c r="S381" s="20">
        <v>0.450385</v>
      </c>
      <c r="T381" s="22">
        <v>-1.09</v>
      </c>
      <c r="U381" s="31"/>
      <c r="V381" s="30"/>
      <c r="W381" s="18">
        <v>0.9</v>
      </c>
      <c r="X381" s="22">
        <f t="shared" si="17"/>
        <v>-0.102698025</v>
      </c>
      <c r="Y381" s="20">
        <f t="shared" si="4"/>
        <v>35.43052204</v>
      </c>
      <c r="Z381" s="20">
        <f t="shared" si="6"/>
        <v>34.8179096</v>
      </c>
      <c r="AA381" s="20"/>
      <c r="AB381" s="20">
        <f>IFERROR(__xludf.DUMMYFUNCTION("iferror(PERCENTRANK.INC(FILTER($X$2:$X$423, $U$2:$U$423&lt;3.75), $X381), 1)"),0.178)</f>
        <v>0.178</v>
      </c>
      <c r="AC381" s="20">
        <f>IFERROR(__xludf.DUMMYFUNCTION("iferror(PERCENTRANK.INC(FILTER($X$2:$X$423, $U$2:$U$423&lt;4.25), $X381), 1)"),0.173)</f>
        <v>0.173</v>
      </c>
      <c r="AD381" s="20">
        <f>IFERROR(__xludf.DUMMYFUNCTION("iferror(PERCENTRANK.INC(FILTER($X$2:$X$423, $U$2:$U$423&gt;=4.1), $X381), 0.01)"),0.01)</f>
        <v>0.01</v>
      </c>
      <c r="AE381" s="20"/>
    </row>
    <row r="382" ht="14.25" customHeight="1">
      <c r="A382" s="17" t="s">
        <v>752</v>
      </c>
      <c r="B382" s="17" t="s">
        <v>655</v>
      </c>
      <c r="C382" s="18">
        <v>5.0</v>
      </c>
      <c r="D382" s="17" t="s">
        <v>98</v>
      </c>
      <c r="E382" s="17" t="s">
        <v>189</v>
      </c>
      <c r="F382" s="18">
        <v>29.0</v>
      </c>
      <c r="G382" s="18">
        <v>27.0</v>
      </c>
      <c r="H382" s="18">
        <v>15.0</v>
      </c>
      <c r="I382" s="19">
        <v>0.556</v>
      </c>
      <c r="J382" s="18">
        <v>137.0</v>
      </c>
      <c r="K382" s="18">
        <v>5.1</v>
      </c>
      <c r="L382" s="18">
        <v>0.0</v>
      </c>
      <c r="M382" s="18">
        <v>2.0</v>
      </c>
      <c r="N382" s="18">
        <v>0.0</v>
      </c>
      <c r="O382" s="18">
        <v>0.0</v>
      </c>
      <c r="P382" s="20">
        <f t="shared" si="1"/>
        <v>0.427492</v>
      </c>
      <c r="Q382" s="20">
        <f t="shared" si="2"/>
        <v>0.601756584</v>
      </c>
      <c r="R382" s="24"/>
      <c r="S382" s="20">
        <v>0.42749200000000004</v>
      </c>
      <c r="T382" s="22">
        <v>-5.73</v>
      </c>
      <c r="U382" s="30"/>
      <c r="V382" s="30"/>
      <c r="W382" s="18">
        <v>0.9</v>
      </c>
      <c r="X382" s="22">
        <f t="shared" si="17"/>
        <v>-0.80178858</v>
      </c>
      <c r="Y382" s="20">
        <f t="shared" si="4"/>
        <v>26.78622319</v>
      </c>
      <c r="Z382" s="20">
        <f t="shared" si="6"/>
        <v>26.1844666</v>
      </c>
      <c r="AA382" s="20"/>
      <c r="AB382" s="20">
        <f>IFERROR(__xludf.DUMMYFUNCTION("iferror(PERCENTRANK.INC(FILTER($X$2:$X$423, $U$2:$U$423&lt;3.75), $X382), 1)"),0.036)</f>
        <v>0.036</v>
      </c>
      <c r="AC382" s="20">
        <f>IFERROR(__xludf.DUMMYFUNCTION("iferror(PERCENTRANK.INC(FILTER($X$2:$X$423, $U$2:$U$423&lt;4.25), $X382), 1)"),0.035)</f>
        <v>0.035</v>
      </c>
      <c r="AD382" s="20">
        <f>IFERROR(__xludf.DUMMYFUNCTION("iferror(PERCENTRANK.INC(FILTER($X$2:$X$423, $U$2:$U$423&gt;=4.1), $X382), 0.01)"),0.01)</f>
        <v>0.01</v>
      </c>
      <c r="AE382" s="20"/>
    </row>
    <row r="383" ht="14.25" customHeight="1">
      <c r="A383" s="17" t="s">
        <v>753</v>
      </c>
      <c r="B383" s="17" t="s">
        <v>146</v>
      </c>
      <c r="C383" s="18">
        <v>1.0</v>
      </c>
      <c r="D383" s="17" t="s">
        <v>98</v>
      </c>
      <c r="E383" s="17" t="s">
        <v>147</v>
      </c>
      <c r="F383" s="18">
        <v>105.0</v>
      </c>
      <c r="G383" s="18">
        <v>92.0</v>
      </c>
      <c r="H383" s="18">
        <v>53.0</v>
      </c>
      <c r="I383" s="19">
        <v>0.576</v>
      </c>
      <c r="J383" s="18">
        <v>447.0</v>
      </c>
      <c r="K383" s="18">
        <v>4.9</v>
      </c>
      <c r="L383" s="18">
        <v>1.0</v>
      </c>
      <c r="M383" s="18">
        <v>3.0</v>
      </c>
      <c r="N383" s="18">
        <v>7.0</v>
      </c>
      <c r="O383" s="18">
        <v>9.0</v>
      </c>
      <c r="P383" s="20">
        <f t="shared" si="1"/>
        <v>0.4227044638</v>
      </c>
      <c r="Q383" s="20">
        <f t="shared" si="2"/>
        <v>0.5994863345</v>
      </c>
      <c r="R383" s="24"/>
      <c r="S383" s="20">
        <v>0.42270446376811605</v>
      </c>
      <c r="T383" s="22">
        <v>-0.43</v>
      </c>
      <c r="U383" s="30"/>
      <c r="V383" s="30"/>
      <c r="W383" s="18">
        <v>0.95</v>
      </c>
      <c r="X383" s="22">
        <f t="shared" si="17"/>
        <v>-0.007434897391</v>
      </c>
      <c r="Y383" s="20">
        <f t="shared" si="4"/>
        <v>36.60845663</v>
      </c>
      <c r="Z383" s="20">
        <f t="shared" si="6"/>
        <v>36.00897029</v>
      </c>
      <c r="AA383" s="20"/>
      <c r="AB383" s="20">
        <f>IFERROR(__xludf.DUMMYFUNCTION("iferror(PERCENTRANK.INC(FILTER($X$2:$X$423, $U$2:$U$423&lt;3.75), $X383), 1)"),0.253)</f>
        <v>0.253</v>
      </c>
      <c r="AC383" s="20">
        <f>IFERROR(__xludf.DUMMYFUNCTION("iferror(PERCENTRANK.INC(FILTER($X$2:$X$423, $U$2:$U$423&lt;4.25), $X383), 1)"),0.245)</f>
        <v>0.245</v>
      </c>
      <c r="AD383" s="20">
        <f>IFERROR(__xludf.DUMMYFUNCTION("iferror(PERCENTRANK.INC(FILTER($X$2:$X$423, $U$2:$U$423&gt;=4.1), $X383), 0.01)"),0.01)</f>
        <v>0.01</v>
      </c>
      <c r="AE383" s="20"/>
    </row>
    <row r="384" ht="14.25" customHeight="1">
      <c r="A384" s="17" t="s">
        <v>754</v>
      </c>
      <c r="B384" s="17" t="s">
        <v>397</v>
      </c>
      <c r="C384" s="18">
        <v>11.0</v>
      </c>
      <c r="D384" s="17" t="s">
        <v>98</v>
      </c>
      <c r="E384" s="17" t="s">
        <v>117</v>
      </c>
      <c r="F384" s="18">
        <v>41.0</v>
      </c>
      <c r="G384" s="18">
        <v>33.0</v>
      </c>
      <c r="H384" s="18">
        <v>13.0</v>
      </c>
      <c r="I384" s="19">
        <v>0.394</v>
      </c>
      <c r="J384" s="18">
        <v>111.0</v>
      </c>
      <c r="K384" s="18">
        <v>3.4</v>
      </c>
      <c r="L384" s="18">
        <v>0.0</v>
      </c>
      <c r="M384" s="18">
        <v>0.0</v>
      </c>
      <c r="N384" s="18">
        <v>4.0</v>
      </c>
      <c r="O384" s="18">
        <v>2.0</v>
      </c>
      <c r="P384" s="20">
        <f t="shared" si="1"/>
        <v>0.4215121759</v>
      </c>
      <c r="Q384" s="20">
        <f t="shared" si="2"/>
        <v>0.5989209516</v>
      </c>
      <c r="R384" s="24"/>
      <c r="S384" s="20">
        <v>0.42151217590539536</v>
      </c>
      <c r="T384" s="22">
        <v>-6.69</v>
      </c>
      <c r="W384" s="25">
        <v>0.95</v>
      </c>
      <c r="X384" s="22">
        <f t="shared" si="17"/>
        <v>-0.9465958563</v>
      </c>
      <c r="Y384" s="20">
        <f t="shared" si="4"/>
        <v>24.99567207</v>
      </c>
      <c r="Z384" s="20">
        <f t="shared" si="6"/>
        <v>24.39675112</v>
      </c>
      <c r="AA384" s="20"/>
      <c r="AB384" s="20">
        <f>IFERROR(__xludf.DUMMYFUNCTION("iferror(PERCENTRANK.INC(FILTER($X$2:$X$423, $U$2:$U$423&lt;3.75), $X384), 1)"),0.018)</f>
        <v>0.018</v>
      </c>
      <c r="AC384" s="20">
        <f>IFERROR(__xludf.DUMMYFUNCTION("iferror(PERCENTRANK.INC(FILTER($X$2:$X$423, $U$2:$U$423&lt;4.25), $X384), 1)"),0.018)</f>
        <v>0.018</v>
      </c>
      <c r="AD384" s="20">
        <f>IFERROR(__xludf.DUMMYFUNCTION("iferror(PERCENTRANK.INC(FILTER($X$2:$X$423, $U$2:$U$423&gt;=4.1), $X384), 0.01)"),0.01)</f>
        <v>0.01</v>
      </c>
      <c r="AE384" s="20"/>
    </row>
    <row r="385" ht="14.25" customHeight="1">
      <c r="A385" s="17" t="s">
        <v>755</v>
      </c>
      <c r="B385" s="17" t="s">
        <v>123</v>
      </c>
      <c r="C385" s="18">
        <v>3.0</v>
      </c>
      <c r="D385" s="17" t="s">
        <v>98</v>
      </c>
      <c r="E385" s="17" t="s">
        <v>124</v>
      </c>
      <c r="F385" s="18">
        <v>56.0</v>
      </c>
      <c r="G385" s="18">
        <v>46.0</v>
      </c>
      <c r="H385" s="18">
        <v>23.0</v>
      </c>
      <c r="I385" s="19">
        <v>0.5</v>
      </c>
      <c r="J385" s="18">
        <v>237.0</v>
      </c>
      <c r="K385" s="18">
        <v>5.2</v>
      </c>
      <c r="L385" s="18">
        <v>3.0</v>
      </c>
      <c r="M385" s="18">
        <v>4.0</v>
      </c>
      <c r="N385" s="18">
        <v>1.0</v>
      </c>
      <c r="O385" s="18">
        <v>3.0</v>
      </c>
      <c r="P385" s="20">
        <f t="shared" si="1"/>
        <v>0.4110689441</v>
      </c>
      <c r="Q385" s="20">
        <f t="shared" si="2"/>
        <v>0.5939687715</v>
      </c>
      <c r="R385" s="24"/>
      <c r="S385" s="20">
        <v>0.4110689440993787</v>
      </c>
      <c r="T385" s="22">
        <v>0.17</v>
      </c>
      <c r="U385" s="30"/>
      <c r="V385" s="30"/>
      <c r="W385" s="18">
        <v>0.9</v>
      </c>
      <c r="X385" s="22">
        <f t="shared" si="17"/>
        <v>0.08099430745</v>
      </c>
      <c r="Y385" s="20">
        <f t="shared" si="4"/>
        <v>37.70188933</v>
      </c>
      <c r="Z385" s="20">
        <f t="shared" si="6"/>
        <v>37.10792056</v>
      </c>
      <c r="AA385" s="20"/>
      <c r="AB385" s="20">
        <f>IFERROR(__xludf.DUMMYFUNCTION("iferror(PERCENTRANK.INC(FILTER($X$2:$X$423, $U$2:$U$423&lt;3.75), $X385), 1)"),0.348)</f>
        <v>0.348</v>
      </c>
      <c r="AC385" s="20">
        <f>IFERROR(__xludf.DUMMYFUNCTION("iferror(PERCENTRANK.INC(FILTER($X$2:$X$423, $U$2:$U$423&lt;4.25), $X385), 1)"),0.338)</f>
        <v>0.338</v>
      </c>
      <c r="AD385" s="20">
        <f>IFERROR(__xludf.DUMMYFUNCTION("iferror(PERCENTRANK.INC(FILTER($X$2:$X$423, $U$2:$U$423&gt;=4.1), $X385), 0.01)"),0.041)</f>
        <v>0.041</v>
      </c>
      <c r="AE385" s="20"/>
    </row>
    <row r="386" ht="14.25" customHeight="1">
      <c r="A386" s="17" t="s">
        <v>756</v>
      </c>
      <c r="B386" s="17" t="s">
        <v>757</v>
      </c>
      <c r="C386" s="18">
        <v>10.0</v>
      </c>
      <c r="D386" s="17" t="s">
        <v>98</v>
      </c>
      <c r="E386" s="17" t="s">
        <v>189</v>
      </c>
      <c r="F386" s="18">
        <v>182.0</v>
      </c>
      <c r="G386" s="18">
        <v>157.0</v>
      </c>
      <c r="H386" s="18">
        <v>99.0</v>
      </c>
      <c r="I386" s="19">
        <v>0.631</v>
      </c>
      <c r="J386" s="18">
        <v>831.0</v>
      </c>
      <c r="K386" s="18">
        <v>5.3</v>
      </c>
      <c r="L386" s="18">
        <v>4.0</v>
      </c>
      <c r="M386" s="18">
        <v>7.0</v>
      </c>
      <c r="N386" s="18">
        <v>10.0</v>
      </c>
      <c r="O386" s="18">
        <v>6.0</v>
      </c>
      <c r="P386" s="20">
        <f t="shared" si="1"/>
        <v>0.4056986966</v>
      </c>
      <c r="Q386" s="20">
        <f t="shared" si="2"/>
        <v>0.5914222004</v>
      </c>
      <c r="R386" s="24"/>
      <c r="S386" s="20">
        <v>0.4056986966473018</v>
      </c>
      <c r="T386" s="22">
        <v>0.81</v>
      </c>
      <c r="U386" s="30"/>
      <c r="V386" s="30"/>
      <c r="W386" s="18">
        <v>0.9</v>
      </c>
      <c r="X386" s="22">
        <f t="shared" si="17"/>
        <v>0.176269324</v>
      </c>
      <c r="Y386" s="20">
        <f t="shared" si="4"/>
        <v>38.87997093</v>
      </c>
      <c r="Z386" s="20">
        <f t="shared" si="6"/>
        <v>38.28854873</v>
      </c>
      <c r="AA386" s="20"/>
      <c r="AB386" s="20">
        <f>IFERROR(__xludf.DUMMYFUNCTION("iferror(PERCENTRANK.INC(FILTER($X$2:$X$423, $U$2:$U$423&lt;3.75), $X386), 1)"),0.446)</f>
        <v>0.446</v>
      </c>
      <c r="AC386" s="20">
        <f>IFERROR(__xludf.DUMMYFUNCTION("iferror(PERCENTRANK.INC(FILTER($X$2:$X$423, $U$2:$U$423&lt;4.25), $X386), 1)"),0.433)</f>
        <v>0.433</v>
      </c>
      <c r="AD386" s="20">
        <f>IFERROR(__xludf.DUMMYFUNCTION("iferror(PERCENTRANK.INC(FILTER($X$2:$X$423, $U$2:$U$423&gt;=4.1), $X386), 0.01)"),0.043)</f>
        <v>0.043</v>
      </c>
      <c r="AE386" s="20"/>
    </row>
    <row r="387" ht="14.25" customHeight="1">
      <c r="A387" s="17" t="s">
        <v>758</v>
      </c>
      <c r="B387" s="17" t="s">
        <v>497</v>
      </c>
      <c r="C387" s="18">
        <v>3.0</v>
      </c>
      <c r="D387" s="17" t="s">
        <v>98</v>
      </c>
      <c r="E387" s="17" t="s">
        <v>105</v>
      </c>
      <c r="F387" s="18">
        <v>200.0</v>
      </c>
      <c r="G387" s="18">
        <v>153.0</v>
      </c>
      <c r="H387" s="18">
        <v>82.0</v>
      </c>
      <c r="I387" s="19">
        <v>0.536</v>
      </c>
      <c r="J387" s="18">
        <v>851.0</v>
      </c>
      <c r="K387" s="18">
        <v>5.6</v>
      </c>
      <c r="L387" s="18">
        <v>4.0</v>
      </c>
      <c r="M387" s="18">
        <v>7.0</v>
      </c>
      <c r="N387" s="18">
        <v>25.0</v>
      </c>
      <c r="O387" s="18">
        <v>7.0</v>
      </c>
      <c r="P387" s="20">
        <f t="shared" si="1"/>
        <v>0.3869506928</v>
      </c>
      <c r="Q387" s="20">
        <f t="shared" si="2"/>
        <v>0.5825318977</v>
      </c>
      <c r="R387" s="24"/>
      <c r="S387" s="20">
        <v>0.38695069281045746</v>
      </c>
      <c r="T387" s="22">
        <v>-0.87</v>
      </c>
      <c r="U387" s="30"/>
      <c r="V387" s="30"/>
      <c r="W387" s="18">
        <v>0.9</v>
      </c>
      <c r="X387" s="22">
        <f t="shared" si="17"/>
        <v>-0.07826165647</v>
      </c>
      <c r="Y387" s="20">
        <f t="shared" si="4"/>
        <v>35.73267928</v>
      </c>
      <c r="Z387" s="20">
        <f t="shared" si="6"/>
        <v>35.15014738</v>
      </c>
      <c r="AA387" s="20"/>
      <c r="AB387" s="20">
        <f>IFERROR(__xludf.DUMMYFUNCTION("iferror(PERCENTRANK.INC(FILTER($X$2:$X$423, $U$2:$U$423&lt;3.75), $X387), 1)"),0.193)</f>
        <v>0.193</v>
      </c>
      <c r="AC387" s="20">
        <f>IFERROR(__xludf.DUMMYFUNCTION("iferror(PERCENTRANK.INC(FILTER($X$2:$X$423, $U$2:$U$423&lt;4.25), $X387), 1)"),0.188)</f>
        <v>0.188</v>
      </c>
      <c r="AD387" s="20">
        <f>IFERROR(__xludf.DUMMYFUNCTION("iferror(PERCENTRANK.INC(FILTER($X$2:$X$423, $U$2:$U$423&gt;=4.1), $X387), 0.01)"),0.01)</f>
        <v>0.01</v>
      </c>
      <c r="AE387" s="20"/>
    </row>
    <row r="388" ht="14.25" customHeight="1">
      <c r="A388" s="17" t="s">
        <v>759</v>
      </c>
      <c r="B388" s="17" t="s">
        <v>427</v>
      </c>
      <c r="C388" s="18">
        <v>12.0</v>
      </c>
      <c r="D388" s="17" t="s">
        <v>98</v>
      </c>
      <c r="E388" s="17" t="s">
        <v>124</v>
      </c>
      <c r="F388" s="18">
        <v>56.0</v>
      </c>
      <c r="G388" s="18">
        <v>51.0</v>
      </c>
      <c r="H388" s="18">
        <v>27.0</v>
      </c>
      <c r="I388" s="19">
        <v>0.529</v>
      </c>
      <c r="J388" s="18">
        <v>245.0</v>
      </c>
      <c r="K388" s="18">
        <v>4.8</v>
      </c>
      <c r="L388" s="18">
        <v>0.0</v>
      </c>
      <c r="M388" s="18">
        <v>2.0</v>
      </c>
      <c r="N388" s="18">
        <v>3.0</v>
      </c>
      <c r="O388" s="18">
        <v>2.0</v>
      </c>
      <c r="P388" s="20">
        <f t="shared" si="1"/>
        <v>0.3867590224</v>
      </c>
      <c r="Q388" s="20">
        <f t="shared" si="2"/>
        <v>0.5824410076</v>
      </c>
      <c r="R388" s="24"/>
      <c r="S388" s="20">
        <v>0.38675902240896354</v>
      </c>
      <c r="T388" s="22">
        <v>-0.69</v>
      </c>
      <c r="W388" s="25">
        <v>0.9</v>
      </c>
      <c r="X388" s="22">
        <f t="shared" si="17"/>
        <v>-0.05128753197</v>
      </c>
      <c r="Y388" s="20">
        <f t="shared" si="4"/>
        <v>36.06621603</v>
      </c>
      <c r="Z388" s="20">
        <f t="shared" si="6"/>
        <v>35.48377503</v>
      </c>
      <c r="AA388" s="20"/>
      <c r="AB388" s="20">
        <f>IFERROR(__xludf.DUMMYFUNCTION("iferror(PERCENTRANK.INC(FILTER($X$2:$X$423, $U$2:$U$423&lt;3.75), $X388), 1)"),0.214)</f>
        <v>0.214</v>
      </c>
      <c r="AC388" s="20">
        <f>IFERROR(__xludf.DUMMYFUNCTION("iferror(PERCENTRANK.INC(FILTER($X$2:$X$423, $U$2:$U$423&lt;4.25), $X388), 1)"),0.208)</f>
        <v>0.208</v>
      </c>
      <c r="AD388" s="20">
        <f>IFERROR(__xludf.DUMMYFUNCTION("iferror(PERCENTRANK.INC(FILTER($X$2:$X$423, $U$2:$U$423&gt;=4.1), $X388), 0.01)"),0.01)</f>
        <v>0.01</v>
      </c>
      <c r="AE388" s="20"/>
    </row>
    <row r="389" ht="14.25" customHeight="1">
      <c r="A389" s="17" t="s">
        <v>760</v>
      </c>
      <c r="B389" s="17" t="s">
        <v>519</v>
      </c>
      <c r="C389" s="18">
        <v>17.0</v>
      </c>
      <c r="D389" s="17" t="s">
        <v>98</v>
      </c>
      <c r="E389" s="17" t="s">
        <v>127</v>
      </c>
      <c r="F389" s="18">
        <v>42.0</v>
      </c>
      <c r="G389" s="18">
        <v>29.0</v>
      </c>
      <c r="H389" s="18">
        <v>13.0</v>
      </c>
      <c r="I389" s="19">
        <v>0.448</v>
      </c>
      <c r="J389" s="18">
        <v>119.0</v>
      </c>
      <c r="K389" s="18">
        <v>4.1</v>
      </c>
      <c r="L389" s="18">
        <v>1.0</v>
      </c>
      <c r="M389" s="18">
        <v>1.0</v>
      </c>
      <c r="N389" s="18">
        <v>6.0</v>
      </c>
      <c r="O389" s="18">
        <v>3.0</v>
      </c>
      <c r="P389" s="20">
        <f t="shared" si="1"/>
        <v>0.3667202365</v>
      </c>
      <c r="Q389" s="20">
        <f t="shared" si="2"/>
        <v>0.572938616</v>
      </c>
      <c r="R389" s="24"/>
      <c r="S389" s="20">
        <v>0.3667202364532018</v>
      </c>
      <c r="T389" s="22">
        <v>-5.55</v>
      </c>
      <c r="W389" s="25">
        <v>0.9</v>
      </c>
      <c r="X389" s="22">
        <f t="shared" si="17"/>
        <v>-0.7774919645</v>
      </c>
      <c r="Y389" s="20">
        <f t="shared" si="4"/>
        <v>27.08665237</v>
      </c>
      <c r="Z389" s="20">
        <f t="shared" si="6"/>
        <v>26.51371376</v>
      </c>
      <c r="AA389" s="20"/>
      <c r="AB389" s="20">
        <f>IFERROR(__xludf.DUMMYFUNCTION("iferror(PERCENTRANK.INC(FILTER($X$2:$X$423, $U$2:$U$423&lt;3.75), $X389), 1)"),0.039)</f>
        <v>0.039</v>
      </c>
      <c r="AC389" s="20">
        <f>IFERROR(__xludf.DUMMYFUNCTION("iferror(PERCENTRANK.INC(FILTER($X$2:$X$423, $U$2:$U$423&lt;4.25), $X389), 1)"),0.038)</f>
        <v>0.038</v>
      </c>
      <c r="AD389" s="20">
        <f>IFERROR(__xludf.DUMMYFUNCTION("iferror(PERCENTRANK.INC(FILTER($X$2:$X$423, $U$2:$U$423&gt;=4.1), $X389), 0.01)"),0.01)</f>
        <v>0.01</v>
      </c>
      <c r="AE389" s="20"/>
    </row>
    <row r="390" ht="14.25" customHeight="1">
      <c r="A390" s="17" t="s">
        <v>761</v>
      </c>
      <c r="B390" s="17" t="s">
        <v>362</v>
      </c>
      <c r="C390" s="18">
        <v>7.0</v>
      </c>
      <c r="D390" s="17" t="s">
        <v>98</v>
      </c>
      <c r="E390" s="17" t="s">
        <v>243</v>
      </c>
      <c r="F390" s="18">
        <v>39.0</v>
      </c>
      <c r="G390" s="18">
        <v>35.0</v>
      </c>
      <c r="H390" s="18">
        <v>19.0</v>
      </c>
      <c r="I390" s="19">
        <v>0.543</v>
      </c>
      <c r="J390" s="18">
        <v>127.0</v>
      </c>
      <c r="K390" s="18">
        <v>3.6</v>
      </c>
      <c r="L390" s="18">
        <v>0.0</v>
      </c>
      <c r="M390" s="18">
        <v>1.0</v>
      </c>
      <c r="N390" s="18">
        <v>1.0</v>
      </c>
      <c r="O390" s="18">
        <v>1.0</v>
      </c>
      <c r="P390" s="20">
        <f t="shared" si="1"/>
        <v>0.3609028315</v>
      </c>
      <c r="Q390" s="20">
        <f t="shared" si="2"/>
        <v>0.5701800028</v>
      </c>
      <c r="R390" s="24"/>
      <c r="S390" s="20">
        <v>0.36090283150183156</v>
      </c>
      <c r="T390" s="22">
        <v>-20.13</v>
      </c>
      <c r="W390" s="25">
        <v>0.9</v>
      </c>
      <c r="X390" s="22">
        <f t="shared" si="17"/>
        <v>-2.968071347</v>
      </c>
      <c r="Y390" s="20">
        <f t="shared" si="4"/>
        <v>0</v>
      </c>
      <c r="Z390" s="20">
        <f t="shared" si="6"/>
        <v>-0.5701800028</v>
      </c>
      <c r="AA390" s="20"/>
      <c r="AB390" s="20">
        <f>IFERROR(__xludf.DUMMYFUNCTION("iferror(PERCENTRANK.INC(FILTER($X$2:$X$423, $U$2:$U$423&lt;3.75), $X390), 1)"),0.0)</f>
        <v>0</v>
      </c>
      <c r="AC390" s="20">
        <f>IFERROR(__xludf.DUMMYFUNCTION("iferror(PERCENTRANK.INC(FILTER($X$2:$X$423, $U$2:$U$423&lt;4.25), $X390), 1)"),0.0)</f>
        <v>0</v>
      </c>
      <c r="AD390" s="20">
        <f>IFERROR(__xludf.DUMMYFUNCTION("iferror(PERCENTRANK.INC(FILTER($X$2:$X$423, $U$2:$U$423&gt;=4.1), $X390), 0.01)"),0.01)</f>
        <v>0.01</v>
      </c>
      <c r="AE390" s="20"/>
    </row>
    <row r="391" ht="14.25" customHeight="1">
      <c r="A391" s="17" t="s">
        <v>762</v>
      </c>
      <c r="B391" s="17" t="s">
        <v>590</v>
      </c>
      <c r="C391" s="18">
        <v>19.0</v>
      </c>
      <c r="D391" s="17" t="s">
        <v>98</v>
      </c>
      <c r="E391" s="17" t="s">
        <v>124</v>
      </c>
      <c r="F391" s="18">
        <v>51.0</v>
      </c>
      <c r="G391" s="18">
        <v>43.0</v>
      </c>
      <c r="H391" s="18">
        <v>24.0</v>
      </c>
      <c r="I391" s="19">
        <v>0.558</v>
      </c>
      <c r="J391" s="18">
        <v>176.0</v>
      </c>
      <c r="K391" s="18">
        <v>4.1</v>
      </c>
      <c r="L391" s="18">
        <v>1.0</v>
      </c>
      <c r="M391" s="18">
        <v>2.0</v>
      </c>
      <c r="N391" s="18">
        <v>3.0</v>
      </c>
      <c r="O391" s="18">
        <v>2.0</v>
      </c>
      <c r="P391" s="20">
        <f t="shared" si="1"/>
        <v>0.3426731683</v>
      </c>
      <c r="Q391" s="20">
        <f t="shared" si="2"/>
        <v>0.5615354972</v>
      </c>
      <c r="R391" s="24"/>
      <c r="S391" s="20">
        <v>0.3426731682626537</v>
      </c>
      <c r="T391" s="22">
        <v>-0.62</v>
      </c>
      <c r="W391" s="25">
        <v>0.9</v>
      </c>
      <c r="X391" s="22">
        <f t="shared" si="17"/>
        <v>-0.04673912228</v>
      </c>
      <c r="Y391" s="20">
        <f t="shared" si="4"/>
        <v>36.12245741</v>
      </c>
      <c r="Z391" s="20">
        <f t="shared" si="6"/>
        <v>35.56092191</v>
      </c>
      <c r="AA391" s="20"/>
      <c r="AB391" s="20">
        <f>IFERROR(__xludf.DUMMYFUNCTION("iferror(PERCENTRANK.INC(FILTER($X$2:$X$423, $U$2:$U$423&lt;3.75), $X391), 1)"),0.222)</f>
        <v>0.222</v>
      </c>
      <c r="AC391" s="20">
        <f>IFERROR(__xludf.DUMMYFUNCTION("iferror(PERCENTRANK.INC(FILTER($X$2:$X$423, $U$2:$U$423&lt;4.25), $X391), 1)"),0.215)</f>
        <v>0.215</v>
      </c>
      <c r="AD391" s="20">
        <f>IFERROR(__xludf.DUMMYFUNCTION("iferror(PERCENTRANK.INC(FILTER($X$2:$X$423, $U$2:$U$423&gt;=4.1), $X391), 0.01)"),0.01)</f>
        <v>0.01</v>
      </c>
      <c r="AE391" s="20"/>
    </row>
    <row r="392" ht="14.25" customHeight="1">
      <c r="A392" s="17" t="s">
        <v>763</v>
      </c>
      <c r="B392" s="17" t="s">
        <v>664</v>
      </c>
      <c r="C392" s="18">
        <v>6.0</v>
      </c>
      <c r="D392" s="17" t="s">
        <v>98</v>
      </c>
      <c r="E392" s="17" t="s">
        <v>210</v>
      </c>
      <c r="F392" s="18">
        <v>322.0</v>
      </c>
      <c r="G392" s="18">
        <v>285.0</v>
      </c>
      <c r="H392" s="18">
        <v>166.0</v>
      </c>
      <c r="I392" s="19">
        <v>0.583</v>
      </c>
      <c r="J392" s="18">
        <v>1588.0</v>
      </c>
      <c r="K392" s="18">
        <v>5.6</v>
      </c>
      <c r="L392" s="18">
        <v>5.0</v>
      </c>
      <c r="M392" s="18">
        <v>11.0</v>
      </c>
      <c r="N392" s="18">
        <v>18.0</v>
      </c>
      <c r="O392" s="18">
        <v>15.0</v>
      </c>
      <c r="P392" s="20">
        <f t="shared" si="1"/>
        <v>0.3604751157</v>
      </c>
      <c r="Q392" s="20">
        <f t="shared" si="2"/>
        <v>0.56997718</v>
      </c>
      <c r="R392" s="24"/>
      <c r="S392" s="20">
        <v>0.3604751157240927</v>
      </c>
      <c r="T392" s="22">
        <v>-0.81</v>
      </c>
      <c r="U392" s="30"/>
      <c r="V392" s="30"/>
      <c r="W392" s="18">
        <v>0.9</v>
      </c>
      <c r="X392" s="22">
        <f t="shared" si="17"/>
        <v>-0.07283585938</v>
      </c>
      <c r="Y392" s="20">
        <f t="shared" si="4"/>
        <v>35.7997696</v>
      </c>
      <c r="Z392" s="20">
        <f t="shared" si="6"/>
        <v>35.22979242</v>
      </c>
      <c r="AA392" s="20"/>
      <c r="AB392" s="20">
        <f>IFERROR(__xludf.DUMMYFUNCTION("iferror(PERCENTRANK.INC(FILTER($X$2:$X$423, $U$2:$U$423&lt;3.75), $X392), 1)"),0.198)</f>
        <v>0.198</v>
      </c>
      <c r="AC392" s="20">
        <f>IFERROR(__xludf.DUMMYFUNCTION("iferror(PERCENTRANK.INC(FILTER($X$2:$X$423, $U$2:$U$423&lt;4.25), $X392), 1)"),0.193)</f>
        <v>0.193</v>
      </c>
      <c r="AD392" s="20">
        <f>IFERROR(__xludf.DUMMYFUNCTION("iferror(PERCENTRANK.INC(FILTER($X$2:$X$423, $U$2:$U$423&gt;=4.1), $X392), 0.01)"),0.01)</f>
        <v>0.01</v>
      </c>
      <c r="AE392" s="20"/>
    </row>
    <row r="393" ht="14.25" customHeight="1">
      <c r="A393" s="17" t="s">
        <v>764</v>
      </c>
      <c r="B393" s="17" t="s">
        <v>195</v>
      </c>
      <c r="C393" s="18">
        <v>8.0</v>
      </c>
      <c r="D393" s="17" t="s">
        <v>98</v>
      </c>
      <c r="E393" s="17" t="s">
        <v>172</v>
      </c>
      <c r="F393" s="18">
        <v>26.0</v>
      </c>
      <c r="G393" s="18">
        <v>23.0</v>
      </c>
      <c r="H393" s="18">
        <v>11.0</v>
      </c>
      <c r="I393" s="19">
        <v>0.478</v>
      </c>
      <c r="J393" s="18">
        <v>83.0</v>
      </c>
      <c r="K393" s="18">
        <v>3.6</v>
      </c>
      <c r="L393" s="18">
        <v>1.0</v>
      </c>
      <c r="M393" s="18">
        <v>1.0</v>
      </c>
      <c r="N393" s="18">
        <v>3.0</v>
      </c>
      <c r="O393" s="18">
        <v>1.0</v>
      </c>
      <c r="P393" s="20">
        <f t="shared" si="1"/>
        <v>0.3435787759</v>
      </c>
      <c r="Q393" s="20">
        <f t="shared" si="2"/>
        <v>0.5619649363</v>
      </c>
      <c r="R393" s="24"/>
      <c r="S393" s="20">
        <v>0.3435787759197324</v>
      </c>
      <c r="T393" s="22">
        <v>-2.4</v>
      </c>
      <c r="W393" s="25">
        <v>0.9</v>
      </c>
      <c r="X393" s="22">
        <f t="shared" si="17"/>
        <v>-0.3136168653</v>
      </c>
      <c r="Y393" s="20">
        <f t="shared" si="4"/>
        <v>32.82249726</v>
      </c>
      <c r="Z393" s="20">
        <f t="shared" si="6"/>
        <v>32.26053233</v>
      </c>
      <c r="AA393" s="20"/>
      <c r="AB393" s="20">
        <f>IFERROR(__xludf.DUMMYFUNCTION("iferror(PERCENTRANK.INC(FILTER($X$2:$X$423, $U$2:$U$423&lt;3.75), $X393), 1)"),0.082)</f>
        <v>0.082</v>
      </c>
      <c r="AC393" s="20">
        <f>IFERROR(__xludf.DUMMYFUNCTION("iferror(PERCENTRANK.INC(FILTER($X$2:$X$423, $U$2:$U$423&lt;4.25), $X393), 1)"),0.08)</f>
        <v>0.08</v>
      </c>
      <c r="AD393" s="20">
        <f>IFERROR(__xludf.DUMMYFUNCTION("iferror(PERCENTRANK.INC(FILTER($X$2:$X$423, $U$2:$U$423&gt;=4.1), $X393), 0.01)"),0.01)</f>
        <v>0.01</v>
      </c>
      <c r="AE393" s="20"/>
    </row>
    <row r="394" ht="14.25" customHeight="1">
      <c r="A394" s="17" t="s">
        <v>765</v>
      </c>
      <c r="B394" s="17" t="s">
        <v>558</v>
      </c>
      <c r="C394" s="18">
        <v>14.0</v>
      </c>
      <c r="D394" s="17" t="s">
        <v>98</v>
      </c>
      <c r="E394" s="17" t="s">
        <v>99</v>
      </c>
      <c r="F394" s="18">
        <v>49.0</v>
      </c>
      <c r="G394" s="18">
        <v>39.0</v>
      </c>
      <c r="H394" s="18">
        <v>16.0</v>
      </c>
      <c r="I394" s="19">
        <v>0.41</v>
      </c>
      <c r="J394" s="18">
        <v>217.0</v>
      </c>
      <c r="K394" s="18">
        <v>5.6</v>
      </c>
      <c r="L394" s="18">
        <v>1.0</v>
      </c>
      <c r="M394" s="18">
        <v>3.0</v>
      </c>
      <c r="N394" s="18">
        <v>3.0</v>
      </c>
      <c r="O394" s="18">
        <v>4.0</v>
      </c>
      <c r="P394" s="20">
        <f t="shared" si="1"/>
        <v>0.3371942282</v>
      </c>
      <c r="Q394" s="20">
        <f t="shared" si="2"/>
        <v>0.558937384</v>
      </c>
      <c r="R394" s="24"/>
      <c r="S394" s="20">
        <v>0.33719422815279954</v>
      </c>
      <c r="T394" s="22">
        <v>-0.19</v>
      </c>
      <c r="W394" s="25">
        <v>1.0</v>
      </c>
      <c r="X394" s="22">
        <f t="shared" si="17"/>
        <v>0.0170212208</v>
      </c>
      <c r="Y394" s="20">
        <f t="shared" si="4"/>
        <v>36.91085807</v>
      </c>
      <c r="Z394" s="20">
        <f t="shared" si="6"/>
        <v>36.35192069</v>
      </c>
      <c r="AA394" s="20"/>
      <c r="AB394" s="20">
        <f>IFERROR(__xludf.DUMMYFUNCTION("iferror(PERCENTRANK.INC(FILTER($X$2:$X$423, $U$2:$U$423&lt;3.75), $X394), 1)"),0.289)</f>
        <v>0.289</v>
      </c>
      <c r="AC394" s="20">
        <f>IFERROR(__xludf.DUMMYFUNCTION("iferror(PERCENTRANK.INC(FILTER($X$2:$X$423, $U$2:$U$423&lt;4.25), $X394), 1)"),0.28)</f>
        <v>0.28</v>
      </c>
      <c r="AD394" s="20">
        <f>IFERROR(__xludf.DUMMYFUNCTION("iferror(PERCENTRANK.INC(FILTER($X$2:$X$423, $U$2:$U$423&gt;=4.1), $X394), 0.01)"),0.04)</f>
        <v>0.04</v>
      </c>
      <c r="AE394" s="20"/>
    </row>
    <row r="395" ht="14.25" customHeight="1">
      <c r="A395" s="17" t="s">
        <v>766</v>
      </c>
      <c r="B395" s="17" t="s">
        <v>529</v>
      </c>
      <c r="C395" s="18">
        <v>7.0</v>
      </c>
      <c r="D395" s="17" t="s">
        <v>98</v>
      </c>
      <c r="E395" s="17" t="s">
        <v>144</v>
      </c>
      <c r="F395" s="18">
        <v>60.0</v>
      </c>
      <c r="G395" s="18">
        <v>50.0</v>
      </c>
      <c r="H395" s="18">
        <v>25.0</v>
      </c>
      <c r="I395" s="19">
        <v>0.5</v>
      </c>
      <c r="J395" s="18">
        <v>241.0</v>
      </c>
      <c r="K395" s="18">
        <v>4.8</v>
      </c>
      <c r="L395" s="18">
        <v>0.0</v>
      </c>
      <c r="M395" s="18">
        <v>2.0</v>
      </c>
      <c r="N395" s="18">
        <v>6.0</v>
      </c>
      <c r="O395" s="18">
        <v>3.0</v>
      </c>
      <c r="P395" s="20">
        <f t="shared" si="1"/>
        <v>0.3203</v>
      </c>
      <c r="Q395" s="20">
        <f t="shared" si="2"/>
        <v>0.5509261416</v>
      </c>
      <c r="R395" s="24"/>
      <c r="S395" s="20">
        <v>0.32030000000000003</v>
      </c>
      <c r="T395" s="22">
        <v>-1.96</v>
      </c>
      <c r="U395" s="30"/>
      <c r="V395" s="30"/>
      <c r="W395" s="18">
        <v>0.95</v>
      </c>
      <c r="X395" s="22">
        <f t="shared" si="17"/>
        <v>-0.245955</v>
      </c>
      <c r="Y395" s="20">
        <f t="shared" si="4"/>
        <v>33.6591405</v>
      </c>
      <c r="Z395" s="20">
        <f t="shared" si="6"/>
        <v>33.10821436</v>
      </c>
      <c r="AA395" s="20"/>
      <c r="AB395" s="20">
        <f>IFERROR(__xludf.DUMMYFUNCTION("iferror(PERCENTRANK.INC(FILTER($X$2:$X$423, $U$2:$U$423&lt;3.75), $X395), 1)"),0.095)</f>
        <v>0.095</v>
      </c>
      <c r="AC395" s="20">
        <f>IFERROR(__xludf.DUMMYFUNCTION("iferror(PERCENTRANK.INC(FILTER($X$2:$X$423, $U$2:$U$423&lt;4.25), $X395), 1)"),0.093)</f>
        <v>0.093</v>
      </c>
      <c r="AD395" s="20">
        <f>IFERROR(__xludf.DUMMYFUNCTION("iferror(PERCENTRANK.INC(FILTER($X$2:$X$423, $U$2:$U$423&gt;=4.1), $X395), 0.01)"),0.01)</f>
        <v>0.01</v>
      </c>
      <c r="AE395" s="20"/>
    </row>
    <row r="396" ht="14.25" customHeight="1">
      <c r="A396" s="17" t="s">
        <v>767</v>
      </c>
      <c r="B396" s="17" t="s">
        <v>503</v>
      </c>
      <c r="C396" s="18">
        <v>8.0</v>
      </c>
      <c r="D396" s="17" t="s">
        <v>98</v>
      </c>
      <c r="E396" s="17" t="s">
        <v>189</v>
      </c>
      <c r="F396" s="18">
        <v>47.0</v>
      </c>
      <c r="G396" s="18">
        <v>43.0</v>
      </c>
      <c r="H396" s="18">
        <v>22.0</v>
      </c>
      <c r="I396" s="19">
        <v>0.512</v>
      </c>
      <c r="J396" s="18">
        <v>277.0</v>
      </c>
      <c r="K396" s="18">
        <v>6.4</v>
      </c>
      <c r="L396" s="18">
        <v>1.0</v>
      </c>
      <c r="M396" s="18">
        <v>4.0</v>
      </c>
      <c r="N396" s="18">
        <v>1.0</v>
      </c>
      <c r="O396" s="18">
        <v>6.0</v>
      </c>
      <c r="P396" s="20">
        <f t="shared" si="1"/>
        <v>0.3082794973</v>
      </c>
      <c r="Q396" s="20">
        <f t="shared" si="2"/>
        <v>0.5452260197</v>
      </c>
      <c r="R396" s="24"/>
      <c r="S396" s="20">
        <v>0.30827949727857507</v>
      </c>
      <c r="T396" s="22">
        <v>-1.18</v>
      </c>
      <c r="U396" s="30"/>
      <c r="V396" s="30"/>
      <c r="W396" s="18">
        <v>0.9</v>
      </c>
      <c r="X396" s="22">
        <f t="shared" si="17"/>
        <v>-0.1330701716</v>
      </c>
      <c r="Y396" s="20">
        <f t="shared" si="4"/>
        <v>35.05496853</v>
      </c>
      <c r="Z396" s="20">
        <f t="shared" si="6"/>
        <v>34.50974251</v>
      </c>
      <c r="AA396" s="20"/>
      <c r="AB396" s="20">
        <f>IFERROR(__xludf.DUMMYFUNCTION("iferror(PERCENTRANK.INC(FILTER($X$2:$X$423, $U$2:$U$423&lt;3.75), $X396), 1)"),0.155)</f>
        <v>0.155</v>
      </c>
      <c r="AC396" s="20">
        <f>IFERROR(__xludf.DUMMYFUNCTION("iferror(PERCENTRANK.INC(FILTER($X$2:$X$423, $U$2:$U$423&lt;4.25), $X396), 1)"),0.15)</f>
        <v>0.15</v>
      </c>
      <c r="AD396" s="20">
        <f>IFERROR(__xludf.DUMMYFUNCTION("iferror(PERCENTRANK.INC(FILTER($X$2:$X$423, $U$2:$U$423&gt;=4.1), $X396), 0.01)"),0.01)</f>
        <v>0.01</v>
      </c>
      <c r="AE396" s="20"/>
    </row>
    <row r="397" ht="14.25" customHeight="1">
      <c r="A397" s="17" t="s">
        <v>768</v>
      </c>
      <c r="B397" s="17" t="s">
        <v>590</v>
      </c>
      <c r="C397" s="18">
        <v>17.0</v>
      </c>
      <c r="D397" s="17" t="s">
        <v>98</v>
      </c>
      <c r="E397" s="17" t="s">
        <v>124</v>
      </c>
      <c r="F397" s="18">
        <v>36.0</v>
      </c>
      <c r="G397" s="18">
        <v>30.0</v>
      </c>
      <c r="H397" s="18">
        <v>18.0</v>
      </c>
      <c r="I397" s="19">
        <v>0.6</v>
      </c>
      <c r="J397" s="18">
        <v>225.0</v>
      </c>
      <c r="K397" s="18">
        <v>7.5</v>
      </c>
      <c r="L397" s="18">
        <v>1.0</v>
      </c>
      <c r="M397" s="18">
        <v>4.0</v>
      </c>
      <c r="N397" s="18">
        <v>6.0</v>
      </c>
      <c r="O397" s="18">
        <v>4.0</v>
      </c>
      <c r="P397" s="20">
        <f t="shared" si="1"/>
        <v>0.2808666667</v>
      </c>
      <c r="Q397" s="20">
        <f t="shared" si="2"/>
        <v>0.5322268564</v>
      </c>
      <c r="R397" s="24"/>
      <c r="S397" s="20">
        <v>0.2808666666666669</v>
      </c>
      <c r="T397" s="22">
        <v>-1.15</v>
      </c>
      <c r="U397" s="30"/>
      <c r="V397" s="30"/>
      <c r="W397" s="18">
        <v>0.9</v>
      </c>
      <c r="X397" s="22">
        <f t="shared" si="17"/>
        <v>-0.134583</v>
      </c>
      <c r="Y397" s="20">
        <f t="shared" si="4"/>
        <v>35.03626231</v>
      </c>
      <c r="Z397" s="20">
        <f t="shared" si="6"/>
        <v>34.50403545</v>
      </c>
      <c r="AA397" s="20"/>
      <c r="AB397" s="20">
        <f>IFERROR(__xludf.DUMMYFUNCTION("iferror(PERCENTRANK.INC(FILTER($X$2:$X$423, $U$2:$U$423&lt;3.75), $X397), 1)"),0.152)</f>
        <v>0.152</v>
      </c>
      <c r="AC397" s="20">
        <f>IFERROR(__xludf.DUMMYFUNCTION("iferror(PERCENTRANK.INC(FILTER($X$2:$X$423, $U$2:$U$423&lt;4.25), $X397), 1)"),0.148)</f>
        <v>0.148</v>
      </c>
      <c r="AD397" s="20">
        <f>IFERROR(__xludf.DUMMYFUNCTION("iferror(PERCENTRANK.INC(FILTER($X$2:$X$423, $U$2:$U$423&gt;=4.1), $X397), 0.01)"),0.01)</f>
        <v>0.01</v>
      </c>
      <c r="AE397" s="20"/>
    </row>
    <row r="398" ht="14.25" customHeight="1">
      <c r="A398" s="17" t="s">
        <v>769</v>
      </c>
      <c r="B398" s="17" t="s">
        <v>445</v>
      </c>
      <c r="C398" s="18">
        <v>7.0</v>
      </c>
      <c r="D398" s="17" t="s">
        <v>98</v>
      </c>
      <c r="E398" s="17" t="s">
        <v>155</v>
      </c>
      <c r="F398" s="18">
        <v>48.0</v>
      </c>
      <c r="G398" s="18">
        <v>46.0</v>
      </c>
      <c r="H398" s="18">
        <v>17.0</v>
      </c>
      <c r="I398" s="19">
        <v>0.37</v>
      </c>
      <c r="J398" s="18">
        <v>242.0</v>
      </c>
      <c r="K398" s="18">
        <v>5.3</v>
      </c>
      <c r="L398" s="18">
        <v>2.0</v>
      </c>
      <c r="M398" s="18">
        <v>4.0</v>
      </c>
      <c r="N398" s="18">
        <v>2.0</v>
      </c>
      <c r="O398" s="18">
        <v>4.0</v>
      </c>
      <c r="P398" s="20">
        <f t="shared" si="1"/>
        <v>0.2669581159</v>
      </c>
      <c r="Q398" s="20">
        <f t="shared" si="2"/>
        <v>0.5256314222</v>
      </c>
      <c r="R398" s="24"/>
      <c r="S398" s="20">
        <v>0.26695811594202906</v>
      </c>
      <c r="T398" s="22">
        <v>2.56</v>
      </c>
      <c r="U398" s="30"/>
      <c r="V398" s="30"/>
      <c r="W398" s="18">
        <v>0.9</v>
      </c>
      <c r="X398" s="22">
        <f t="shared" si="17"/>
        <v>0.4200393457</v>
      </c>
      <c r="Y398" s="20">
        <f t="shared" si="4"/>
        <v>41.89420263</v>
      </c>
      <c r="Z398" s="20">
        <f t="shared" si="6"/>
        <v>41.36857121</v>
      </c>
      <c r="AA398" s="20"/>
      <c r="AB398" s="20">
        <f>IFERROR(__xludf.DUMMYFUNCTION("iferror(PERCENTRANK.INC(FILTER($X$2:$X$423, $U$2:$U$423&lt;3.75), $X398), 1)"),0.606)</f>
        <v>0.606</v>
      </c>
      <c r="AC398" s="20">
        <f>IFERROR(__xludf.DUMMYFUNCTION("iferror(PERCENTRANK.INC(FILTER($X$2:$X$423, $U$2:$U$423&lt;4.25), $X398), 1)"),0.588)</f>
        <v>0.588</v>
      </c>
      <c r="AD398" s="20">
        <f>IFERROR(__xludf.DUMMYFUNCTION("iferror(PERCENTRANK.INC(FILTER($X$2:$X$423, $U$2:$U$423&gt;=4.1), $X398), 0.01)"),0.047)</f>
        <v>0.047</v>
      </c>
      <c r="AE398" s="20"/>
    </row>
    <row r="399" ht="14.25" customHeight="1">
      <c r="A399" s="17" t="s">
        <v>770</v>
      </c>
      <c r="B399" s="17" t="s">
        <v>612</v>
      </c>
      <c r="C399" s="18">
        <v>16.0</v>
      </c>
      <c r="D399" s="17" t="s">
        <v>98</v>
      </c>
      <c r="E399" s="17" t="s">
        <v>114</v>
      </c>
      <c r="F399" s="18">
        <v>234.0</v>
      </c>
      <c r="G399" s="18">
        <v>204.0</v>
      </c>
      <c r="H399" s="18">
        <v>98.0</v>
      </c>
      <c r="I399" s="19">
        <v>0.48</v>
      </c>
      <c r="J399" s="18">
        <v>890.0</v>
      </c>
      <c r="K399" s="18">
        <v>4.4</v>
      </c>
      <c r="L399" s="18">
        <v>2.0</v>
      </c>
      <c r="M399" s="18">
        <v>6.0</v>
      </c>
      <c r="N399" s="18">
        <v>22.0</v>
      </c>
      <c r="O399" s="18">
        <v>12.0</v>
      </c>
      <c r="P399" s="20">
        <f t="shared" si="1"/>
        <v>0.2302840825</v>
      </c>
      <c r="Q399" s="20">
        <f t="shared" si="2"/>
        <v>0.5082405969</v>
      </c>
      <c r="R399" s="24"/>
      <c r="S399" s="20">
        <v>0.23028408245349444</v>
      </c>
      <c r="T399" s="22">
        <v>-0.8</v>
      </c>
      <c r="U399" s="30"/>
      <c r="V399" s="30"/>
      <c r="W399" s="18">
        <v>0.9</v>
      </c>
      <c r="X399" s="22">
        <f t="shared" si="17"/>
        <v>-0.08891164887</v>
      </c>
      <c r="Y399" s="20">
        <f t="shared" si="4"/>
        <v>35.60099145</v>
      </c>
      <c r="Z399" s="20">
        <f t="shared" si="6"/>
        <v>35.09275085</v>
      </c>
      <c r="AA399" s="20"/>
      <c r="AB399" s="20">
        <f>IFERROR(__xludf.DUMMYFUNCTION("iferror(PERCENTRANK.INC(FILTER($X$2:$X$423, $U$2:$U$423&lt;3.75), $X399), 1)"),0.183)</f>
        <v>0.183</v>
      </c>
      <c r="AC399" s="20">
        <f>IFERROR(__xludf.DUMMYFUNCTION("iferror(PERCENTRANK.INC(FILTER($X$2:$X$423, $U$2:$U$423&lt;4.25), $X399), 1)"),0.178)</f>
        <v>0.178</v>
      </c>
      <c r="AD399" s="20">
        <f>IFERROR(__xludf.DUMMYFUNCTION("iferror(PERCENTRANK.INC(FILTER($X$2:$X$423, $U$2:$U$423&gt;=4.1), $X399), 0.01)"),0.01)</f>
        <v>0.01</v>
      </c>
      <c r="AE399" s="20"/>
    </row>
    <row r="400" ht="14.25" customHeight="1">
      <c r="A400" s="17" t="s">
        <v>771</v>
      </c>
      <c r="B400" s="17" t="s">
        <v>369</v>
      </c>
      <c r="C400" s="18">
        <v>10.0</v>
      </c>
      <c r="D400" s="17" t="s">
        <v>98</v>
      </c>
      <c r="E400" s="17" t="s">
        <v>135</v>
      </c>
      <c r="F400" s="18">
        <v>241.0</v>
      </c>
      <c r="G400" s="18">
        <v>193.0</v>
      </c>
      <c r="H400" s="18">
        <v>100.0</v>
      </c>
      <c r="I400" s="19">
        <v>0.518</v>
      </c>
      <c r="J400" s="18">
        <v>1076.0</v>
      </c>
      <c r="K400" s="18">
        <v>5.6</v>
      </c>
      <c r="L400" s="18">
        <v>6.0</v>
      </c>
      <c r="M400" s="18">
        <v>10.0</v>
      </c>
      <c r="N400" s="18">
        <v>16.0</v>
      </c>
      <c r="O400" s="18">
        <v>15.0</v>
      </c>
      <c r="P400" s="20">
        <f t="shared" si="1"/>
        <v>0.2398597927</v>
      </c>
      <c r="Q400" s="20">
        <f t="shared" si="2"/>
        <v>0.5127813984</v>
      </c>
      <c r="R400" s="24"/>
      <c r="S400" s="20">
        <v>0.23985979270311528</v>
      </c>
      <c r="T400" s="22">
        <v>-3.3</v>
      </c>
      <c r="U400" s="30"/>
      <c r="V400" s="30"/>
      <c r="W400" s="18">
        <v>1.0</v>
      </c>
      <c r="X400" s="22">
        <f t="shared" si="17"/>
        <v>-0.462618928</v>
      </c>
      <c r="Y400" s="20">
        <f t="shared" si="4"/>
        <v>30.98007735</v>
      </c>
      <c r="Z400" s="20">
        <f t="shared" si="6"/>
        <v>30.46729595</v>
      </c>
      <c r="AA400" s="20"/>
      <c r="AB400" s="20">
        <f>IFERROR(__xludf.DUMMYFUNCTION("iferror(PERCENTRANK.INC(FILTER($X$2:$X$423, $U$2:$U$423&lt;3.75), $X400), 1)"),0.054)</f>
        <v>0.054</v>
      </c>
      <c r="AC400" s="20">
        <f>IFERROR(__xludf.DUMMYFUNCTION("iferror(PERCENTRANK.INC(FILTER($X$2:$X$423, $U$2:$U$423&lt;4.25), $X400), 1)"),0.053)</f>
        <v>0.053</v>
      </c>
      <c r="AD400" s="20">
        <f>IFERROR(__xludf.DUMMYFUNCTION("iferror(PERCENTRANK.INC(FILTER($X$2:$X$423, $U$2:$U$423&gt;=4.1), $X400), 0.01)"),0.01)</f>
        <v>0.01</v>
      </c>
      <c r="AE400" s="20"/>
    </row>
    <row r="401" ht="14.25" customHeight="1">
      <c r="A401" s="17" t="s">
        <v>772</v>
      </c>
      <c r="B401" s="17" t="s">
        <v>555</v>
      </c>
      <c r="C401" s="18">
        <v>7.0</v>
      </c>
      <c r="D401" s="17" t="s">
        <v>98</v>
      </c>
      <c r="E401" s="17" t="s">
        <v>117</v>
      </c>
      <c r="F401" s="18">
        <v>68.0</v>
      </c>
      <c r="G401" s="18">
        <v>64.0</v>
      </c>
      <c r="H401" s="18">
        <v>37.0</v>
      </c>
      <c r="I401" s="19">
        <v>0.578</v>
      </c>
      <c r="J401" s="18">
        <v>327.0</v>
      </c>
      <c r="K401" s="18">
        <v>5.1</v>
      </c>
      <c r="L401" s="18">
        <v>1.0</v>
      </c>
      <c r="M401" s="18">
        <v>4.0</v>
      </c>
      <c r="N401" s="18">
        <v>2.0</v>
      </c>
      <c r="O401" s="18">
        <v>6.0</v>
      </c>
      <c r="P401" s="20">
        <f t="shared" si="1"/>
        <v>0.1952342353</v>
      </c>
      <c r="Q401" s="20">
        <f t="shared" si="2"/>
        <v>0.4916199607</v>
      </c>
      <c r="R401" s="24"/>
      <c r="S401" s="20">
        <v>0.19523423529411754</v>
      </c>
      <c r="T401" s="22">
        <v>-0.55</v>
      </c>
      <c r="U401" s="30"/>
      <c r="V401" s="30"/>
      <c r="W401" s="18">
        <v>0.95</v>
      </c>
      <c r="X401" s="22">
        <f t="shared" si="17"/>
        <v>-0.05321486471</v>
      </c>
      <c r="Y401" s="20">
        <f t="shared" si="4"/>
        <v>36.04238444</v>
      </c>
      <c r="Z401" s="20">
        <f t="shared" si="6"/>
        <v>35.55076448</v>
      </c>
      <c r="AA401" s="20"/>
      <c r="AB401" s="20">
        <f>IFERROR(__xludf.DUMMYFUNCTION("iferror(PERCENTRANK.INC(FILTER($X$2:$X$423, $U$2:$U$423&lt;3.75), $X401), 1)"),0.211)</f>
        <v>0.211</v>
      </c>
      <c r="AC401" s="20">
        <f>IFERROR(__xludf.DUMMYFUNCTION("iferror(PERCENTRANK.INC(FILTER($X$2:$X$423, $U$2:$U$423&lt;4.25), $X401), 1)"),0.205)</f>
        <v>0.205</v>
      </c>
      <c r="AD401" s="20">
        <f>IFERROR(__xludf.DUMMYFUNCTION("iferror(PERCENTRANK.INC(FILTER($X$2:$X$423, $U$2:$U$423&gt;=4.1), $X401), 0.01)"),0.01)</f>
        <v>0.01</v>
      </c>
      <c r="AE401" s="20"/>
    </row>
    <row r="402" ht="14.25" customHeight="1">
      <c r="A402" s="17" t="s">
        <v>773</v>
      </c>
      <c r="B402" s="17" t="s">
        <v>590</v>
      </c>
      <c r="C402" s="18">
        <v>16.0</v>
      </c>
      <c r="D402" s="17" t="s">
        <v>98</v>
      </c>
      <c r="E402" s="17" t="s">
        <v>124</v>
      </c>
      <c r="F402" s="18">
        <v>130.0</v>
      </c>
      <c r="G402" s="18">
        <v>104.0</v>
      </c>
      <c r="H402" s="18">
        <v>55.0</v>
      </c>
      <c r="I402" s="19">
        <v>0.529</v>
      </c>
      <c r="J402" s="18">
        <v>489.0</v>
      </c>
      <c r="K402" s="18">
        <v>4.7</v>
      </c>
      <c r="L402" s="18">
        <v>2.0</v>
      </c>
      <c r="M402" s="18">
        <v>5.0</v>
      </c>
      <c r="N402" s="18">
        <v>9.0</v>
      </c>
      <c r="O402" s="18">
        <v>5.0</v>
      </c>
      <c r="P402" s="20">
        <f t="shared" si="1"/>
        <v>0.1852106923</v>
      </c>
      <c r="Q402" s="20">
        <f t="shared" si="2"/>
        <v>0.486866797</v>
      </c>
      <c r="R402" s="24"/>
      <c r="S402" s="20">
        <v>0.18521069230769233</v>
      </c>
      <c r="T402" s="22">
        <v>-2.45</v>
      </c>
      <c r="W402" s="25">
        <v>0.9</v>
      </c>
      <c r="X402" s="22">
        <f t="shared" si="17"/>
        <v>-0.3424965565</v>
      </c>
      <c r="Y402" s="20">
        <f t="shared" si="4"/>
        <v>32.46539806</v>
      </c>
      <c r="Z402" s="20">
        <f t="shared" si="6"/>
        <v>31.97853126</v>
      </c>
      <c r="AA402" s="20"/>
      <c r="AB402" s="20">
        <f>IFERROR(__xludf.DUMMYFUNCTION("iferror(PERCENTRANK.INC(FILTER($X$2:$X$423, $U$2:$U$423&lt;3.75), $X402), 1)"),0.08)</f>
        <v>0.08</v>
      </c>
      <c r="AC402" s="20">
        <f>IFERROR(__xludf.DUMMYFUNCTION("iferror(PERCENTRANK.INC(FILTER($X$2:$X$423, $U$2:$U$423&lt;4.25), $X402), 1)"),0.078)</f>
        <v>0.078</v>
      </c>
      <c r="AD402" s="20">
        <f>IFERROR(__xludf.DUMMYFUNCTION("iferror(PERCENTRANK.INC(FILTER($X$2:$X$423, $U$2:$U$423&gt;=4.1), $X402), 0.01)"),0.01)</f>
        <v>0.01</v>
      </c>
      <c r="AE402" s="20"/>
    </row>
    <row r="403" ht="14.25" customHeight="1">
      <c r="A403" s="17" t="s">
        <v>774</v>
      </c>
      <c r="B403" s="17" t="s">
        <v>523</v>
      </c>
      <c r="C403" s="18">
        <v>12.0</v>
      </c>
      <c r="D403" s="17" t="s">
        <v>98</v>
      </c>
      <c r="E403" s="17" t="s">
        <v>189</v>
      </c>
      <c r="F403" s="18">
        <v>52.0</v>
      </c>
      <c r="G403" s="18">
        <v>46.0</v>
      </c>
      <c r="H403" s="18">
        <v>22.0</v>
      </c>
      <c r="I403" s="19">
        <v>0.478</v>
      </c>
      <c r="J403" s="18">
        <v>248.0</v>
      </c>
      <c r="K403" s="18">
        <v>5.4</v>
      </c>
      <c r="L403" s="18">
        <v>1.0</v>
      </c>
      <c r="M403" s="18">
        <v>4.0</v>
      </c>
      <c r="N403" s="18">
        <v>2.0</v>
      </c>
      <c r="O403" s="18">
        <v>4.0</v>
      </c>
      <c r="P403" s="20">
        <f t="shared" si="1"/>
        <v>0.1697192441</v>
      </c>
      <c r="Q403" s="20">
        <f t="shared" si="2"/>
        <v>0.4795207529</v>
      </c>
      <c r="R403" s="24"/>
      <c r="S403" s="20">
        <v>0.16971924414715725</v>
      </c>
      <c r="T403" s="22">
        <v>-5.76</v>
      </c>
      <c r="W403" s="25">
        <v>0.9</v>
      </c>
      <c r="X403" s="22">
        <f t="shared" si="17"/>
        <v>-0.8385421134</v>
      </c>
      <c r="Y403" s="20">
        <f t="shared" si="4"/>
        <v>26.33176343</v>
      </c>
      <c r="Z403" s="20">
        <f t="shared" si="6"/>
        <v>25.85224267</v>
      </c>
      <c r="AA403" s="20"/>
      <c r="AB403" s="20">
        <f>IFERROR(__xludf.DUMMYFUNCTION("iferror(PERCENTRANK.INC(FILTER($X$2:$X$423, $U$2:$U$423&lt;3.75), $X403), 1)"),0.031)</f>
        <v>0.031</v>
      </c>
      <c r="AC403" s="20">
        <f>IFERROR(__xludf.DUMMYFUNCTION("iferror(PERCENTRANK.INC(FILTER($X$2:$X$423, $U$2:$U$423&lt;4.25), $X403), 1)"),0.03)</f>
        <v>0.03</v>
      </c>
      <c r="AD403" s="20">
        <f>IFERROR(__xludf.DUMMYFUNCTION("iferror(PERCENTRANK.INC(FILTER($X$2:$X$423, $U$2:$U$423&gt;=4.1), $X403), 0.01)"),0.01)</f>
        <v>0.01</v>
      </c>
      <c r="AE403" s="20"/>
    </row>
    <row r="404" ht="14.25" customHeight="1">
      <c r="A404" s="17" t="s">
        <v>775</v>
      </c>
      <c r="B404" s="17" t="s">
        <v>617</v>
      </c>
      <c r="C404" s="18">
        <v>12.0</v>
      </c>
      <c r="D404" s="17" t="s">
        <v>98</v>
      </c>
      <c r="E404" s="17" t="s">
        <v>179</v>
      </c>
      <c r="F404" s="18">
        <v>89.0</v>
      </c>
      <c r="G404" s="18">
        <v>86.0</v>
      </c>
      <c r="H404" s="18">
        <v>41.0</v>
      </c>
      <c r="I404" s="19">
        <v>0.477</v>
      </c>
      <c r="J404" s="18">
        <v>443.0</v>
      </c>
      <c r="K404" s="18">
        <v>5.2</v>
      </c>
      <c r="L404" s="18">
        <v>1.0</v>
      </c>
      <c r="M404" s="18">
        <v>5.0</v>
      </c>
      <c r="N404" s="18">
        <v>2.0</v>
      </c>
      <c r="O404" s="18">
        <v>3.0</v>
      </c>
      <c r="P404" s="20">
        <f t="shared" si="1"/>
        <v>0.1553601131</v>
      </c>
      <c r="Q404" s="20">
        <f t="shared" si="2"/>
        <v>0.4727116535</v>
      </c>
      <c r="R404" s="24"/>
      <c r="S404" s="20">
        <v>0.15536011314345435</v>
      </c>
      <c r="T404" s="22">
        <v>-4.28</v>
      </c>
      <c r="U404" s="30"/>
      <c r="V404" s="30"/>
      <c r="W404" s="18">
        <v>0.9</v>
      </c>
      <c r="X404" s="22">
        <f t="shared" si="17"/>
        <v>-0.6210263847</v>
      </c>
      <c r="Y404" s="20">
        <f t="shared" si="4"/>
        <v>29.02135915</v>
      </c>
      <c r="Z404" s="20">
        <f t="shared" si="6"/>
        <v>28.54864749</v>
      </c>
      <c r="AA404" s="20"/>
      <c r="AB404" s="20">
        <f>IFERROR(__xludf.DUMMYFUNCTION("iferror(PERCENTRANK.INC(FILTER($X$2:$X$423, $U$2:$U$423&lt;3.75), $X404), 1)"),0.046)</f>
        <v>0.046</v>
      </c>
      <c r="AC404" s="20">
        <f>IFERROR(__xludf.DUMMYFUNCTION("iferror(PERCENTRANK.INC(FILTER($X$2:$X$423, $U$2:$U$423&lt;4.25), $X404), 1)"),0.045)</f>
        <v>0.045</v>
      </c>
      <c r="AD404" s="20">
        <f>IFERROR(__xludf.DUMMYFUNCTION("iferror(PERCENTRANK.INC(FILTER($X$2:$X$423, $U$2:$U$423&gt;=4.1), $X404), 0.01)"),0.01)</f>
        <v>0.01</v>
      </c>
      <c r="AE404" s="20"/>
    </row>
    <row r="405" ht="14.25" customHeight="1">
      <c r="A405" s="17" t="s">
        <v>776</v>
      </c>
      <c r="B405" s="17" t="s">
        <v>593</v>
      </c>
      <c r="C405" s="18">
        <v>12.0</v>
      </c>
      <c r="D405" s="17" t="s">
        <v>98</v>
      </c>
      <c r="E405" s="17" t="s">
        <v>127</v>
      </c>
      <c r="F405" s="18">
        <v>79.0</v>
      </c>
      <c r="G405" s="18">
        <v>75.0</v>
      </c>
      <c r="H405" s="18">
        <v>41.0</v>
      </c>
      <c r="I405" s="19">
        <v>0.547</v>
      </c>
      <c r="J405" s="18">
        <v>295.0</v>
      </c>
      <c r="K405" s="18">
        <v>3.9</v>
      </c>
      <c r="L405" s="18">
        <v>2.0</v>
      </c>
      <c r="M405" s="18">
        <v>4.0</v>
      </c>
      <c r="N405" s="18">
        <v>3.0</v>
      </c>
      <c r="O405" s="18">
        <v>5.0</v>
      </c>
      <c r="P405" s="20">
        <f t="shared" si="1"/>
        <v>0.1345209831</v>
      </c>
      <c r="Q405" s="20">
        <f t="shared" si="2"/>
        <v>0.4628297388</v>
      </c>
      <c r="R405" s="24"/>
      <c r="S405" s="20">
        <v>0.13452098312236285</v>
      </c>
      <c r="T405" s="22">
        <v>-1.2</v>
      </c>
      <c r="W405" s="25">
        <v>0.9</v>
      </c>
      <c r="X405" s="22">
        <f t="shared" si="17"/>
        <v>-0.1608307599</v>
      </c>
      <c r="Y405" s="20">
        <f t="shared" si="4"/>
        <v>34.7117071</v>
      </c>
      <c r="Z405" s="20">
        <f t="shared" si="6"/>
        <v>34.24887736</v>
      </c>
      <c r="AA405" s="20"/>
      <c r="AB405" s="20">
        <f>IFERROR(__xludf.DUMMYFUNCTION("iferror(PERCENTRANK.INC(FILTER($X$2:$X$423, $U$2:$U$423&lt;3.75), $X405), 1)"),0.139)</f>
        <v>0.139</v>
      </c>
      <c r="AC405" s="20">
        <f>IFERROR(__xludf.DUMMYFUNCTION("iferror(PERCENTRANK.INC(FILTER($X$2:$X$423, $U$2:$U$423&lt;4.25), $X405), 1)"),0.135)</f>
        <v>0.135</v>
      </c>
      <c r="AD405" s="20">
        <f>IFERROR(__xludf.DUMMYFUNCTION("iferror(PERCENTRANK.INC(FILTER($X$2:$X$423, $U$2:$U$423&gt;=4.1), $X405), 0.01)"),0.01)</f>
        <v>0.01</v>
      </c>
      <c r="AE405" s="20"/>
    </row>
    <row r="406" ht="14.25" customHeight="1">
      <c r="A406" s="17" t="s">
        <v>777</v>
      </c>
      <c r="B406" s="17" t="s">
        <v>558</v>
      </c>
      <c r="C406" s="18">
        <v>13.0</v>
      </c>
      <c r="D406" s="17" t="s">
        <v>98</v>
      </c>
      <c r="E406" s="17" t="s">
        <v>99</v>
      </c>
      <c r="F406" s="18">
        <v>27.0</v>
      </c>
      <c r="G406" s="18">
        <v>20.0</v>
      </c>
      <c r="H406" s="18">
        <v>7.0</v>
      </c>
      <c r="I406" s="19">
        <v>0.35</v>
      </c>
      <c r="J406" s="18">
        <v>50.0</v>
      </c>
      <c r="K406" s="18">
        <v>2.5</v>
      </c>
      <c r="L406" s="18">
        <v>0.0</v>
      </c>
      <c r="M406" s="18">
        <v>0.0</v>
      </c>
      <c r="N406" s="18">
        <v>4.0</v>
      </c>
      <c r="O406" s="18">
        <v>3.0</v>
      </c>
      <c r="P406" s="20">
        <f t="shared" si="1"/>
        <v>0.1243018519</v>
      </c>
      <c r="Q406" s="20">
        <f t="shared" si="2"/>
        <v>0.4579838271</v>
      </c>
      <c r="R406" s="24"/>
      <c r="S406" s="20">
        <v>0.12430185185185184</v>
      </c>
      <c r="T406" s="22">
        <v>-2.8</v>
      </c>
      <c r="U406" s="30"/>
      <c r="V406" s="30"/>
      <c r="W406" s="18">
        <v>1.0</v>
      </c>
      <c r="X406" s="22">
        <f t="shared" si="17"/>
        <v>-0.4022869861</v>
      </c>
      <c r="Y406" s="20">
        <f t="shared" si="4"/>
        <v>31.72608562</v>
      </c>
      <c r="Z406" s="20">
        <f t="shared" si="6"/>
        <v>31.26810179</v>
      </c>
      <c r="AA406" s="20"/>
      <c r="AB406" s="20">
        <f>IFERROR(__xludf.DUMMYFUNCTION("iferror(PERCENTRANK.INC(FILTER($X$2:$X$423, $U$2:$U$423&lt;3.75), $X406), 1)"),0.07)</f>
        <v>0.07</v>
      </c>
      <c r="AC406" s="20">
        <f>IFERROR(__xludf.DUMMYFUNCTION("iferror(PERCENTRANK.INC(FILTER($X$2:$X$423, $U$2:$U$423&lt;4.25), $X406), 1)"),0.068)</f>
        <v>0.068</v>
      </c>
      <c r="AD406" s="20">
        <f>IFERROR(__xludf.DUMMYFUNCTION("iferror(PERCENTRANK.INC(FILTER($X$2:$X$423, $U$2:$U$423&gt;=4.1), $X406), 0.01)"),0.01)</f>
        <v>0.01</v>
      </c>
      <c r="AE406" s="20"/>
    </row>
    <row r="407" ht="14.25" customHeight="1">
      <c r="A407" s="17" t="s">
        <v>778</v>
      </c>
      <c r="B407" s="17" t="s">
        <v>779</v>
      </c>
      <c r="C407" s="18">
        <v>8.0</v>
      </c>
      <c r="D407" s="17" t="s">
        <v>98</v>
      </c>
      <c r="E407" s="17" t="s">
        <v>138</v>
      </c>
      <c r="F407" s="18">
        <v>53.0</v>
      </c>
      <c r="G407" s="18">
        <v>48.0</v>
      </c>
      <c r="H407" s="18">
        <v>21.0</v>
      </c>
      <c r="I407" s="19">
        <v>0.438</v>
      </c>
      <c r="J407" s="18">
        <v>258.0</v>
      </c>
      <c r="K407" s="18">
        <v>5.4</v>
      </c>
      <c r="L407" s="18">
        <v>0.0</v>
      </c>
      <c r="M407" s="18">
        <v>4.0</v>
      </c>
      <c r="N407" s="18">
        <v>3.0</v>
      </c>
      <c r="O407" s="18">
        <v>2.0</v>
      </c>
      <c r="P407" s="20">
        <f t="shared" si="1"/>
        <v>0.07552889308</v>
      </c>
      <c r="Q407" s="20">
        <f t="shared" si="2"/>
        <v>0.4348556919</v>
      </c>
      <c r="R407" s="24"/>
      <c r="S407" s="20">
        <v>0.07552889308176111</v>
      </c>
      <c r="T407" s="22">
        <v>-1.57</v>
      </c>
      <c r="W407" s="25">
        <v>0.9</v>
      </c>
      <c r="X407" s="22">
        <f t="shared" si="17"/>
        <v>-0.2253035994</v>
      </c>
      <c r="Y407" s="20">
        <f t="shared" si="4"/>
        <v>33.91449637</v>
      </c>
      <c r="Z407" s="20">
        <f t="shared" si="6"/>
        <v>33.47964068</v>
      </c>
      <c r="AA407" s="20"/>
      <c r="AB407" s="20">
        <f>IFERROR(__xludf.DUMMYFUNCTION("iferror(PERCENTRANK.INC(FILTER($X$2:$X$423, $U$2:$U$423&lt;3.75), $X407), 1)"),0.098)</f>
        <v>0.098</v>
      </c>
      <c r="AC407" s="20">
        <f>IFERROR(__xludf.DUMMYFUNCTION("iferror(PERCENTRANK.INC(FILTER($X$2:$X$423, $U$2:$U$423&lt;4.25), $X407), 1)"),0.095)</f>
        <v>0.095</v>
      </c>
      <c r="AD407" s="20">
        <f>IFERROR(__xludf.DUMMYFUNCTION("iferror(PERCENTRANK.INC(FILTER($X$2:$X$423, $U$2:$U$423&gt;=4.1), $X407), 0.01)"),0.01)</f>
        <v>0.01</v>
      </c>
      <c r="AE407" s="20"/>
    </row>
    <row r="408" ht="14.25" customHeight="1">
      <c r="A408" s="17" t="s">
        <v>780</v>
      </c>
      <c r="B408" s="17" t="s">
        <v>680</v>
      </c>
      <c r="C408" s="18">
        <v>15.0</v>
      </c>
      <c r="D408" s="17" t="s">
        <v>98</v>
      </c>
      <c r="E408" s="17" t="s">
        <v>108</v>
      </c>
      <c r="F408" s="18">
        <v>133.0</v>
      </c>
      <c r="G408" s="18">
        <v>124.0</v>
      </c>
      <c r="H408" s="18">
        <v>63.0</v>
      </c>
      <c r="I408" s="19">
        <v>0.508</v>
      </c>
      <c r="J408" s="18">
        <v>671.0</v>
      </c>
      <c r="K408" s="18">
        <v>5.4</v>
      </c>
      <c r="L408" s="18">
        <v>2.0</v>
      </c>
      <c r="M408" s="18">
        <v>7.0</v>
      </c>
      <c r="N408" s="18">
        <v>4.0</v>
      </c>
      <c r="O408" s="18">
        <v>9.0</v>
      </c>
      <c r="P408" s="20">
        <f t="shared" si="1"/>
        <v>0.0482162959</v>
      </c>
      <c r="Q408" s="20">
        <f t="shared" si="2"/>
        <v>0.4219040594</v>
      </c>
      <c r="R408" s="24"/>
      <c r="S408" s="20">
        <v>0.04821629590104303</v>
      </c>
      <c r="T408" s="22">
        <v>-1.16</v>
      </c>
      <c r="U408" s="30"/>
      <c r="V408" s="30"/>
      <c r="W408" s="18">
        <v>1.0</v>
      </c>
      <c r="X408" s="22">
        <f t="shared" si="17"/>
        <v>-0.1671291778</v>
      </c>
      <c r="Y408" s="20">
        <f t="shared" si="4"/>
        <v>34.63382677</v>
      </c>
      <c r="Z408" s="20">
        <f t="shared" si="6"/>
        <v>34.21192271</v>
      </c>
      <c r="AA408" s="20"/>
      <c r="AB408" s="20">
        <f>IFERROR(__xludf.DUMMYFUNCTION("iferror(PERCENTRANK.INC(FILTER($X$2:$X$423, $U$2:$U$423&lt;3.75), $X408), 1)"),0.129)</f>
        <v>0.129</v>
      </c>
      <c r="AC408" s="20">
        <f>IFERROR(__xludf.DUMMYFUNCTION("iferror(PERCENTRANK.INC(FILTER($X$2:$X$423, $U$2:$U$423&lt;4.25), $X408), 1)"),0.125)</f>
        <v>0.125</v>
      </c>
      <c r="AD408" s="20">
        <f>IFERROR(__xludf.DUMMYFUNCTION("iferror(PERCENTRANK.INC(FILTER($X$2:$X$423, $U$2:$U$423&gt;=4.1), $X408), 0.01)"),0.01)</f>
        <v>0.01</v>
      </c>
      <c r="AE408" s="20"/>
    </row>
    <row r="409" ht="14.25" customHeight="1">
      <c r="A409" s="17" t="s">
        <v>781</v>
      </c>
      <c r="B409" s="17" t="s">
        <v>667</v>
      </c>
      <c r="C409" s="18">
        <v>13.0</v>
      </c>
      <c r="D409" s="17" t="s">
        <v>98</v>
      </c>
      <c r="E409" s="17" t="s">
        <v>210</v>
      </c>
      <c r="F409" s="18">
        <v>74.0</v>
      </c>
      <c r="G409" s="18">
        <v>65.0</v>
      </c>
      <c r="H409" s="18">
        <v>26.0</v>
      </c>
      <c r="I409" s="19">
        <v>0.4</v>
      </c>
      <c r="J409" s="18">
        <v>278.0</v>
      </c>
      <c r="K409" s="18">
        <v>4.3</v>
      </c>
      <c r="L409" s="18">
        <v>1.0</v>
      </c>
      <c r="M409" s="18">
        <v>4.0</v>
      </c>
      <c r="N409" s="18">
        <v>4.0</v>
      </c>
      <c r="O409" s="18">
        <v>6.0</v>
      </c>
      <c r="P409" s="20">
        <f t="shared" si="1"/>
        <v>0.0192997921</v>
      </c>
      <c r="Q409" s="20">
        <f t="shared" si="2"/>
        <v>0.4081918544</v>
      </c>
      <c r="R409" s="24"/>
      <c r="S409" s="20">
        <v>0.019299792099791945</v>
      </c>
      <c r="T409" s="22">
        <v>-1.28</v>
      </c>
      <c r="U409" s="30"/>
      <c r="V409" s="30"/>
      <c r="W409" s="18">
        <v>0.9</v>
      </c>
      <c r="X409" s="22">
        <f t="shared" si="17"/>
        <v>-0.1892497796</v>
      </c>
      <c r="Y409" s="20">
        <f t="shared" si="4"/>
        <v>34.36030413</v>
      </c>
      <c r="Z409" s="20">
        <f t="shared" si="6"/>
        <v>33.95211228</v>
      </c>
      <c r="AA409" s="20"/>
      <c r="AB409" s="20">
        <f>IFERROR(__xludf.DUMMYFUNCTION("iferror(PERCENTRANK.INC(FILTER($X$2:$X$423, $U$2:$U$423&lt;3.75), $X409), 1)"),0.121)</f>
        <v>0.121</v>
      </c>
      <c r="AC409" s="20">
        <f>IFERROR(__xludf.DUMMYFUNCTION("iferror(PERCENTRANK.INC(FILTER($X$2:$X$423, $U$2:$U$423&lt;4.25), $X409), 1)"),0.118)</f>
        <v>0.118</v>
      </c>
      <c r="AD409" s="20">
        <f>IFERROR(__xludf.DUMMYFUNCTION("iferror(PERCENTRANK.INC(FILTER($X$2:$X$423, $U$2:$U$423&gt;=4.1), $X409), 0.01)"),0.01)</f>
        <v>0.01</v>
      </c>
      <c r="AE409" s="20"/>
    </row>
    <row r="410" ht="14.25" customHeight="1">
      <c r="A410" s="17" t="s">
        <v>782</v>
      </c>
      <c r="B410" s="17" t="s">
        <v>517</v>
      </c>
      <c r="C410" s="18">
        <v>11.0</v>
      </c>
      <c r="D410" s="17" t="s">
        <v>98</v>
      </c>
      <c r="E410" s="17" t="s">
        <v>117</v>
      </c>
      <c r="F410" s="18">
        <v>111.0</v>
      </c>
      <c r="G410" s="18">
        <v>100.0</v>
      </c>
      <c r="H410" s="18">
        <v>46.0</v>
      </c>
      <c r="I410" s="19">
        <v>0.46</v>
      </c>
      <c r="J410" s="18">
        <v>433.0</v>
      </c>
      <c r="K410" s="18">
        <v>4.3</v>
      </c>
      <c r="L410" s="18">
        <v>1.0</v>
      </c>
      <c r="M410" s="18">
        <v>5.0</v>
      </c>
      <c r="N410" s="18">
        <v>5.0</v>
      </c>
      <c r="O410" s="18">
        <v>2.0</v>
      </c>
      <c r="P410" s="20">
        <f t="shared" si="1"/>
        <v>0.01057495495</v>
      </c>
      <c r="Q410" s="20">
        <f t="shared" si="2"/>
        <v>0.4040545369</v>
      </c>
      <c r="R410" s="24"/>
      <c r="S410" s="20">
        <v>0.010574954954954871</v>
      </c>
      <c r="T410" s="22">
        <v>-0.95</v>
      </c>
      <c r="W410" s="25">
        <v>0.95</v>
      </c>
      <c r="X410" s="22">
        <f t="shared" si="17"/>
        <v>-0.1410723811</v>
      </c>
      <c r="Y410" s="20">
        <f t="shared" si="4"/>
        <v>34.9560207</v>
      </c>
      <c r="Z410" s="20">
        <f t="shared" si="6"/>
        <v>34.55196617</v>
      </c>
      <c r="AA410" s="20"/>
      <c r="AB410" s="20">
        <f>IFERROR(__xludf.DUMMYFUNCTION("iferror(PERCENTRANK.INC(FILTER($X$2:$X$423, $U$2:$U$423&lt;3.75), $X410), 1)"),0.149)</f>
        <v>0.149</v>
      </c>
      <c r="AC410" s="20">
        <f>IFERROR(__xludf.DUMMYFUNCTION("iferror(PERCENTRANK.INC(FILTER($X$2:$X$423, $U$2:$U$423&lt;4.25), $X410), 1)"),0.145)</f>
        <v>0.145</v>
      </c>
      <c r="AD410" s="20">
        <f>IFERROR(__xludf.DUMMYFUNCTION("iferror(PERCENTRANK.INC(FILTER($X$2:$X$423, $U$2:$U$423&gt;=4.1), $X410), 0.01)"),0.01)</f>
        <v>0.01</v>
      </c>
      <c r="AE410" s="20"/>
    </row>
    <row r="411" ht="14.25" customHeight="1">
      <c r="A411" s="17" t="s">
        <v>783</v>
      </c>
      <c r="B411" s="17" t="s">
        <v>408</v>
      </c>
      <c r="C411" s="18">
        <v>10.0</v>
      </c>
      <c r="D411" s="17" t="s">
        <v>98</v>
      </c>
      <c r="E411" s="17" t="s">
        <v>147</v>
      </c>
      <c r="F411" s="18">
        <v>51.0</v>
      </c>
      <c r="G411" s="18">
        <v>44.0</v>
      </c>
      <c r="H411" s="18">
        <v>19.0</v>
      </c>
      <c r="I411" s="19">
        <v>0.432</v>
      </c>
      <c r="J411" s="18">
        <v>136.0</v>
      </c>
      <c r="K411" s="18">
        <v>3.1</v>
      </c>
      <c r="L411" s="18">
        <v>1.0</v>
      </c>
      <c r="M411" s="18">
        <v>3.0</v>
      </c>
      <c r="N411" s="18">
        <v>3.0</v>
      </c>
      <c r="O411" s="18">
        <v>5.0</v>
      </c>
      <c r="P411" s="20">
        <f t="shared" si="1"/>
        <v>-0.08390862032</v>
      </c>
      <c r="Q411" s="20">
        <f t="shared" si="2"/>
        <v>0.3592504291</v>
      </c>
      <c r="R411" s="24"/>
      <c r="S411" s="20">
        <v>-0.08390862032085568</v>
      </c>
      <c r="T411" s="22">
        <v>-2.01</v>
      </c>
      <c r="W411" s="25">
        <v>0.95</v>
      </c>
      <c r="X411" s="22">
        <f t="shared" si="17"/>
        <v>-0.3128276637</v>
      </c>
      <c r="Y411" s="20">
        <f t="shared" si="4"/>
        <v>32.83225579</v>
      </c>
      <c r="Z411" s="20">
        <f t="shared" si="6"/>
        <v>32.47300536</v>
      </c>
      <c r="AA411" s="20"/>
      <c r="AB411" s="20">
        <f>IFERROR(__xludf.DUMMYFUNCTION("iferror(PERCENTRANK.INC(FILTER($X$2:$X$423, $U$2:$U$423&lt;3.75), $X411), 1)"),0.085)</f>
        <v>0.085</v>
      </c>
      <c r="AC411" s="20">
        <f>IFERROR(__xludf.DUMMYFUNCTION("iferror(PERCENTRANK.INC(FILTER($X$2:$X$423, $U$2:$U$423&lt;4.25), $X411), 1)"),0.083)</f>
        <v>0.083</v>
      </c>
      <c r="AD411" s="20">
        <f>IFERROR(__xludf.DUMMYFUNCTION("iferror(PERCENTRANK.INC(FILTER($X$2:$X$423, $U$2:$U$423&gt;=4.1), $X411), 0.01)"),0.01)</f>
        <v>0.01</v>
      </c>
      <c r="AE411" s="20"/>
    </row>
    <row r="412" ht="14.25" customHeight="1">
      <c r="A412" s="17" t="s">
        <v>784</v>
      </c>
      <c r="B412" s="17" t="s">
        <v>757</v>
      </c>
      <c r="C412" s="18">
        <v>2.0</v>
      </c>
      <c r="D412" s="17" t="s">
        <v>98</v>
      </c>
      <c r="E412" s="17" t="s">
        <v>189</v>
      </c>
      <c r="F412" s="18">
        <v>132.0</v>
      </c>
      <c r="G412" s="18">
        <v>121.0</v>
      </c>
      <c r="H412" s="18">
        <v>60.0</v>
      </c>
      <c r="I412" s="19">
        <v>0.496</v>
      </c>
      <c r="J412" s="18">
        <v>693.0</v>
      </c>
      <c r="K412" s="18">
        <v>5.7</v>
      </c>
      <c r="L412" s="18">
        <v>4.0</v>
      </c>
      <c r="M412" s="18">
        <v>9.0</v>
      </c>
      <c r="N412" s="18">
        <v>6.0</v>
      </c>
      <c r="O412" s="18">
        <v>9.0</v>
      </c>
      <c r="P412" s="20">
        <f t="shared" si="1"/>
        <v>-0.06908667769</v>
      </c>
      <c r="Q412" s="20">
        <f t="shared" si="2"/>
        <v>0.3662789937</v>
      </c>
      <c r="R412" s="24"/>
      <c r="S412" s="20">
        <v>-0.06908667768595046</v>
      </c>
      <c r="T412" s="22">
        <v>-1.2</v>
      </c>
      <c r="U412" s="30"/>
      <c r="V412" s="30"/>
      <c r="W412" s="18">
        <v>0.9</v>
      </c>
      <c r="X412" s="22">
        <f t="shared" si="17"/>
        <v>-0.1898448516</v>
      </c>
      <c r="Y412" s="20">
        <f t="shared" si="4"/>
        <v>34.35294603</v>
      </c>
      <c r="Z412" s="20">
        <f t="shared" si="6"/>
        <v>33.98666703</v>
      </c>
      <c r="AA412" s="20"/>
      <c r="AB412" s="20">
        <f>IFERROR(__xludf.DUMMYFUNCTION("iferror(PERCENTRANK.INC(FILTER($X$2:$X$423, $U$2:$U$423&lt;3.75), $X412), 1)"),0.119)</f>
        <v>0.119</v>
      </c>
      <c r="AC412" s="20">
        <f>IFERROR(__xludf.DUMMYFUNCTION("iferror(PERCENTRANK.INC(FILTER($X$2:$X$423, $U$2:$U$423&lt;4.25), $X412), 1)"),0.115)</f>
        <v>0.115</v>
      </c>
      <c r="AD412" s="20">
        <f>IFERROR(__xludf.DUMMYFUNCTION("iferror(PERCENTRANK.INC(FILTER($X$2:$X$423, $U$2:$U$423&gt;=4.1), $X412), 0.01)"),0.01)</f>
        <v>0.01</v>
      </c>
      <c r="AE412" s="20"/>
    </row>
    <row r="413" ht="14.25" customHeight="1">
      <c r="A413" s="17" t="s">
        <v>785</v>
      </c>
      <c r="B413" s="17" t="s">
        <v>517</v>
      </c>
      <c r="C413" s="18">
        <v>4.0</v>
      </c>
      <c r="D413" s="17" t="s">
        <v>98</v>
      </c>
      <c r="E413" s="17" t="s">
        <v>117</v>
      </c>
      <c r="F413" s="18">
        <v>49.0</v>
      </c>
      <c r="G413" s="18">
        <v>45.0</v>
      </c>
      <c r="H413" s="18">
        <v>18.0</v>
      </c>
      <c r="I413" s="19">
        <v>0.4</v>
      </c>
      <c r="J413" s="18">
        <v>155.0</v>
      </c>
      <c r="K413" s="18">
        <v>3.4</v>
      </c>
      <c r="L413" s="18">
        <v>0.0</v>
      </c>
      <c r="M413" s="18">
        <v>3.0</v>
      </c>
      <c r="N413" s="18">
        <v>1.0</v>
      </c>
      <c r="O413" s="18">
        <v>3.0</v>
      </c>
      <c r="P413" s="20">
        <f t="shared" si="1"/>
        <v>-0.0709414966</v>
      </c>
      <c r="Q413" s="20">
        <f t="shared" si="2"/>
        <v>0.3653994387</v>
      </c>
      <c r="R413" s="24"/>
      <c r="S413" s="20">
        <v>-0.07094149659863945</v>
      </c>
      <c r="T413" s="22">
        <v>-1.4</v>
      </c>
      <c r="U413" s="30"/>
      <c r="V413" s="30"/>
      <c r="W413" s="18">
        <v>0.95</v>
      </c>
      <c r="X413" s="22">
        <f t="shared" si="17"/>
        <v>-0.219577102</v>
      </c>
      <c r="Y413" s="20">
        <f t="shared" si="4"/>
        <v>33.98530487</v>
      </c>
      <c r="Z413" s="20">
        <f t="shared" si="6"/>
        <v>33.61990543</v>
      </c>
      <c r="AA413" s="20"/>
      <c r="AB413" s="20">
        <f>IFERROR(__xludf.DUMMYFUNCTION("iferror(PERCENTRANK.INC(FILTER($X$2:$X$423, $U$2:$U$423&lt;3.75), $X413), 1)"),0.103)</f>
        <v>0.103</v>
      </c>
      <c r="AC413" s="20">
        <f>IFERROR(__xludf.DUMMYFUNCTION("iferror(PERCENTRANK.INC(FILTER($X$2:$X$423, $U$2:$U$423&lt;4.25), $X413), 1)"),0.1)</f>
        <v>0.1</v>
      </c>
      <c r="AD413" s="20">
        <f>IFERROR(__xludf.DUMMYFUNCTION("iferror(PERCENTRANK.INC(FILTER($X$2:$X$423, $U$2:$U$423&gt;=4.1), $X413), 0.01)"),0.01)</f>
        <v>0.01</v>
      </c>
      <c r="AE413" s="20"/>
    </row>
    <row r="414" ht="14.25" customHeight="1">
      <c r="A414" s="17" t="s">
        <v>786</v>
      </c>
      <c r="B414" s="17" t="s">
        <v>651</v>
      </c>
      <c r="C414" s="18">
        <v>2.0</v>
      </c>
      <c r="D414" s="17" t="s">
        <v>98</v>
      </c>
      <c r="E414" s="17" t="s">
        <v>147</v>
      </c>
      <c r="F414" s="18">
        <v>108.0</v>
      </c>
      <c r="G414" s="18">
        <v>98.0</v>
      </c>
      <c r="H414" s="18">
        <v>42.0</v>
      </c>
      <c r="I414" s="19">
        <v>0.429</v>
      </c>
      <c r="J414" s="18">
        <v>395.0</v>
      </c>
      <c r="K414" s="18">
        <v>4.0</v>
      </c>
      <c r="L414" s="18">
        <v>3.0</v>
      </c>
      <c r="M414" s="18">
        <v>6.0</v>
      </c>
      <c r="N414" s="18">
        <v>6.0</v>
      </c>
      <c r="O414" s="18">
        <v>7.0</v>
      </c>
      <c r="P414" s="20">
        <f t="shared" si="1"/>
        <v>-0.0736954127</v>
      </c>
      <c r="Q414" s="20">
        <f t="shared" si="2"/>
        <v>0.3640935317</v>
      </c>
      <c r="R414" s="24"/>
      <c r="S414" s="20">
        <v>-0.07369541269841282</v>
      </c>
      <c r="T414" s="22">
        <v>-1.11</v>
      </c>
      <c r="W414" s="25">
        <v>0.95</v>
      </c>
      <c r="X414" s="22">
        <f t="shared" si="17"/>
        <v>-0.1764488807</v>
      </c>
      <c r="Y414" s="20">
        <f t="shared" si="4"/>
        <v>34.51858805</v>
      </c>
      <c r="Z414" s="20">
        <f t="shared" si="6"/>
        <v>34.15449452</v>
      </c>
      <c r="AA414" s="20"/>
      <c r="AB414" s="20">
        <f>IFERROR(__xludf.DUMMYFUNCTION("iferror(PERCENTRANK.INC(FILTER($X$2:$X$423, $U$2:$U$423&lt;3.75), $X414), 1)"),0.126)</f>
        <v>0.126</v>
      </c>
      <c r="AC414" s="20">
        <f>IFERROR(__xludf.DUMMYFUNCTION("iferror(PERCENTRANK.INC(FILTER($X$2:$X$423, $U$2:$U$423&lt;4.25), $X414), 1)"),0.123)</f>
        <v>0.123</v>
      </c>
      <c r="AD414" s="20">
        <f>IFERROR(__xludf.DUMMYFUNCTION("iferror(PERCENTRANK.INC(FILTER($X$2:$X$423, $U$2:$U$423&gt;=4.1), $X414), 0.01)"),0.01)</f>
        <v>0.01</v>
      </c>
      <c r="AE414" s="20"/>
    </row>
    <row r="415" ht="14.25" customHeight="1">
      <c r="A415" s="17" t="s">
        <v>787</v>
      </c>
      <c r="B415" s="17" t="s">
        <v>489</v>
      </c>
      <c r="C415" s="18">
        <v>11.0</v>
      </c>
      <c r="D415" s="17" t="s">
        <v>98</v>
      </c>
      <c r="E415" s="17" t="s">
        <v>138</v>
      </c>
      <c r="F415" s="18">
        <v>161.0</v>
      </c>
      <c r="G415" s="18">
        <v>156.0</v>
      </c>
      <c r="H415" s="18">
        <v>76.0</v>
      </c>
      <c r="I415" s="19">
        <v>0.487</v>
      </c>
      <c r="J415" s="18">
        <v>891.0</v>
      </c>
      <c r="K415" s="18">
        <v>5.7</v>
      </c>
      <c r="L415" s="18">
        <v>4.0</v>
      </c>
      <c r="M415" s="18">
        <v>10.0</v>
      </c>
      <c r="N415" s="18">
        <v>2.0</v>
      </c>
      <c r="O415" s="18">
        <v>11.0</v>
      </c>
      <c r="P415" s="20">
        <f t="shared" si="1"/>
        <v>-0.07462361666</v>
      </c>
      <c r="Q415" s="20">
        <f t="shared" si="2"/>
        <v>0.3636533775</v>
      </c>
      <c r="R415" s="24"/>
      <c r="S415" s="20">
        <v>-0.07462361665870372</v>
      </c>
      <c r="T415" s="22">
        <v>-3.34</v>
      </c>
      <c r="W415" s="25">
        <v>0.9</v>
      </c>
      <c r="X415" s="22">
        <f t="shared" si="17"/>
        <v>-0.5110741882</v>
      </c>
      <c r="Y415" s="20">
        <f t="shared" si="4"/>
        <v>30.380925</v>
      </c>
      <c r="Z415" s="20">
        <f t="shared" si="6"/>
        <v>30.01727162</v>
      </c>
      <c r="AA415" s="20"/>
      <c r="AB415" s="20">
        <f>IFERROR(__xludf.DUMMYFUNCTION("iferror(PERCENTRANK.INC(FILTER($X$2:$X$423, $U$2:$U$423&lt;3.75), $X415), 1)"),0.052)</f>
        <v>0.052</v>
      </c>
      <c r="AC415" s="20">
        <f>IFERROR(__xludf.DUMMYFUNCTION("iferror(PERCENTRANK.INC(FILTER($X$2:$X$423, $U$2:$U$423&lt;4.25), $X415), 1)"),0.05)</f>
        <v>0.05</v>
      </c>
      <c r="AD415" s="20">
        <f>IFERROR(__xludf.DUMMYFUNCTION("iferror(PERCENTRANK.INC(FILTER($X$2:$X$423, $U$2:$U$423&gt;=4.1), $X415), 0.01)"),0.01)</f>
        <v>0.01</v>
      </c>
      <c r="AE415" s="20"/>
    </row>
    <row r="416" ht="14.25" customHeight="1">
      <c r="A416" s="17" t="s">
        <v>788</v>
      </c>
      <c r="B416" s="17" t="s">
        <v>487</v>
      </c>
      <c r="C416" s="18">
        <v>14.0</v>
      </c>
      <c r="D416" s="17" t="s">
        <v>98</v>
      </c>
      <c r="E416" s="17" t="s">
        <v>102</v>
      </c>
      <c r="F416" s="18">
        <v>80.0</v>
      </c>
      <c r="G416" s="18">
        <v>70.0</v>
      </c>
      <c r="H416" s="18">
        <v>33.0</v>
      </c>
      <c r="I416" s="19">
        <v>0.471</v>
      </c>
      <c r="J416" s="18">
        <v>384.0</v>
      </c>
      <c r="K416" s="18">
        <v>5.5</v>
      </c>
      <c r="L416" s="18">
        <v>3.0</v>
      </c>
      <c r="M416" s="18">
        <v>7.0</v>
      </c>
      <c r="N416" s="18">
        <v>3.0</v>
      </c>
      <c r="O416" s="18">
        <v>8.0</v>
      </c>
      <c r="P416" s="20">
        <f t="shared" si="1"/>
        <v>-0.08843157143</v>
      </c>
      <c r="Q416" s="20">
        <f t="shared" si="2"/>
        <v>0.3571056458</v>
      </c>
      <c r="R416" s="24"/>
      <c r="S416" s="20">
        <v>-0.08843157142857141</v>
      </c>
      <c r="T416" s="22">
        <v>-0.32</v>
      </c>
      <c r="W416" s="25">
        <v>0.9</v>
      </c>
      <c r="X416" s="22">
        <f t="shared" si="17"/>
        <v>-0.06060149893</v>
      </c>
      <c r="Y416" s="20">
        <f t="shared" si="4"/>
        <v>35.95104824</v>
      </c>
      <c r="Z416" s="20">
        <f t="shared" si="6"/>
        <v>35.5939426</v>
      </c>
      <c r="AA416" s="20"/>
      <c r="AB416" s="20">
        <f>IFERROR(__xludf.DUMMYFUNCTION("iferror(PERCENTRANK.INC(FILTER($X$2:$X$423, $U$2:$U$423&lt;3.75), $X416), 1)"),0.209)</f>
        <v>0.209</v>
      </c>
      <c r="AC416" s="20">
        <f>IFERROR(__xludf.DUMMYFUNCTION("iferror(PERCENTRANK.INC(FILTER($X$2:$X$423, $U$2:$U$423&lt;4.25), $X416), 1)"),0.203)</f>
        <v>0.203</v>
      </c>
      <c r="AD416" s="20">
        <f>IFERROR(__xludf.DUMMYFUNCTION("iferror(PERCENTRANK.INC(FILTER($X$2:$X$423, $U$2:$U$423&gt;=4.1), $X416), 0.01)"),0.01)</f>
        <v>0.01</v>
      </c>
      <c r="AE416" s="20"/>
    </row>
    <row r="417" ht="14.25" customHeight="1">
      <c r="A417" s="17" t="s">
        <v>789</v>
      </c>
      <c r="B417" s="17" t="s">
        <v>305</v>
      </c>
      <c r="C417" s="18">
        <v>7.0</v>
      </c>
      <c r="D417" s="17" t="s">
        <v>98</v>
      </c>
      <c r="E417" s="17" t="s">
        <v>132</v>
      </c>
      <c r="F417" s="18">
        <v>41.0</v>
      </c>
      <c r="G417" s="18">
        <v>36.0</v>
      </c>
      <c r="H417" s="18">
        <v>12.0</v>
      </c>
      <c r="I417" s="19">
        <v>0.333</v>
      </c>
      <c r="J417" s="18">
        <v>116.0</v>
      </c>
      <c r="K417" s="18">
        <v>3.2</v>
      </c>
      <c r="L417" s="18">
        <v>0.0</v>
      </c>
      <c r="M417" s="18">
        <v>4.0</v>
      </c>
      <c r="N417" s="18">
        <v>0.0</v>
      </c>
      <c r="O417" s="18">
        <v>4.0</v>
      </c>
      <c r="P417" s="20">
        <f t="shared" si="1"/>
        <v>-0.3457578889</v>
      </c>
      <c r="Q417" s="20">
        <f t="shared" si="2"/>
        <v>0.2350815158</v>
      </c>
      <c r="R417" s="24"/>
      <c r="S417" s="20">
        <v>-0.3457578888888888</v>
      </c>
      <c r="T417" s="28">
        <v>-10.0</v>
      </c>
      <c r="U417" s="30"/>
      <c r="V417" s="30"/>
      <c r="W417" s="18">
        <v>0.95</v>
      </c>
      <c r="X417" s="22">
        <f t="shared" ref="X417:X422" si="18">IFERROR((U417*0.7+T417*0.15+S417*0.15*W423),0)</f>
        <v>-1.546677315</v>
      </c>
      <c r="Y417" s="20">
        <f t="shared" si="4"/>
        <v>17.57562695</v>
      </c>
      <c r="Z417" s="20">
        <f t="shared" si="6"/>
        <v>17.34054543</v>
      </c>
      <c r="AA417" s="20"/>
      <c r="AB417" s="20">
        <f>IFERROR(__xludf.DUMMYFUNCTION("iferror(PERCENTRANK.INC(FILTER($X$2:$X$423, $U$2:$U$423&lt;3.75), $X417), 1)"),0.008)</f>
        <v>0.008</v>
      </c>
      <c r="AC417" s="20">
        <f>IFERROR(__xludf.DUMMYFUNCTION("iferror(PERCENTRANK.INC(FILTER($X$2:$X$423, $U$2:$U$423&lt;4.25), $X417), 1)"),0.008)</f>
        <v>0.008</v>
      </c>
      <c r="AD417" s="20">
        <f>IFERROR(__xludf.DUMMYFUNCTION("iferror(PERCENTRANK.INC(FILTER($X$2:$X$423, $U$2:$U$423&gt;=4.1), $X417), 0.01)"),0.01)</f>
        <v>0.01</v>
      </c>
      <c r="AE417" s="20"/>
    </row>
    <row r="418" ht="14.25" customHeight="1">
      <c r="A418" s="17" t="s">
        <v>790</v>
      </c>
      <c r="B418" s="17" t="s">
        <v>491</v>
      </c>
      <c r="C418" s="18">
        <v>6.0</v>
      </c>
      <c r="D418" s="17" t="s">
        <v>98</v>
      </c>
      <c r="E418" s="17" t="s">
        <v>105</v>
      </c>
      <c r="F418" s="18">
        <v>100.0</v>
      </c>
      <c r="G418" s="18">
        <v>94.0</v>
      </c>
      <c r="H418" s="18">
        <v>48.0</v>
      </c>
      <c r="I418" s="19">
        <v>0.511</v>
      </c>
      <c r="J418" s="18">
        <v>420.0</v>
      </c>
      <c r="K418" s="18">
        <v>4.5</v>
      </c>
      <c r="L418" s="18">
        <v>1.0</v>
      </c>
      <c r="M418" s="18">
        <v>7.0</v>
      </c>
      <c r="N418" s="18">
        <v>5.0</v>
      </c>
      <c r="O418" s="18">
        <v>2.0</v>
      </c>
      <c r="P418" s="20">
        <f t="shared" si="1"/>
        <v>-0.3774442766</v>
      </c>
      <c r="Q418" s="20">
        <f t="shared" si="2"/>
        <v>0.2200558319</v>
      </c>
      <c r="R418" s="24"/>
      <c r="S418" s="20">
        <v>-0.37744427659574475</v>
      </c>
      <c r="T418" s="22">
        <v>-0.82</v>
      </c>
      <c r="W418" s="25">
        <v>0.9</v>
      </c>
      <c r="X418" s="22">
        <f t="shared" si="18"/>
        <v>-0.123</v>
      </c>
      <c r="Y418" s="20">
        <f t="shared" si="4"/>
        <v>35.17948684</v>
      </c>
      <c r="Z418" s="20">
        <f t="shared" si="6"/>
        <v>34.95943101</v>
      </c>
      <c r="AA418" s="20"/>
      <c r="AB418" s="20">
        <f>IFERROR(__xludf.DUMMYFUNCTION("iferror(PERCENTRANK.INC(FILTER($X$2:$X$423, $U$2:$U$423&lt;3.75), $X418), 1)"),0.162)</f>
        <v>0.162</v>
      </c>
      <c r="AC418" s="20">
        <f>IFERROR(__xludf.DUMMYFUNCTION("iferror(PERCENTRANK.INC(FILTER($X$2:$X$423, $U$2:$U$423&lt;4.25), $X418), 1)"),0.158)</f>
        <v>0.158</v>
      </c>
      <c r="AD418" s="20">
        <f>IFERROR(__xludf.DUMMYFUNCTION("iferror(PERCENTRANK.INC(FILTER($X$2:$X$423, $U$2:$U$423&gt;=4.1), $X418), 0.01)"),0.01)</f>
        <v>0.01</v>
      </c>
      <c r="AE418" s="20"/>
    </row>
    <row r="419" ht="14.25" customHeight="1">
      <c r="A419" s="17" t="s">
        <v>791</v>
      </c>
      <c r="B419" s="17" t="s">
        <v>646</v>
      </c>
      <c r="C419" s="18">
        <v>7.0</v>
      </c>
      <c r="D419" s="17" t="s">
        <v>98</v>
      </c>
      <c r="E419" s="17" t="s">
        <v>210</v>
      </c>
      <c r="F419" s="18">
        <v>159.0</v>
      </c>
      <c r="G419" s="18">
        <v>121.0</v>
      </c>
      <c r="H419" s="18">
        <v>70.0</v>
      </c>
      <c r="I419" s="19">
        <v>0.579</v>
      </c>
      <c r="J419" s="18">
        <v>505.0</v>
      </c>
      <c r="K419" s="18">
        <v>4.2</v>
      </c>
      <c r="L419" s="18">
        <v>2.0</v>
      </c>
      <c r="M419" s="18">
        <v>9.0</v>
      </c>
      <c r="N419" s="18">
        <v>20.0</v>
      </c>
      <c r="O419" s="18">
        <v>8.0</v>
      </c>
      <c r="P419" s="20">
        <f t="shared" si="1"/>
        <v>-0.7426257255</v>
      </c>
      <c r="Q419" s="20">
        <f t="shared" si="2"/>
        <v>0.04688680255</v>
      </c>
      <c r="R419" s="24"/>
      <c r="S419" s="20">
        <v>-0.7426257255054837</v>
      </c>
      <c r="T419" s="22">
        <v>-1.01</v>
      </c>
      <c r="W419" s="25">
        <v>0.9</v>
      </c>
      <c r="X419" s="22">
        <f t="shared" si="18"/>
        <v>-0.1515</v>
      </c>
      <c r="Y419" s="20">
        <f t="shared" si="4"/>
        <v>34.82708254</v>
      </c>
      <c r="Z419" s="20">
        <f t="shared" si="6"/>
        <v>34.78019574</v>
      </c>
      <c r="AA419" s="20"/>
      <c r="AB419" s="20">
        <f>IFERROR(__xludf.DUMMYFUNCTION("iferror(PERCENTRANK.INC(FILTER($X$2:$X$423, $U$2:$U$423&lt;3.75), $X419), 1)"),0.147)</f>
        <v>0.147</v>
      </c>
      <c r="AC419" s="20">
        <f>IFERROR(__xludf.DUMMYFUNCTION("iferror(PERCENTRANK.INC(FILTER($X$2:$X$423, $U$2:$U$423&lt;4.25), $X419), 1)"),0.143)</f>
        <v>0.143</v>
      </c>
      <c r="AD419" s="20">
        <f>IFERROR(__xludf.DUMMYFUNCTION("iferror(PERCENTRANK.INC(FILTER($X$2:$X$423, $U$2:$U$423&gt;=4.1), $X419), 0.01)"),0.01)</f>
        <v>0.01</v>
      </c>
      <c r="AE419" s="20"/>
    </row>
    <row r="420" ht="14.25" customHeight="1">
      <c r="A420" s="17" t="s">
        <v>792</v>
      </c>
      <c r="B420" s="17" t="s">
        <v>655</v>
      </c>
      <c r="C420" s="18">
        <v>9.0</v>
      </c>
      <c r="D420" s="17" t="s">
        <v>98</v>
      </c>
      <c r="E420" s="17" t="s">
        <v>189</v>
      </c>
      <c r="F420" s="18">
        <v>301.0</v>
      </c>
      <c r="G420" s="18">
        <v>275.0</v>
      </c>
      <c r="H420" s="18">
        <v>149.0</v>
      </c>
      <c r="I420" s="19">
        <v>0.542</v>
      </c>
      <c r="J420" s="18">
        <v>1654.0</v>
      </c>
      <c r="K420" s="18">
        <v>6.0</v>
      </c>
      <c r="L420" s="18">
        <v>4.0</v>
      </c>
      <c r="M420" s="18">
        <v>17.0</v>
      </c>
      <c r="N420" s="18">
        <v>10.0</v>
      </c>
      <c r="O420" s="18">
        <v>19.0</v>
      </c>
      <c r="P420" s="20">
        <f t="shared" si="1"/>
        <v>-0.8415013186</v>
      </c>
      <c r="Q420" s="20">
        <f t="shared" si="2"/>
        <v>0</v>
      </c>
      <c r="R420" s="24"/>
      <c r="S420" s="20">
        <v>-0.8415013186348539</v>
      </c>
      <c r="T420" s="22">
        <v>-1.3</v>
      </c>
      <c r="W420" s="25">
        <v>0.9</v>
      </c>
      <c r="X420" s="22">
        <f t="shared" si="18"/>
        <v>-0.195</v>
      </c>
      <c r="Y420" s="20">
        <f t="shared" si="4"/>
        <v>34.28920229</v>
      </c>
      <c r="Z420" s="20">
        <f t="shared" si="6"/>
        <v>34.28920229</v>
      </c>
      <c r="AA420" s="20"/>
      <c r="AB420" s="20">
        <f>IFERROR(__xludf.DUMMYFUNCTION("iferror(PERCENTRANK.INC(FILTER($X$2:$X$423, $U$2:$U$423&lt;3.75), $X420), 1)"),0.116)</f>
        <v>0.116</v>
      </c>
      <c r="AC420" s="20">
        <f>IFERROR(__xludf.DUMMYFUNCTION("iferror(PERCENTRANK.INC(FILTER($X$2:$X$423, $U$2:$U$423&lt;4.25), $X420), 1)"),0.113)</f>
        <v>0.113</v>
      </c>
      <c r="AD420" s="20">
        <f>IFERROR(__xludf.DUMMYFUNCTION("iferror(PERCENTRANK.INC(FILTER($X$2:$X$423, $U$2:$U$423&gt;=4.1), $X420), 0.01)"),0.01)</f>
        <v>0.01</v>
      </c>
      <c r="AE420" s="20"/>
    </row>
    <row r="421" ht="14.25" customHeight="1">
      <c r="A421" s="17" t="s">
        <v>793</v>
      </c>
      <c r="B421" s="17" t="s">
        <v>481</v>
      </c>
      <c r="C421" s="18">
        <v>5.0</v>
      </c>
      <c r="D421" s="17" t="s">
        <v>98</v>
      </c>
      <c r="E421" s="17" t="s">
        <v>158</v>
      </c>
      <c r="F421" s="18">
        <v>28.0</v>
      </c>
      <c r="G421" s="18">
        <v>24.0</v>
      </c>
      <c r="H421" s="18">
        <v>13.0</v>
      </c>
      <c r="I421" s="19">
        <v>0.542</v>
      </c>
      <c r="J421" s="18">
        <v>152.0</v>
      </c>
      <c r="K421" s="18">
        <v>6.3</v>
      </c>
      <c r="L421" s="18">
        <v>1.0</v>
      </c>
      <c r="M421" s="18">
        <v>0.0</v>
      </c>
      <c r="N421" s="18">
        <v>0.0</v>
      </c>
      <c r="O421" s="18">
        <v>1.0</v>
      </c>
      <c r="P421" s="20">
        <f t="shared" si="1"/>
        <v>1.094060667</v>
      </c>
      <c r="Q421" s="20">
        <f t="shared" si="2"/>
        <v>0.9178434207</v>
      </c>
      <c r="R421" s="24"/>
      <c r="S421" s="20">
        <v>1.0940606666666668</v>
      </c>
      <c r="T421" s="22">
        <v>-0.49</v>
      </c>
      <c r="U421" s="16">
        <v>3.78</v>
      </c>
      <c r="V421" s="16">
        <v>2.24</v>
      </c>
      <c r="W421" s="25">
        <v>0.95</v>
      </c>
      <c r="X421" s="22">
        <f t="shared" si="18"/>
        <v>2.5725</v>
      </c>
      <c r="Y421" s="20">
        <f t="shared" si="4"/>
        <v>68.50951453</v>
      </c>
      <c r="Z421" s="20">
        <f t="shared" si="6"/>
        <v>67.59167111</v>
      </c>
      <c r="AA421" s="20"/>
      <c r="AB421" s="20">
        <f>IFERROR(__xludf.DUMMYFUNCTION("iferror(PERCENTRANK.INC(FILTER($X$2:$X$423, $U$2:$U$423&lt;3.75), $X421), 1)"),0.985)</f>
        <v>0.985</v>
      </c>
      <c r="AC421" s="20">
        <f>IFERROR(__xludf.DUMMYFUNCTION("iferror(PERCENTRANK.INC(FILTER($X$2:$X$423, $U$2:$U$423&lt;4.25), $X421), 1)"),0.958)</f>
        <v>0.958</v>
      </c>
      <c r="AD421" s="20">
        <f>IFERROR(__xludf.DUMMYFUNCTION("iferror(PERCENTRANK.INC(FILTER($X$2:$X$423, $U$2:$U$423&gt;=4.1), $X421), 0.01)"),0.08)</f>
        <v>0.08</v>
      </c>
      <c r="AE421" s="20"/>
    </row>
    <row r="422" ht="14.25" customHeight="1">
      <c r="A422" s="23" t="s">
        <v>794</v>
      </c>
      <c r="B422" s="23" t="s">
        <v>779</v>
      </c>
      <c r="C422" s="32">
        <v>12.0</v>
      </c>
      <c r="D422" s="23" t="s">
        <v>98</v>
      </c>
      <c r="E422" s="23" t="s">
        <v>138</v>
      </c>
      <c r="F422" s="32">
        <v>407.0</v>
      </c>
      <c r="G422" s="32">
        <v>352.0</v>
      </c>
      <c r="H422" s="32">
        <v>223.0</v>
      </c>
      <c r="I422" s="19">
        <v>0.633</v>
      </c>
      <c r="J422" s="32">
        <v>2600.0</v>
      </c>
      <c r="K422" s="35">
        <v>7.4</v>
      </c>
      <c r="L422" s="32">
        <v>18.0</v>
      </c>
      <c r="M422" s="32">
        <v>5.0</v>
      </c>
      <c r="N422" s="32">
        <v>25.0</v>
      </c>
      <c r="O422" s="32">
        <v>8.0</v>
      </c>
      <c r="P422" s="36">
        <v>210.04</v>
      </c>
      <c r="Q422" s="20">
        <f t="shared" si="2"/>
        <v>100</v>
      </c>
      <c r="R422" s="37">
        <v>133.1</v>
      </c>
      <c r="S422" s="38">
        <v>210.04</v>
      </c>
      <c r="T422" s="28">
        <v>0.0</v>
      </c>
      <c r="U422" s="16">
        <v>4.02</v>
      </c>
      <c r="V422" s="16">
        <v>-2.9</v>
      </c>
      <c r="W422" s="25">
        <v>0.9</v>
      </c>
      <c r="X422" s="22">
        <f t="shared" si="18"/>
        <v>2.814</v>
      </c>
      <c r="Y422" s="20">
        <f t="shared" si="4"/>
        <v>71.49567728</v>
      </c>
      <c r="Z422" s="20">
        <f t="shared" si="6"/>
        <v>-28.50432272</v>
      </c>
      <c r="AA422" s="20"/>
      <c r="AB422" s="20">
        <f>IFERROR(__xludf.DUMMYFUNCTION("iferror(PERCENTRANK.INC(FILTER($X$2:$X$423, $U$2:$U$423&lt;3.75), $X422), 1)"),0.986)</f>
        <v>0.986</v>
      </c>
      <c r="AC422" s="20">
        <f>IFERROR(__xludf.DUMMYFUNCTION("iferror(PERCENTRANK.INC(FILTER($X$2:$X$423, $U$2:$U$423&lt;4.25), $X422), 1)"),0.963)</f>
        <v>0.963</v>
      </c>
      <c r="AD422" s="20">
        <f>IFERROR(__xludf.DUMMYFUNCTION("iferror(PERCENTRANK.INC(FILTER($X$2:$X$423, $U$2:$U$423&gt;=4.1), $X422), 0.01)"),0.111)</f>
        <v>0.111</v>
      </c>
      <c r="AE422" s="20"/>
    </row>
    <row r="423" ht="14.25" customHeight="1">
      <c r="A423" s="17" t="s">
        <v>795</v>
      </c>
      <c r="B423" s="17" t="s">
        <v>595</v>
      </c>
      <c r="C423" s="18">
        <v>0.0</v>
      </c>
      <c r="D423" s="17" t="s">
        <v>98</v>
      </c>
      <c r="E423" s="17" t="s">
        <v>243</v>
      </c>
      <c r="F423" s="18">
        <v>255.0</v>
      </c>
      <c r="G423" s="18">
        <v>177.0</v>
      </c>
      <c r="H423" s="18">
        <v>92.0</v>
      </c>
      <c r="I423" s="19">
        <v>0.52</v>
      </c>
      <c r="J423" s="18">
        <v>1100.0</v>
      </c>
      <c r="K423" s="18">
        <v>6.2</v>
      </c>
      <c r="L423" s="18">
        <v>9.0</v>
      </c>
      <c r="M423" s="18">
        <v>8.0</v>
      </c>
      <c r="N423" s="18">
        <v>23.0</v>
      </c>
      <c r="O423" s="18">
        <v>16.0</v>
      </c>
      <c r="P423" s="20">
        <f>IFERROR((I423*0.35+K423*7+L423*6+J423/25-M423*10-(N423/F423)*50-(O423/G423)*40)/50,0)</f>
        <v>1.069127537</v>
      </c>
      <c r="Q423" s="20">
        <f t="shared" si="2"/>
        <v>0.9060201317</v>
      </c>
      <c r="R423" s="24"/>
      <c r="S423" s="20">
        <v>1.0691275373878364</v>
      </c>
      <c r="T423" s="22">
        <v>-3.23</v>
      </c>
      <c r="U423" s="16">
        <v>4.37</v>
      </c>
      <c r="V423" s="16">
        <v>-3.67</v>
      </c>
      <c r="W423" s="25">
        <v>0.9</v>
      </c>
      <c r="X423" s="22">
        <f>IFERROR((U423*0.7+T423*0.15+S423*0.15*W428),0)</f>
        <v>2.5745</v>
      </c>
      <c r="Y423" s="20">
        <f t="shared" si="4"/>
        <v>68.53424466</v>
      </c>
      <c r="Z423" s="20">
        <f t="shared" si="6"/>
        <v>67.62822453</v>
      </c>
      <c r="AA423" s="20"/>
      <c r="AB423" s="20">
        <f>IFERROR(__xludf.DUMMYFUNCTION("iferror(PERCENTRANK.INC(FILTER($X$2:$X$423, $U$2:$U$423&lt;3.75), $X423), 1)"),0.985)</f>
        <v>0.985</v>
      </c>
      <c r="AC423" s="20">
        <f>IFERROR(__xludf.DUMMYFUNCTION("iferror(PERCENTRANK.INC(FILTER($X$2:$X$423, $U$2:$U$423&lt;4.25), $X423), 1)"),0.958)</f>
        <v>0.958</v>
      </c>
      <c r="AD423" s="20">
        <f>IFERROR(__xludf.DUMMYFUNCTION("iferror(PERCENTRANK.INC(FILTER($X$2:$X$423, $U$2:$U$423&gt;=4.1), $X423), 0.01)"),0.08)</f>
        <v>0.08</v>
      </c>
      <c r="AE423" s="20"/>
    </row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>
      <c r="AC971" s="20"/>
    </row>
  </sheetData>
  <autoFilter ref="$A$1:$AD$423">
    <sortState ref="A1:AD423">
      <sortCondition descending="1" ref="AD1:AD423"/>
      <sortCondition descending="1" ref="Y1:Y423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3.88"/>
    <col customWidth="1" min="3" max="26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77</v>
      </c>
      <c r="G1" s="14" t="s">
        <v>796</v>
      </c>
      <c r="H1" s="14" t="s">
        <v>797</v>
      </c>
      <c r="I1" s="14" t="s">
        <v>798</v>
      </c>
      <c r="J1" s="14" t="s">
        <v>86</v>
      </c>
      <c r="K1" s="14" t="s">
        <v>799</v>
      </c>
      <c r="L1" s="15"/>
      <c r="M1" s="14" t="s">
        <v>86</v>
      </c>
      <c r="N1" s="14" t="s">
        <v>88</v>
      </c>
      <c r="O1" s="14" t="s">
        <v>89</v>
      </c>
      <c r="P1" s="14" t="s">
        <v>800</v>
      </c>
      <c r="Q1" s="14" t="s">
        <v>801</v>
      </c>
      <c r="R1" s="14" t="s">
        <v>799</v>
      </c>
      <c r="T1" s="16" t="s">
        <v>94</v>
      </c>
      <c r="U1" s="16" t="s">
        <v>95</v>
      </c>
      <c r="V1" s="16" t="s">
        <v>96</v>
      </c>
    </row>
    <row r="2" ht="14.25" customHeight="1">
      <c r="A2" s="14" t="s">
        <v>802</v>
      </c>
      <c r="B2" s="14" t="s">
        <v>612</v>
      </c>
      <c r="C2" s="14">
        <v>24.0</v>
      </c>
      <c r="D2" s="14" t="s">
        <v>803</v>
      </c>
      <c r="E2" s="14" t="s">
        <v>114</v>
      </c>
      <c r="F2" s="14">
        <v>161.0</v>
      </c>
      <c r="G2" s="14">
        <v>878.0</v>
      </c>
      <c r="H2" s="14">
        <v>5.5</v>
      </c>
      <c r="I2" s="14">
        <v>10.0</v>
      </c>
      <c r="J2" s="20">
        <v>4.802</v>
      </c>
      <c r="K2" s="20">
        <f t="shared" ref="K2:K143" si="1">100*(J2-MIN($J$2:$J$143))/(MAX($J$2:$J$143) - MIN($J$2:$J$143))</f>
        <v>48.32881662</v>
      </c>
      <c r="L2" s="15"/>
      <c r="M2" s="20">
        <v>4.802</v>
      </c>
      <c r="N2" s="14">
        <v>8.9</v>
      </c>
      <c r="O2" s="20">
        <v>5.34</v>
      </c>
      <c r="P2" s="14">
        <v>0.9</v>
      </c>
      <c r="Q2" s="20">
        <f t="shared" ref="Q2:Q71" si="2">IFERROR(M2*P2*0.05+N2*0.05+O2*0.9,0)</f>
        <v>5.46709</v>
      </c>
      <c r="R2" s="20">
        <f t="shared" ref="R2:R143" si="3">100*(Q2-MIN($Q$2:$Q$143))/(MAX($Q$2:$Q$143) - MIN($Q$2:$Q$143))</f>
        <v>100</v>
      </c>
      <c r="T2" s="20">
        <f>IFERROR(__xludf.DUMMYFUNCTION("iferror(PERCENTRANK.INC(FILTER($Q$2:$Q$428, $O$2:$O$428&lt;3.75), $Q2), 1)"),1.0)</f>
        <v>1</v>
      </c>
      <c r="U2" s="20">
        <f>IFERROR(__xludf.DUMMYFUNCTION("iferror(PERCENTRANK.INC(FILTER($Q$2:$Q$428, $O$2:$O$428&lt;4.25), $Q2), 1)"),1.0)</f>
        <v>1</v>
      </c>
      <c r="V2" s="20">
        <f>IFERROR(__xludf.DUMMYFUNCTION("iferror(PERCENTRANK.INC(FILTER($Q$2:$Q$428, $O$2:$O$428&gt;=4.1), $Q2), 0.01)"),1.0)</f>
        <v>1</v>
      </c>
    </row>
    <row r="3" ht="14.25" customHeight="1">
      <c r="A3" s="14" t="s">
        <v>804</v>
      </c>
      <c r="B3" s="14" t="s">
        <v>604</v>
      </c>
      <c r="C3" s="14">
        <v>2.0</v>
      </c>
      <c r="D3" s="14" t="s">
        <v>803</v>
      </c>
      <c r="E3" s="14" t="s">
        <v>132</v>
      </c>
      <c r="F3" s="14">
        <v>99.0</v>
      </c>
      <c r="G3" s="14">
        <v>623.0</v>
      </c>
      <c r="H3" s="14">
        <v>6.3</v>
      </c>
      <c r="I3" s="14">
        <v>6.0</v>
      </c>
      <c r="J3" s="20">
        <v>3.568</v>
      </c>
      <c r="K3" s="20">
        <f t="shared" si="1"/>
        <v>29.75007528</v>
      </c>
      <c r="L3" s="15"/>
      <c r="M3" s="20">
        <v>3.568</v>
      </c>
      <c r="N3" s="14">
        <v>1.05</v>
      </c>
      <c r="O3" s="20">
        <v>5.66</v>
      </c>
      <c r="P3" s="14">
        <v>0.95</v>
      </c>
      <c r="Q3" s="20">
        <f t="shared" si="2"/>
        <v>5.31598</v>
      </c>
      <c r="R3" s="20">
        <f t="shared" si="3"/>
        <v>97.23600672</v>
      </c>
      <c r="T3" s="20">
        <f>IFERROR(__xludf.DUMMYFUNCTION("iferror(PERCENTRANK.INC(FILTER($Q$2:$Q$428, $O$2:$O$428&lt;3.75), $Q3), 1)"),1.0)</f>
        <v>1</v>
      </c>
      <c r="U3" s="20">
        <f>IFERROR(__xludf.DUMMYFUNCTION("iferror(PERCENTRANK.INC(FILTER($Q$2:$Q$428, $O$2:$O$428&lt;4.25), $Q3), 1)"),1.0)</f>
        <v>1</v>
      </c>
      <c r="V3" s="20">
        <f>IFERROR(__xludf.DUMMYFUNCTION("iferror(PERCENTRANK.INC(FILTER($Q$2:$Q$428, $O$2:$O$428&gt;=4.1), $Q3), 0.01)"),0.973)</f>
        <v>0.973</v>
      </c>
    </row>
    <row r="4" ht="14.25" customHeight="1">
      <c r="A4" s="14" t="s">
        <v>805</v>
      </c>
      <c r="B4" s="14" t="s">
        <v>323</v>
      </c>
      <c r="C4" s="14">
        <v>28.0</v>
      </c>
      <c r="D4" s="14" t="s">
        <v>803</v>
      </c>
      <c r="E4" s="14" t="s">
        <v>189</v>
      </c>
      <c r="F4" s="14">
        <v>127.0</v>
      </c>
      <c r="G4" s="14">
        <v>905.0</v>
      </c>
      <c r="H4" s="14">
        <v>7.1</v>
      </c>
      <c r="I4" s="14">
        <v>9.0</v>
      </c>
      <c r="J4" s="20">
        <v>4.787999999999999</v>
      </c>
      <c r="K4" s="20">
        <f t="shared" si="1"/>
        <v>48.11803674</v>
      </c>
      <c r="L4" s="15"/>
      <c r="M4" s="20">
        <v>4.787999999999999</v>
      </c>
      <c r="N4" s="14">
        <v>3.3</v>
      </c>
      <c r="O4" s="20">
        <v>5.28</v>
      </c>
      <c r="P4" s="14">
        <v>0.9</v>
      </c>
      <c r="Q4" s="20">
        <f t="shared" si="2"/>
        <v>5.13246</v>
      </c>
      <c r="R4" s="20">
        <f t="shared" si="3"/>
        <v>93.8791935</v>
      </c>
      <c r="T4" s="20">
        <f>IFERROR(__xludf.DUMMYFUNCTION("iferror(PERCENTRANK.INC(FILTER($Q$2:$Q$428, $O$2:$O$428&lt;3.75), $Q4), 1)"),1.0)</f>
        <v>1</v>
      </c>
      <c r="U4" s="20">
        <f>IFERROR(__xludf.DUMMYFUNCTION("iferror(PERCENTRANK.INC(FILTER($Q$2:$Q$428, $O$2:$O$428&lt;4.25), $Q4), 1)"),1.0)</f>
        <v>1</v>
      </c>
      <c r="V4" s="20">
        <f>IFERROR(__xludf.DUMMYFUNCTION("iferror(PERCENTRANK.INC(FILTER($Q$2:$Q$428, $O$2:$O$428&gt;=4.1), $Q4), 0.01)"),0.946)</f>
        <v>0.946</v>
      </c>
    </row>
    <row r="5" ht="14.25" customHeight="1">
      <c r="A5" s="14" t="s">
        <v>806</v>
      </c>
      <c r="B5" s="14" t="s">
        <v>455</v>
      </c>
      <c r="C5" s="14">
        <v>4.0</v>
      </c>
      <c r="D5" s="14" t="s">
        <v>803</v>
      </c>
      <c r="E5" s="14" t="s">
        <v>144</v>
      </c>
      <c r="F5" s="14">
        <v>206.0</v>
      </c>
      <c r="G5" s="14">
        <v>1192.0</v>
      </c>
      <c r="H5" s="14">
        <v>5.8</v>
      </c>
      <c r="I5" s="14">
        <v>12.0</v>
      </c>
      <c r="J5" s="20">
        <v>5.9879999999999995</v>
      </c>
      <c r="K5" s="20">
        <f t="shared" si="1"/>
        <v>66.18488407</v>
      </c>
      <c r="L5" s="15"/>
      <c r="M5" s="20">
        <v>5.9879999999999995</v>
      </c>
      <c r="N5" s="14">
        <v>0.78</v>
      </c>
      <c r="O5" s="20">
        <v>5.34</v>
      </c>
      <c r="P5" s="14">
        <v>0.95</v>
      </c>
      <c r="Q5" s="20">
        <f t="shared" si="2"/>
        <v>5.12943</v>
      </c>
      <c r="R5" s="20">
        <f t="shared" si="3"/>
        <v>93.82377096</v>
      </c>
      <c r="T5" s="20">
        <f>IFERROR(__xludf.DUMMYFUNCTION("iferror(PERCENTRANK.INC(FILTER($Q$2:$Q$428, $O$2:$O$428&lt;3.75), $Q5), 1)"),1.0)</f>
        <v>1</v>
      </c>
      <c r="U5" s="20">
        <f>IFERROR(__xludf.DUMMYFUNCTION("iferror(PERCENTRANK.INC(FILTER($Q$2:$Q$428, $O$2:$O$428&lt;4.25), $Q5), 1)"),1.0)</f>
        <v>1</v>
      </c>
      <c r="V5" s="20">
        <f>IFERROR(__xludf.DUMMYFUNCTION("iferror(PERCENTRANK.INC(FILTER($Q$2:$Q$428, $O$2:$O$428&gt;=4.1), $Q5), 0.01)"),0.919)</f>
        <v>0.919</v>
      </c>
    </row>
    <row r="6" ht="14.25" customHeight="1">
      <c r="A6" s="14" t="s">
        <v>807</v>
      </c>
      <c r="B6" s="14" t="s">
        <v>343</v>
      </c>
      <c r="C6" s="14">
        <v>33.0</v>
      </c>
      <c r="D6" s="14" t="s">
        <v>803</v>
      </c>
      <c r="E6" s="14" t="s">
        <v>105</v>
      </c>
      <c r="F6" s="14">
        <v>99.0</v>
      </c>
      <c r="G6" s="14">
        <v>707.0</v>
      </c>
      <c r="H6" s="14">
        <v>7.1</v>
      </c>
      <c r="I6" s="14">
        <v>12.0</v>
      </c>
      <c r="J6" s="20">
        <v>4.584</v>
      </c>
      <c r="K6" s="20">
        <f t="shared" si="1"/>
        <v>45.04667269</v>
      </c>
      <c r="L6" s="15"/>
      <c r="M6" s="20">
        <v>4.584</v>
      </c>
      <c r="N6" s="14">
        <v>5.9</v>
      </c>
      <c r="O6" s="20">
        <v>5.02</v>
      </c>
      <c r="P6" s="14">
        <v>0.9</v>
      </c>
      <c r="Q6" s="20">
        <f t="shared" si="2"/>
        <v>5.01928</v>
      </c>
      <c r="R6" s="20">
        <f t="shared" si="3"/>
        <v>91.80898796</v>
      </c>
      <c r="T6" s="20">
        <f>IFERROR(__xludf.DUMMYFUNCTION("iferror(PERCENTRANK.INC(FILTER($Q$2:$Q$428, $O$2:$O$428&lt;3.75), $Q6), 1)"),1.0)</f>
        <v>1</v>
      </c>
      <c r="U6" s="20">
        <f>IFERROR(__xludf.DUMMYFUNCTION("iferror(PERCENTRANK.INC(FILTER($Q$2:$Q$428, $O$2:$O$428&lt;4.25), $Q6), 1)"),1.0)</f>
        <v>1</v>
      </c>
      <c r="V6" s="20">
        <f>IFERROR(__xludf.DUMMYFUNCTION("iferror(PERCENTRANK.INC(FILTER($Q$2:$Q$428, $O$2:$O$428&gt;=4.1), $Q6), 0.01)"),0.838)</f>
        <v>0.838</v>
      </c>
    </row>
    <row r="7" ht="14.25" customHeight="1">
      <c r="A7" s="14" t="s">
        <v>808</v>
      </c>
      <c r="B7" s="14" t="s">
        <v>184</v>
      </c>
      <c r="C7" s="14">
        <v>25.0</v>
      </c>
      <c r="D7" s="14" t="s">
        <v>803</v>
      </c>
      <c r="E7" s="14" t="s">
        <v>158</v>
      </c>
      <c r="F7" s="14">
        <v>55.0</v>
      </c>
      <c r="G7" s="14">
        <v>396.0</v>
      </c>
      <c r="H7" s="14">
        <v>7.2</v>
      </c>
      <c r="I7" s="14">
        <v>5.0</v>
      </c>
      <c r="J7" s="20">
        <v>2.8739999999999997</v>
      </c>
      <c r="K7" s="20">
        <f t="shared" si="1"/>
        <v>19.30141524</v>
      </c>
      <c r="L7" s="15"/>
      <c r="M7" s="20">
        <v>2.8739999999999997</v>
      </c>
      <c r="N7" s="14">
        <v>0.78</v>
      </c>
      <c r="O7" s="20">
        <v>5.34</v>
      </c>
      <c r="P7" s="14">
        <v>0.95</v>
      </c>
      <c r="Q7" s="20">
        <f t="shared" si="2"/>
        <v>4.981515</v>
      </c>
      <c r="R7" s="20">
        <f t="shared" si="3"/>
        <v>91.11821828</v>
      </c>
      <c r="T7" s="20">
        <f>IFERROR(__xludf.DUMMYFUNCTION("iferror(PERCENTRANK.INC(FILTER($Q$2:$Q$428, $O$2:$O$428&lt;3.75), $Q7), 1)"),1.0)</f>
        <v>1</v>
      </c>
      <c r="U7" s="20">
        <f>IFERROR(__xludf.DUMMYFUNCTION("iferror(PERCENTRANK.INC(FILTER($Q$2:$Q$428, $O$2:$O$428&lt;4.25), $Q7), 1)"),1.0)</f>
        <v>1</v>
      </c>
      <c r="V7" s="20">
        <f>IFERROR(__xludf.DUMMYFUNCTION("iferror(PERCENTRANK.INC(FILTER($Q$2:$Q$428, $O$2:$O$428&gt;=4.1), $Q7), 0.01)"),0.784)</f>
        <v>0.784</v>
      </c>
    </row>
    <row r="8" ht="14.25" customHeight="1">
      <c r="A8" s="14" t="s">
        <v>809</v>
      </c>
      <c r="B8" s="14" t="s">
        <v>408</v>
      </c>
      <c r="C8" s="14">
        <v>24.0</v>
      </c>
      <c r="D8" s="14" t="s">
        <v>803</v>
      </c>
      <c r="E8" s="14" t="s">
        <v>147</v>
      </c>
      <c r="F8" s="14">
        <v>40.0</v>
      </c>
      <c r="G8" s="14">
        <v>187.0</v>
      </c>
      <c r="H8" s="14">
        <v>4.7</v>
      </c>
      <c r="I8" s="14">
        <v>3.0</v>
      </c>
      <c r="J8" s="20">
        <v>1.726</v>
      </c>
      <c r="K8" s="20">
        <f t="shared" si="1"/>
        <v>2.017464619</v>
      </c>
      <c r="L8" s="15"/>
      <c r="M8" s="20">
        <v>1.726</v>
      </c>
      <c r="N8" s="14">
        <v>6.47</v>
      </c>
      <c r="O8" s="20">
        <v>4.96</v>
      </c>
      <c r="P8" s="14">
        <v>0.95</v>
      </c>
      <c r="Q8" s="20">
        <f t="shared" si="2"/>
        <v>4.869485</v>
      </c>
      <c r="R8" s="20">
        <f t="shared" si="3"/>
        <v>89.0690477</v>
      </c>
      <c r="T8" s="20">
        <f>IFERROR(__xludf.DUMMYFUNCTION("iferror(PERCENTRANK.INC(FILTER($Q$2:$Q$428, $O$2:$O$428&lt;3.75), $Q8), 1)"),1.0)</f>
        <v>1</v>
      </c>
      <c r="U8" s="20">
        <f>IFERROR(__xludf.DUMMYFUNCTION("iferror(PERCENTRANK.INC(FILTER($Q$2:$Q$428, $O$2:$O$428&lt;4.25), $Q8), 1)"),1.0)</f>
        <v>1</v>
      </c>
      <c r="V8" s="20">
        <f>IFERROR(__xludf.DUMMYFUNCTION("iferror(PERCENTRANK.INC(FILTER($Q$2:$Q$428, $O$2:$O$428&gt;=4.1), $Q8), 0.01)"),0.73)</f>
        <v>0.73</v>
      </c>
    </row>
    <row r="9" ht="14.25" customHeight="1">
      <c r="A9" s="14" t="s">
        <v>810</v>
      </c>
      <c r="B9" s="14" t="s">
        <v>481</v>
      </c>
      <c r="C9" s="14">
        <v>20.0</v>
      </c>
      <c r="D9" s="14" t="s">
        <v>803</v>
      </c>
      <c r="E9" s="14" t="s">
        <v>158</v>
      </c>
      <c r="F9" s="14">
        <v>74.0</v>
      </c>
      <c r="G9" s="14">
        <v>392.0</v>
      </c>
      <c r="H9" s="14">
        <v>5.3</v>
      </c>
      <c r="I9" s="14">
        <v>3.0</v>
      </c>
      <c r="J9" s="14">
        <v>2.4360000000000004</v>
      </c>
      <c r="K9" s="20">
        <f t="shared" si="1"/>
        <v>12.70701596</v>
      </c>
      <c r="L9" s="15"/>
      <c r="M9" s="20">
        <v>2.4360000000000004</v>
      </c>
      <c r="N9" s="14">
        <v>10.0</v>
      </c>
      <c r="O9" s="14">
        <v>4.67</v>
      </c>
      <c r="P9" s="14">
        <v>0.95</v>
      </c>
      <c r="Q9" s="20">
        <f t="shared" si="2"/>
        <v>4.81871</v>
      </c>
      <c r="R9" s="20">
        <f t="shared" si="3"/>
        <v>88.14030865</v>
      </c>
      <c r="T9" s="20">
        <f>IFERROR(__xludf.DUMMYFUNCTION("iferror(PERCENTRANK.INC(FILTER($Q$2:$Q$428, $O$2:$O$428&lt;3.75), $Q9), 1)"),1.0)</f>
        <v>1</v>
      </c>
      <c r="U9" s="20">
        <f>IFERROR(__xludf.DUMMYFUNCTION("iferror(PERCENTRANK.INC(FILTER($Q$2:$Q$428, $O$2:$O$428&lt;4.25), $Q9), 1)"),1.0)</f>
        <v>1</v>
      </c>
      <c r="V9" s="20">
        <f>IFERROR(__xludf.DUMMYFUNCTION("iferror(PERCENTRANK.INC(FILTER($Q$2:$Q$428, $O$2:$O$428&gt;=4.1), $Q9), 0.01)"),0.703)</f>
        <v>0.703</v>
      </c>
    </row>
    <row r="10" ht="14.25" customHeight="1">
      <c r="A10" s="14" t="s">
        <v>811</v>
      </c>
      <c r="B10" s="14" t="s">
        <v>565</v>
      </c>
      <c r="C10" s="14">
        <v>21.0</v>
      </c>
      <c r="D10" s="14" t="s">
        <v>803</v>
      </c>
      <c r="E10" s="14" t="s">
        <v>506</v>
      </c>
      <c r="F10" s="14">
        <v>45.0</v>
      </c>
      <c r="G10" s="14">
        <v>262.0</v>
      </c>
      <c r="H10" s="14">
        <v>5.8</v>
      </c>
      <c r="I10" s="14">
        <v>2.0</v>
      </c>
      <c r="J10" s="20">
        <v>1.962</v>
      </c>
      <c r="K10" s="20">
        <f t="shared" si="1"/>
        <v>5.570611262</v>
      </c>
      <c r="L10" s="15"/>
      <c r="M10" s="20">
        <v>1.962</v>
      </c>
      <c r="N10" s="14">
        <v>7.56</v>
      </c>
      <c r="O10" s="20">
        <v>4.7</v>
      </c>
      <c r="P10" s="14">
        <v>0.95</v>
      </c>
      <c r="Q10" s="20">
        <f t="shared" si="2"/>
        <v>4.701195</v>
      </c>
      <c r="R10" s="20">
        <f t="shared" si="3"/>
        <v>85.99081047</v>
      </c>
      <c r="T10" s="20">
        <f>IFERROR(__xludf.DUMMYFUNCTION("iferror(PERCENTRANK.INC(FILTER($Q$2:$Q$428, $O$2:$O$428&lt;3.75), $Q10), 1)"),1.0)</f>
        <v>1</v>
      </c>
      <c r="U10" s="20">
        <f>IFERROR(__xludf.DUMMYFUNCTION("iferror(PERCENTRANK.INC(FILTER($Q$2:$Q$428, $O$2:$O$428&lt;4.25), $Q10), 1)"),1.0)</f>
        <v>1</v>
      </c>
      <c r="V10" s="20">
        <f>IFERROR(__xludf.DUMMYFUNCTION("iferror(PERCENTRANK.INC(FILTER($Q$2:$Q$428, $O$2:$O$428&gt;=4.1), $Q10), 0.01)"),0.649)</f>
        <v>0.649</v>
      </c>
    </row>
    <row r="11" ht="14.25" customHeight="1">
      <c r="A11" s="14" t="s">
        <v>812</v>
      </c>
      <c r="B11" s="14" t="s">
        <v>238</v>
      </c>
      <c r="C11" s="14">
        <v>0.0</v>
      </c>
      <c r="D11" s="14" t="s">
        <v>803</v>
      </c>
      <c r="E11" s="14" t="s">
        <v>117</v>
      </c>
      <c r="F11" s="14">
        <v>118.0</v>
      </c>
      <c r="G11" s="14">
        <v>525.0</v>
      </c>
      <c r="H11" s="14">
        <v>4.5</v>
      </c>
      <c r="I11" s="14">
        <v>6.0</v>
      </c>
      <c r="J11" s="20">
        <v>3.198</v>
      </c>
      <c r="K11" s="20">
        <f t="shared" si="1"/>
        <v>24.17946402</v>
      </c>
      <c r="L11" s="15"/>
      <c r="M11" s="20">
        <v>3.198</v>
      </c>
      <c r="N11" s="14">
        <v>4.94</v>
      </c>
      <c r="O11" s="20">
        <v>4.7</v>
      </c>
      <c r="P11" s="14">
        <v>0.95</v>
      </c>
      <c r="Q11" s="20">
        <f t="shared" si="2"/>
        <v>4.628905</v>
      </c>
      <c r="R11" s="20">
        <f t="shared" si="3"/>
        <v>84.66853481</v>
      </c>
      <c r="T11" s="20">
        <f>IFERROR(__xludf.DUMMYFUNCTION("iferror(PERCENTRANK.INC(FILTER($Q$2:$Q$428, $O$2:$O$428&lt;3.75), $Q11), 1)"),1.0)</f>
        <v>1</v>
      </c>
      <c r="U11" s="20">
        <f>IFERROR(__xludf.DUMMYFUNCTION("iferror(PERCENTRANK.INC(FILTER($Q$2:$Q$428, $O$2:$O$428&lt;4.25), $Q11), 1)"),1.0)</f>
        <v>1</v>
      </c>
      <c r="V11" s="20">
        <f>IFERROR(__xludf.DUMMYFUNCTION("iferror(PERCENTRANK.INC(FILTER($Q$2:$Q$428, $O$2:$O$428&gt;=4.1), $Q11), 0.01)"),0.595)</f>
        <v>0.595</v>
      </c>
    </row>
    <row r="12" ht="14.25" customHeight="1">
      <c r="A12" s="14" t="s">
        <v>813</v>
      </c>
      <c r="B12" s="14" t="s">
        <v>660</v>
      </c>
      <c r="C12" s="14">
        <v>42.0</v>
      </c>
      <c r="D12" s="14" t="s">
        <v>803</v>
      </c>
      <c r="E12" s="14" t="s">
        <v>155</v>
      </c>
      <c r="F12" s="14">
        <v>76.0</v>
      </c>
      <c r="G12" s="14">
        <v>478.0</v>
      </c>
      <c r="H12" s="14">
        <v>6.3</v>
      </c>
      <c r="I12" s="14">
        <v>4.0</v>
      </c>
      <c r="J12" s="14">
        <v>2.9</v>
      </c>
      <c r="K12" s="20">
        <f t="shared" si="1"/>
        <v>19.6928636</v>
      </c>
      <c r="L12" s="15"/>
      <c r="M12" s="20">
        <v>2.9</v>
      </c>
      <c r="N12" s="14">
        <v>10.0</v>
      </c>
      <c r="O12" s="14">
        <v>4.38</v>
      </c>
      <c r="P12" s="14">
        <v>0.9</v>
      </c>
      <c r="Q12" s="20">
        <f t="shared" si="2"/>
        <v>4.5725</v>
      </c>
      <c r="R12" s="20">
        <f t="shared" si="3"/>
        <v>83.63681593</v>
      </c>
      <c r="T12" s="20">
        <f>IFERROR(__xludf.DUMMYFUNCTION("iferror(PERCENTRANK.INC(FILTER($Q$2:$Q$428, $O$2:$O$428&lt;3.75), $Q12), 1)"),1.0)</f>
        <v>1</v>
      </c>
      <c r="U12" s="20">
        <f>IFERROR(__xludf.DUMMYFUNCTION("iferror(PERCENTRANK.INC(FILTER($Q$2:$Q$428, $O$2:$O$428&lt;4.25), $Q12), 1)"),1.0)</f>
        <v>1</v>
      </c>
      <c r="V12" s="20">
        <f>IFERROR(__xludf.DUMMYFUNCTION("iferror(PERCENTRANK.INC(FILTER($Q$2:$Q$428, $O$2:$O$428&gt;=4.1), $Q12), 0.01)"),0.568)</f>
        <v>0.568</v>
      </c>
    </row>
    <row r="13" ht="14.25" customHeight="1">
      <c r="A13" s="14" t="s">
        <v>814</v>
      </c>
      <c r="B13" s="14" t="s">
        <v>163</v>
      </c>
      <c r="C13" s="14">
        <v>24.0</v>
      </c>
      <c r="D13" s="14" t="s">
        <v>803</v>
      </c>
      <c r="E13" s="14" t="s">
        <v>158</v>
      </c>
      <c r="F13" s="14">
        <v>124.0</v>
      </c>
      <c r="G13" s="14">
        <v>760.0</v>
      </c>
      <c r="H13" s="14">
        <v>6.1</v>
      </c>
      <c r="I13" s="14">
        <v>11.0</v>
      </c>
      <c r="J13" s="20">
        <v>4.56</v>
      </c>
      <c r="K13" s="20">
        <f t="shared" si="1"/>
        <v>44.68533574</v>
      </c>
      <c r="L13" s="15"/>
      <c r="M13" s="20">
        <v>4.56</v>
      </c>
      <c r="N13" s="14">
        <v>0.69</v>
      </c>
      <c r="O13" s="20">
        <v>4.7</v>
      </c>
      <c r="P13" s="14">
        <v>0.95</v>
      </c>
      <c r="Q13" s="20">
        <f t="shared" si="2"/>
        <v>4.4811</v>
      </c>
      <c r="R13" s="20">
        <f t="shared" si="3"/>
        <v>81.96499417</v>
      </c>
      <c r="T13" s="20">
        <f>IFERROR(__xludf.DUMMYFUNCTION("iferror(PERCENTRANK.INC(FILTER($Q$2:$Q$428, $O$2:$O$428&lt;3.75), $Q13), 1)"),1.0)</f>
        <v>1</v>
      </c>
      <c r="U13" s="20">
        <f>IFERROR(__xludf.DUMMYFUNCTION("iferror(PERCENTRANK.INC(FILTER($Q$2:$Q$428, $O$2:$O$428&lt;4.25), $Q13), 1)"),1.0)</f>
        <v>1</v>
      </c>
      <c r="V13" s="20">
        <f>IFERROR(__xludf.DUMMYFUNCTION("iferror(PERCENTRANK.INC(FILTER($Q$2:$Q$428, $O$2:$O$428&gt;=4.1), $Q13), 0.01)"),0.541)</f>
        <v>0.541</v>
      </c>
    </row>
    <row r="14" ht="14.25" customHeight="1">
      <c r="A14" s="14" t="s">
        <v>815</v>
      </c>
      <c r="B14" s="14" t="s">
        <v>651</v>
      </c>
      <c r="C14" s="14">
        <v>45.0</v>
      </c>
      <c r="D14" s="14" t="s">
        <v>803</v>
      </c>
      <c r="E14" s="14" t="s">
        <v>147</v>
      </c>
      <c r="F14" s="14">
        <v>103.0</v>
      </c>
      <c r="G14" s="14">
        <v>597.0</v>
      </c>
      <c r="H14" s="14">
        <v>5.8</v>
      </c>
      <c r="I14" s="14">
        <v>3.0</v>
      </c>
      <c r="J14" s="20">
        <v>3.1</v>
      </c>
      <c r="K14" s="20">
        <f t="shared" si="1"/>
        <v>22.70400482</v>
      </c>
      <c r="L14" s="15"/>
      <c r="M14" s="20">
        <v>3.1</v>
      </c>
      <c r="N14" s="14">
        <v>0.81</v>
      </c>
      <c r="O14" s="20">
        <v>4.75</v>
      </c>
      <c r="P14" s="14">
        <v>0.95</v>
      </c>
      <c r="Q14" s="20">
        <f t="shared" si="2"/>
        <v>4.46275</v>
      </c>
      <c r="R14" s="20">
        <f t="shared" si="3"/>
        <v>81.62934943</v>
      </c>
      <c r="T14" s="20">
        <f>IFERROR(__xludf.DUMMYFUNCTION("iferror(PERCENTRANK.INC(FILTER($Q$2:$Q$428, $O$2:$O$428&lt;3.75), $Q14), 1)"),1.0)</f>
        <v>1</v>
      </c>
      <c r="U14" s="20">
        <f>IFERROR(__xludf.DUMMYFUNCTION("iferror(PERCENTRANK.INC(FILTER($Q$2:$Q$428, $O$2:$O$428&lt;4.25), $Q14), 1)"),1.0)</f>
        <v>1</v>
      </c>
      <c r="V14" s="20">
        <f>IFERROR(__xludf.DUMMYFUNCTION("iferror(PERCENTRANK.INC(FILTER($Q$2:$Q$428, $O$2:$O$428&gt;=4.1), $Q14), 0.01)"),0.486)</f>
        <v>0.486</v>
      </c>
    </row>
    <row r="15" ht="14.25" customHeight="1">
      <c r="A15" s="14" t="s">
        <v>816</v>
      </c>
      <c r="B15" s="14" t="s">
        <v>517</v>
      </c>
      <c r="C15" s="14">
        <v>3.0</v>
      </c>
      <c r="D15" s="14" t="s">
        <v>803</v>
      </c>
      <c r="E15" s="14" t="s">
        <v>117</v>
      </c>
      <c r="F15" s="14">
        <v>112.0</v>
      </c>
      <c r="G15" s="14">
        <v>611.0</v>
      </c>
      <c r="H15" s="14">
        <v>5.5</v>
      </c>
      <c r="I15" s="14">
        <v>7.0</v>
      </c>
      <c r="J15" s="20">
        <v>3.614</v>
      </c>
      <c r="K15" s="20">
        <f t="shared" si="1"/>
        <v>30.44263776</v>
      </c>
      <c r="L15" s="15"/>
      <c r="M15" s="20">
        <v>3.614</v>
      </c>
      <c r="N15" s="14">
        <v>0.89</v>
      </c>
      <c r="O15" s="20">
        <v>4.64</v>
      </c>
      <c r="P15" s="14">
        <v>0.95</v>
      </c>
      <c r="Q15" s="20">
        <f t="shared" si="2"/>
        <v>4.392165</v>
      </c>
      <c r="R15" s="20">
        <f t="shared" si="3"/>
        <v>80.33826039</v>
      </c>
      <c r="T15" s="20">
        <f>IFERROR(__xludf.DUMMYFUNCTION("iferror(PERCENTRANK.INC(FILTER($Q$2:$Q$428, $O$2:$O$428&lt;3.75), $Q15), 1)"),1.0)</f>
        <v>1</v>
      </c>
      <c r="U15" s="20">
        <f>IFERROR(__xludf.DUMMYFUNCTION("iferror(PERCENTRANK.INC(FILTER($Q$2:$Q$428, $O$2:$O$428&lt;4.25), $Q15), 1)"),1.0)</f>
        <v>1</v>
      </c>
      <c r="V15" s="20">
        <f>IFERROR(__xludf.DUMMYFUNCTION("iferror(PERCENTRANK.INC(FILTER($Q$2:$Q$428, $O$2:$O$428&gt;=4.1), $Q15), 0.01)"),0.432)</f>
        <v>0.432</v>
      </c>
    </row>
    <row r="16" ht="14.25" customHeight="1">
      <c r="A16" s="14" t="s">
        <v>817</v>
      </c>
      <c r="B16" s="14" t="s">
        <v>555</v>
      </c>
      <c r="C16" s="14">
        <v>23.0</v>
      </c>
      <c r="D16" s="14" t="s">
        <v>803</v>
      </c>
      <c r="E16" s="14" t="s">
        <v>117</v>
      </c>
      <c r="F16" s="14">
        <v>56.0</v>
      </c>
      <c r="G16" s="14">
        <v>363.0</v>
      </c>
      <c r="H16" s="14">
        <v>6.5</v>
      </c>
      <c r="I16" s="14">
        <v>2.0</v>
      </c>
      <c r="J16" s="20">
        <v>2.342</v>
      </c>
      <c r="K16" s="20">
        <f t="shared" si="1"/>
        <v>11.29177958</v>
      </c>
      <c r="L16" s="15"/>
      <c r="M16" s="20">
        <v>2.342</v>
      </c>
      <c r="N16" s="14">
        <v>1.0</v>
      </c>
      <c r="O16" s="20">
        <v>4.7</v>
      </c>
      <c r="P16" s="14">
        <v>0.95</v>
      </c>
      <c r="Q16" s="20">
        <f t="shared" si="2"/>
        <v>4.391245</v>
      </c>
      <c r="R16" s="20">
        <f t="shared" si="3"/>
        <v>80.32143243</v>
      </c>
      <c r="T16" s="20">
        <f>IFERROR(__xludf.DUMMYFUNCTION("iferror(PERCENTRANK.INC(FILTER($Q$2:$Q$428, $O$2:$O$428&lt;3.75), $Q16), 1)"),1.0)</f>
        <v>1</v>
      </c>
      <c r="U16" s="20">
        <f>IFERROR(__xludf.DUMMYFUNCTION("iferror(PERCENTRANK.INC(FILTER($Q$2:$Q$428, $O$2:$O$428&lt;4.25), $Q16), 1)"),1.0)</f>
        <v>1</v>
      </c>
      <c r="V16" s="20">
        <f>IFERROR(__xludf.DUMMYFUNCTION("iferror(PERCENTRANK.INC(FILTER($Q$2:$Q$428, $O$2:$O$428&gt;=4.1), $Q16), 0.01)"),0.405)</f>
        <v>0.405</v>
      </c>
    </row>
    <row r="17" ht="14.25" customHeight="1">
      <c r="A17" s="14" t="s">
        <v>818</v>
      </c>
      <c r="B17" s="14" t="s">
        <v>267</v>
      </c>
      <c r="C17" s="14">
        <v>9.0</v>
      </c>
      <c r="D17" s="14" t="s">
        <v>803</v>
      </c>
      <c r="E17" s="14" t="s">
        <v>117</v>
      </c>
      <c r="F17" s="14">
        <v>64.0</v>
      </c>
      <c r="G17" s="14">
        <v>394.0</v>
      </c>
      <c r="H17" s="14">
        <v>6.2</v>
      </c>
      <c r="I17" s="14">
        <v>3.0</v>
      </c>
      <c r="J17" s="20">
        <v>2.5239999999999996</v>
      </c>
      <c r="K17" s="20">
        <f t="shared" si="1"/>
        <v>14.0319181</v>
      </c>
      <c r="L17" s="15"/>
      <c r="M17" s="20">
        <v>2.5239999999999996</v>
      </c>
      <c r="N17" s="14">
        <v>0.06</v>
      </c>
      <c r="O17" s="20">
        <v>4.7</v>
      </c>
      <c r="P17" s="14">
        <v>0.95</v>
      </c>
      <c r="Q17" s="20">
        <f t="shared" si="2"/>
        <v>4.35289</v>
      </c>
      <c r="R17" s="20">
        <f t="shared" si="3"/>
        <v>79.6198709</v>
      </c>
      <c r="T17" s="20">
        <f>IFERROR(__xludf.DUMMYFUNCTION("iferror(PERCENTRANK.INC(FILTER($Q$2:$Q$428, $O$2:$O$428&lt;3.75), $Q17), 1)"),1.0)</f>
        <v>1</v>
      </c>
      <c r="U17" s="20">
        <f>IFERROR(__xludf.DUMMYFUNCTION("iferror(PERCENTRANK.INC(FILTER($Q$2:$Q$428, $O$2:$O$428&lt;4.25), $Q17), 1)"),1.0)</f>
        <v>1</v>
      </c>
      <c r="V17" s="20">
        <f>IFERROR(__xludf.DUMMYFUNCTION("iferror(PERCENTRANK.INC(FILTER($Q$2:$Q$428, $O$2:$O$428&gt;=4.1), $Q17), 0.01)"),0.351)</f>
        <v>0.351</v>
      </c>
    </row>
    <row r="18" ht="14.25" customHeight="1">
      <c r="A18" s="14" t="s">
        <v>819</v>
      </c>
      <c r="B18" s="14" t="s">
        <v>443</v>
      </c>
      <c r="C18" s="14">
        <v>25.0</v>
      </c>
      <c r="D18" s="14" t="s">
        <v>803</v>
      </c>
      <c r="E18" s="14" t="s">
        <v>138</v>
      </c>
      <c r="F18" s="14">
        <v>136.0</v>
      </c>
      <c r="G18" s="14">
        <v>688.0</v>
      </c>
      <c r="H18" s="14">
        <v>5.1</v>
      </c>
      <c r="I18" s="14">
        <v>9.0</v>
      </c>
      <c r="J18" s="20">
        <v>4.087999999999999</v>
      </c>
      <c r="K18" s="20">
        <f t="shared" si="1"/>
        <v>37.57904246</v>
      </c>
      <c r="L18" s="15"/>
      <c r="M18" s="20">
        <v>4.087999999999999</v>
      </c>
      <c r="N18" s="14">
        <v>10.0</v>
      </c>
      <c r="O18" s="20">
        <v>4.05</v>
      </c>
      <c r="P18" s="14">
        <v>0.9</v>
      </c>
      <c r="Q18" s="20">
        <f t="shared" si="2"/>
        <v>4.32896</v>
      </c>
      <c r="R18" s="20">
        <f t="shared" si="3"/>
        <v>79.18216089</v>
      </c>
      <c r="T18" s="20">
        <f>IFERROR(__xludf.DUMMYFUNCTION("iferror(PERCENTRANK.INC(FILTER($Q$2:$Q$428, $O$2:$O$428&lt;3.75), $Q18), 1)"),1.0)</f>
        <v>1</v>
      </c>
      <c r="U18" s="20">
        <f>IFERROR(__xludf.DUMMYFUNCTION("iferror(PERCENTRANK.INC(FILTER($Q$2:$Q$428, $O$2:$O$428&lt;4.25), $Q18), 1)"),1.0)</f>
        <v>1</v>
      </c>
      <c r="V18" s="20">
        <f>IFERROR(__xludf.DUMMYFUNCTION("iferror(PERCENTRANK.INC(FILTER($Q$2:$Q$428, $O$2:$O$428&gt;=4.1), $Q18), 0.01)"),0.339)</f>
        <v>0.339</v>
      </c>
    </row>
    <row r="19" ht="14.25" customHeight="1">
      <c r="A19" s="14" t="s">
        <v>820</v>
      </c>
      <c r="B19" s="14" t="s">
        <v>525</v>
      </c>
      <c r="C19" s="14">
        <v>7.0</v>
      </c>
      <c r="D19" s="14" t="s">
        <v>803</v>
      </c>
      <c r="E19" s="14" t="s">
        <v>132</v>
      </c>
      <c r="F19" s="14">
        <v>173.0</v>
      </c>
      <c r="G19" s="14">
        <v>901.0</v>
      </c>
      <c r="H19" s="14">
        <v>5.2</v>
      </c>
      <c r="I19" s="14">
        <v>8.0</v>
      </c>
      <c r="J19" s="20">
        <v>4.632</v>
      </c>
      <c r="K19" s="20">
        <f t="shared" si="1"/>
        <v>45.76934658</v>
      </c>
      <c r="L19" s="15"/>
      <c r="M19" s="20">
        <v>4.632</v>
      </c>
      <c r="N19" s="14">
        <v>2.77</v>
      </c>
      <c r="O19" s="20">
        <v>4.38</v>
      </c>
      <c r="P19" s="14">
        <v>0.95</v>
      </c>
      <c r="Q19" s="20">
        <f t="shared" si="2"/>
        <v>4.30052</v>
      </c>
      <c r="R19" s="20">
        <f t="shared" si="3"/>
        <v>78.66195728</v>
      </c>
      <c r="T19" s="20">
        <f>IFERROR(__xludf.DUMMYFUNCTION("iferror(PERCENTRANK.INC(FILTER($Q$2:$Q$428, $O$2:$O$428&lt;3.75), $Q19), 1)"),1.0)</f>
        <v>1</v>
      </c>
      <c r="U19" s="20">
        <f>IFERROR(__xludf.DUMMYFUNCTION("iferror(PERCENTRANK.INC(FILTER($Q$2:$Q$428, $O$2:$O$428&lt;4.25), $Q19), 1)"),0.999)</f>
        <v>0.999</v>
      </c>
      <c r="V19" s="20">
        <f>IFERROR(__xludf.DUMMYFUNCTION("iferror(PERCENTRANK.INC(FILTER($Q$2:$Q$428, $O$2:$O$428&gt;=4.1), $Q19), 0.01)"),0.324)</f>
        <v>0.324</v>
      </c>
    </row>
    <row r="20" ht="14.25" customHeight="1">
      <c r="A20" s="14" t="s">
        <v>821</v>
      </c>
      <c r="B20" s="16" t="s">
        <v>615</v>
      </c>
      <c r="C20" s="14">
        <v>34.0</v>
      </c>
      <c r="D20" s="14" t="s">
        <v>803</v>
      </c>
      <c r="E20" s="14" t="s">
        <v>144</v>
      </c>
      <c r="F20" s="14">
        <v>59.0</v>
      </c>
      <c r="G20" s="14">
        <v>302.0</v>
      </c>
      <c r="H20" s="14">
        <v>5.1</v>
      </c>
      <c r="I20" s="14">
        <v>2.0</v>
      </c>
      <c r="J20" s="20">
        <v>2.014</v>
      </c>
      <c r="K20" s="20">
        <f t="shared" si="1"/>
        <v>6.35350798</v>
      </c>
      <c r="L20" s="15"/>
      <c r="M20" s="20">
        <v>2.014</v>
      </c>
      <c r="N20" s="14">
        <v>5.41</v>
      </c>
      <c r="O20" s="20">
        <v>4.32</v>
      </c>
      <c r="P20" s="14">
        <v>0.95</v>
      </c>
      <c r="Q20" s="20">
        <f t="shared" si="2"/>
        <v>4.254165</v>
      </c>
      <c r="R20" s="20">
        <f t="shared" si="3"/>
        <v>77.81406562</v>
      </c>
      <c r="T20" s="20">
        <f>IFERROR(__xludf.DUMMYFUNCTION("iferror(PERCENTRANK.INC(FILTER($Q$2:$Q$428, $O$2:$O$428&lt;3.75), $Q20), 1)"),1.0)</f>
        <v>1</v>
      </c>
      <c r="U20" s="20">
        <f>IFERROR(__xludf.DUMMYFUNCTION("iferror(PERCENTRANK.INC(FILTER($Q$2:$Q$428, $O$2:$O$428&lt;4.25), $Q20), 1)"),0.997)</f>
        <v>0.997</v>
      </c>
      <c r="V20" s="20">
        <f>IFERROR(__xludf.DUMMYFUNCTION("iferror(PERCENTRANK.INC(FILTER($Q$2:$Q$428, $O$2:$O$428&gt;=4.1), $Q20), 0.01)"),0.297)</f>
        <v>0.297</v>
      </c>
    </row>
    <row r="21" ht="14.25" customHeight="1">
      <c r="A21" s="14" t="s">
        <v>822</v>
      </c>
      <c r="B21" s="14" t="s">
        <v>466</v>
      </c>
      <c r="C21" s="14">
        <v>29.0</v>
      </c>
      <c r="D21" s="14" t="s">
        <v>803</v>
      </c>
      <c r="E21" s="14" t="s">
        <v>124</v>
      </c>
      <c r="F21" s="14">
        <v>88.0</v>
      </c>
      <c r="G21" s="14">
        <v>558.0</v>
      </c>
      <c r="H21" s="14">
        <v>6.3</v>
      </c>
      <c r="I21" s="14">
        <v>4.0</v>
      </c>
      <c r="J21" s="20">
        <v>3.1319999999999997</v>
      </c>
      <c r="K21" s="20">
        <f t="shared" si="1"/>
        <v>23.18578741</v>
      </c>
      <c r="L21" s="15"/>
      <c r="M21" s="20">
        <v>3.1319999999999997</v>
      </c>
      <c r="N21" s="14">
        <v>3.12</v>
      </c>
      <c r="O21" s="20">
        <v>4.38</v>
      </c>
      <c r="P21" s="14">
        <v>0.9</v>
      </c>
      <c r="Q21" s="20">
        <f t="shared" si="2"/>
        <v>4.23894</v>
      </c>
      <c r="R21" s="20">
        <f t="shared" si="3"/>
        <v>77.53558109</v>
      </c>
      <c r="T21" s="20">
        <f>IFERROR(__xludf.DUMMYFUNCTION("iferror(PERCENTRANK.INC(FILTER($Q$2:$Q$428, $O$2:$O$428&lt;3.75), $Q21), 1)"),1.0)</f>
        <v>1</v>
      </c>
      <c r="U21" s="20">
        <f>IFERROR(__xludf.DUMMYFUNCTION("iferror(PERCENTRANK.INC(FILTER($Q$2:$Q$428, $O$2:$O$428&lt;4.25), $Q21), 1)"),0.997)</f>
        <v>0.997</v>
      </c>
      <c r="V21" s="20">
        <f>IFERROR(__xludf.DUMMYFUNCTION("iferror(PERCENTRANK.INC(FILTER($Q$2:$Q$428, $O$2:$O$428&gt;=4.1), $Q21), 0.01)"),0.27)</f>
        <v>0.27</v>
      </c>
    </row>
    <row r="22" ht="14.25" customHeight="1">
      <c r="A22" s="14" t="s">
        <v>823</v>
      </c>
      <c r="B22" s="14" t="s">
        <v>527</v>
      </c>
      <c r="C22" s="14">
        <v>5.0</v>
      </c>
      <c r="D22" s="14" t="s">
        <v>803</v>
      </c>
      <c r="E22" s="14" t="s">
        <v>132</v>
      </c>
      <c r="F22" s="14">
        <v>62.0</v>
      </c>
      <c r="G22" s="14">
        <v>326.0</v>
      </c>
      <c r="H22" s="14">
        <v>5.3</v>
      </c>
      <c r="I22" s="14">
        <v>4.0</v>
      </c>
      <c r="J22" s="20">
        <v>2.352</v>
      </c>
      <c r="K22" s="20">
        <f t="shared" si="1"/>
        <v>11.44233665</v>
      </c>
      <c r="L22" s="15"/>
      <c r="M22" s="20">
        <v>2.352</v>
      </c>
      <c r="N22" s="14">
        <v>3.56</v>
      </c>
      <c r="O22" s="20">
        <v>4.38</v>
      </c>
      <c r="P22" s="14">
        <v>0.95</v>
      </c>
      <c r="Q22" s="20">
        <f t="shared" si="2"/>
        <v>4.23172</v>
      </c>
      <c r="R22" s="20">
        <f t="shared" si="3"/>
        <v>77.40351814</v>
      </c>
      <c r="T22" s="20">
        <f>IFERROR(__xludf.DUMMYFUNCTION("iferror(PERCENTRANK.INC(FILTER($Q$2:$Q$428, $O$2:$O$428&lt;3.75), $Q22), 1)"),1.0)</f>
        <v>1</v>
      </c>
      <c r="U22" s="20">
        <f>IFERROR(__xludf.DUMMYFUNCTION("iferror(PERCENTRANK.INC(FILTER($Q$2:$Q$428, $O$2:$O$428&lt;4.25), $Q22), 1)"),0.996)</f>
        <v>0.996</v>
      </c>
      <c r="V22" s="20">
        <f>IFERROR(__xludf.DUMMYFUNCTION("iferror(PERCENTRANK.INC(FILTER($Q$2:$Q$428, $O$2:$O$428&gt;=4.1), $Q22), 0.01)"),0.243)</f>
        <v>0.243</v>
      </c>
    </row>
    <row r="23" ht="14.25" customHeight="1">
      <c r="A23" s="39" t="s">
        <v>824</v>
      </c>
      <c r="B23" s="39" t="s">
        <v>597</v>
      </c>
      <c r="C23" s="40">
        <v>6.0</v>
      </c>
      <c r="D23" s="39" t="s">
        <v>803</v>
      </c>
      <c r="E23" s="39" t="s">
        <v>121</v>
      </c>
      <c r="F23" s="40">
        <v>97.0</v>
      </c>
      <c r="G23" s="40">
        <v>410.0</v>
      </c>
      <c r="H23" s="40">
        <v>4.2</v>
      </c>
      <c r="I23" s="40">
        <v>2.0</v>
      </c>
      <c r="J23" s="41">
        <v>2.314</v>
      </c>
      <c r="K23" s="20">
        <f t="shared" si="1"/>
        <v>10.87021981</v>
      </c>
      <c r="L23" s="15"/>
      <c r="M23" s="38">
        <v>2.31</v>
      </c>
      <c r="N23" s="16">
        <v>1.65</v>
      </c>
      <c r="O23" s="38">
        <v>3.41</v>
      </c>
      <c r="P23" s="14">
        <v>0.95</v>
      </c>
      <c r="Q23" s="20">
        <f t="shared" si="2"/>
        <v>3.261225</v>
      </c>
      <c r="R23" s="20">
        <f t="shared" si="3"/>
        <v>59.65193549</v>
      </c>
      <c r="T23" s="20">
        <f>IFERROR(__xludf.DUMMYFUNCTION("iferror(PERCENTRANK.INC(FILTER($Q$2:$Q$428, $O$2:$O$428&lt;3.75), $Q23), 1)"),0.922)</f>
        <v>0.922</v>
      </c>
      <c r="U23" s="20">
        <f>IFERROR(__xludf.DUMMYFUNCTION("iferror(PERCENTRANK.INC(FILTER($Q$2:$Q$428, $O$2:$O$428&lt;4.25), $Q23), 1)"),0.806)</f>
        <v>0.806</v>
      </c>
      <c r="V23" s="20">
        <f>IFERROR(__xludf.DUMMYFUNCTION("iferror(PERCENTRANK.INC(FILTER($Q$2:$Q$428, $O$2:$O$428&gt;=4.1), $Q23), 0.01)"),0.021)</f>
        <v>0.021</v>
      </c>
    </row>
    <row r="24" ht="14.25" customHeight="1">
      <c r="A24" s="14" t="s">
        <v>825</v>
      </c>
      <c r="B24" s="14" t="s">
        <v>826</v>
      </c>
      <c r="C24" s="14">
        <v>2.0</v>
      </c>
      <c r="D24" s="14" t="s">
        <v>803</v>
      </c>
      <c r="E24" s="14" t="s">
        <v>132</v>
      </c>
      <c r="F24" s="14">
        <v>84.0</v>
      </c>
      <c r="G24" s="14">
        <v>525.0</v>
      </c>
      <c r="H24" s="14">
        <v>6.3</v>
      </c>
      <c r="I24" s="14">
        <v>5.0</v>
      </c>
      <c r="J24" s="20">
        <v>3.162</v>
      </c>
      <c r="K24" s="20">
        <f t="shared" si="1"/>
        <v>23.6374586</v>
      </c>
      <c r="L24" s="15"/>
      <c r="M24" s="20">
        <v>3.162</v>
      </c>
      <c r="N24" s="14">
        <v>1.86</v>
      </c>
      <c r="O24" s="20">
        <v>4.43</v>
      </c>
      <c r="P24" s="14">
        <v>0.95</v>
      </c>
      <c r="Q24" s="20">
        <f t="shared" si="2"/>
        <v>4.230195</v>
      </c>
      <c r="R24" s="20">
        <f t="shared" si="3"/>
        <v>77.37562396</v>
      </c>
      <c r="T24" s="20">
        <f>IFERROR(__xludf.DUMMYFUNCTION("iferror(PERCENTRANK.INC(FILTER($Q$2:$Q$428, $O$2:$O$428&lt;3.75), $Q24), 1)"),1.0)</f>
        <v>1</v>
      </c>
      <c r="U24" s="20">
        <f>IFERROR(__xludf.DUMMYFUNCTION("iferror(PERCENTRANK.INC(FILTER($Q$2:$Q$428, $O$2:$O$428&lt;4.25), $Q24), 1)"),0.996)</f>
        <v>0.996</v>
      </c>
      <c r="V24" s="20">
        <f>IFERROR(__xludf.DUMMYFUNCTION("iferror(PERCENTRANK.INC(FILTER($Q$2:$Q$428, $O$2:$O$428&gt;=4.1), $Q24), 0.01)"),0.216)</f>
        <v>0.216</v>
      </c>
    </row>
    <row r="25" ht="14.25" customHeight="1">
      <c r="A25" s="14" t="s">
        <v>827</v>
      </c>
      <c r="B25" s="14" t="s">
        <v>529</v>
      </c>
      <c r="C25" s="14">
        <v>4.0</v>
      </c>
      <c r="D25" s="14" t="s">
        <v>803</v>
      </c>
      <c r="E25" s="14" t="s">
        <v>144</v>
      </c>
      <c r="F25" s="14">
        <v>97.0</v>
      </c>
      <c r="G25" s="14">
        <v>525.0</v>
      </c>
      <c r="H25" s="14">
        <v>5.4</v>
      </c>
      <c r="I25" s="14">
        <v>8.0</v>
      </c>
      <c r="J25" s="20">
        <v>3.4560000000000004</v>
      </c>
      <c r="K25" s="20">
        <f t="shared" si="1"/>
        <v>28.06383619</v>
      </c>
      <c r="L25" s="15"/>
      <c r="M25" s="20">
        <v>3.4560000000000004</v>
      </c>
      <c r="N25" s="14">
        <v>1.92</v>
      </c>
      <c r="O25" s="20">
        <v>4.38</v>
      </c>
      <c r="P25" s="14">
        <v>0.95</v>
      </c>
      <c r="Q25" s="20">
        <f t="shared" si="2"/>
        <v>4.20216</v>
      </c>
      <c r="R25" s="20">
        <f t="shared" si="3"/>
        <v>76.86282831</v>
      </c>
      <c r="T25" s="20">
        <f>IFERROR(__xludf.DUMMYFUNCTION("iferror(PERCENTRANK.INC(FILTER($Q$2:$Q$428, $O$2:$O$428&lt;3.75), $Q25), 1)"),1.0)</f>
        <v>1</v>
      </c>
      <c r="U25" s="20">
        <f>IFERROR(__xludf.DUMMYFUNCTION("iferror(PERCENTRANK.INC(FILTER($Q$2:$Q$428, $O$2:$O$428&lt;4.25), $Q25), 1)"),0.995)</f>
        <v>0.995</v>
      </c>
      <c r="V25" s="20">
        <f>IFERROR(__xludf.DUMMYFUNCTION("iferror(PERCENTRANK.INC(FILTER($Q$2:$Q$428, $O$2:$O$428&gt;=4.1), $Q25), 0.01)"),0.189)</f>
        <v>0.189</v>
      </c>
    </row>
    <row r="26" ht="14.25" customHeight="1">
      <c r="A26" s="14" t="s">
        <v>828</v>
      </c>
      <c r="B26" s="14" t="s">
        <v>287</v>
      </c>
      <c r="C26" s="14">
        <v>3.0</v>
      </c>
      <c r="D26" s="14" t="s">
        <v>803</v>
      </c>
      <c r="E26" s="14" t="s">
        <v>117</v>
      </c>
      <c r="F26" s="14">
        <v>120.0</v>
      </c>
      <c r="G26" s="14">
        <v>746.0</v>
      </c>
      <c r="H26" s="14">
        <v>6.2</v>
      </c>
      <c r="I26" s="14">
        <v>6.0</v>
      </c>
      <c r="J26" s="20">
        <v>3.924</v>
      </c>
      <c r="K26" s="20">
        <f t="shared" si="1"/>
        <v>35.10990665</v>
      </c>
      <c r="L26" s="15"/>
      <c r="M26" s="20">
        <v>3.924</v>
      </c>
      <c r="N26" s="14">
        <v>0.94</v>
      </c>
      <c r="O26" s="20">
        <v>4.38</v>
      </c>
      <c r="P26" s="14">
        <v>0.95</v>
      </c>
      <c r="Q26" s="20">
        <f t="shared" si="2"/>
        <v>4.17539</v>
      </c>
      <c r="R26" s="20">
        <f t="shared" si="3"/>
        <v>76.3731711</v>
      </c>
      <c r="T26" s="20">
        <f>IFERROR(__xludf.DUMMYFUNCTION("iferror(PERCENTRANK.INC(FILTER($Q$2:$Q$428, $O$2:$O$428&lt;3.75), $Q26), 1)"),1.0)</f>
        <v>1</v>
      </c>
      <c r="U26" s="20">
        <f>IFERROR(__xludf.DUMMYFUNCTION("iferror(PERCENTRANK.INC(FILTER($Q$2:$Q$428, $O$2:$O$428&lt;4.25), $Q26), 1)"),0.994)</f>
        <v>0.994</v>
      </c>
      <c r="V26" s="20">
        <f>IFERROR(__xludf.DUMMYFUNCTION("iferror(PERCENTRANK.INC(FILTER($Q$2:$Q$428, $O$2:$O$428&gt;=4.1), $Q26), 0.01)"),0.135)</f>
        <v>0.135</v>
      </c>
    </row>
    <row r="27" ht="14.25" customHeight="1">
      <c r="A27" s="14" t="s">
        <v>829</v>
      </c>
      <c r="B27" s="14" t="s">
        <v>163</v>
      </c>
      <c r="C27" s="14">
        <v>0.0</v>
      </c>
      <c r="D27" s="14" t="s">
        <v>803</v>
      </c>
      <c r="E27" s="14" t="s">
        <v>158</v>
      </c>
      <c r="F27" s="14">
        <v>75.0</v>
      </c>
      <c r="G27" s="14">
        <v>389.0</v>
      </c>
      <c r="H27" s="14">
        <v>5.2</v>
      </c>
      <c r="I27" s="14">
        <v>5.0</v>
      </c>
      <c r="J27" s="20">
        <v>2.66</v>
      </c>
      <c r="K27" s="20">
        <f t="shared" si="1"/>
        <v>16.07949413</v>
      </c>
      <c r="L27" s="15"/>
      <c r="M27" s="20">
        <v>2.66</v>
      </c>
      <c r="N27" s="14">
        <v>0.38</v>
      </c>
      <c r="O27" s="20">
        <v>4.43</v>
      </c>
      <c r="P27" s="14">
        <v>0.95</v>
      </c>
      <c r="Q27" s="20">
        <f t="shared" si="2"/>
        <v>4.13235</v>
      </c>
      <c r="R27" s="20">
        <f t="shared" si="3"/>
        <v>75.58591499</v>
      </c>
      <c r="T27" s="20">
        <f>IFERROR(__xludf.DUMMYFUNCTION("iferror(PERCENTRANK.INC(FILTER($Q$2:$Q$428, $O$2:$O$428&lt;3.75), $Q27), 1)"),1.0)</f>
        <v>1</v>
      </c>
      <c r="U27" s="20">
        <f>IFERROR(__xludf.DUMMYFUNCTION("iferror(PERCENTRANK.INC(FILTER($Q$2:$Q$428, $O$2:$O$428&lt;4.25), $Q27), 1)"),0.993)</f>
        <v>0.993</v>
      </c>
      <c r="V27" s="20">
        <f>IFERROR(__xludf.DUMMYFUNCTION("iferror(PERCENTRANK.INC(FILTER($Q$2:$Q$428, $O$2:$O$428&gt;=4.1), $Q27), 0.01)"),0.108)</f>
        <v>0.108</v>
      </c>
    </row>
    <row r="28" ht="14.25" customHeight="1">
      <c r="A28" s="14" t="s">
        <v>830</v>
      </c>
      <c r="B28" s="14" t="s">
        <v>313</v>
      </c>
      <c r="C28" s="14">
        <v>5.0</v>
      </c>
      <c r="D28" s="14" t="s">
        <v>803</v>
      </c>
      <c r="E28" s="14" t="s">
        <v>158</v>
      </c>
      <c r="F28" s="14">
        <v>90.0</v>
      </c>
      <c r="G28" s="14">
        <v>535.0</v>
      </c>
      <c r="H28" s="14">
        <v>5.9</v>
      </c>
      <c r="I28" s="14">
        <v>6.0</v>
      </c>
      <c r="J28" s="20">
        <v>3.2739999999999996</v>
      </c>
      <c r="K28" s="20">
        <f t="shared" si="1"/>
        <v>25.32369768</v>
      </c>
      <c r="L28" s="15"/>
      <c r="M28" s="20">
        <v>3.2739999999999996</v>
      </c>
      <c r="N28" s="14">
        <v>0.39</v>
      </c>
      <c r="O28" s="20">
        <v>4.38</v>
      </c>
      <c r="P28" s="14">
        <v>0.95</v>
      </c>
      <c r="Q28" s="20">
        <f t="shared" si="2"/>
        <v>4.117015</v>
      </c>
      <c r="R28" s="20">
        <f t="shared" si="3"/>
        <v>75.30541842</v>
      </c>
      <c r="T28" s="20">
        <f>IFERROR(__xludf.DUMMYFUNCTION("iferror(PERCENTRANK.INC(FILTER($Q$2:$Q$428, $O$2:$O$428&lt;3.75), $Q28), 1)"),1.0)</f>
        <v>1</v>
      </c>
      <c r="U28" s="20">
        <f>IFERROR(__xludf.DUMMYFUNCTION("iferror(PERCENTRANK.INC(FILTER($Q$2:$Q$428, $O$2:$O$428&lt;4.25), $Q28), 1)"),0.992)</f>
        <v>0.992</v>
      </c>
      <c r="V28" s="20">
        <f>IFERROR(__xludf.DUMMYFUNCTION("iferror(PERCENTRANK.INC(FILTER($Q$2:$Q$428, $O$2:$O$428&gt;=4.1), $Q28), 0.01)"),0.081)</f>
        <v>0.081</v>
      </c>
    </row>
    <row r="29" ht="14.25" customHeight="1">
      <c r="A29" s="14" t="s">
        <v>831</v>
      </c>
      <c r="B29" s="14" t="s">
        <v>423</v>
      </c>
      <c r="C29" s="14">
        <v>22.0</v>
      </c>
      <c r="D29" s="14" t="s">
        <v>803</v>
      </c>
      <c r="E29" s="14" t="s">
        <v>132</v>
      </c>
      <c r="F29" s="14">
        <v>77.0</v>
      </c>
      <c r="G29" s="14">
        <v>350.0</v>
      </c>
      <c r="H29" s="14">
        <v>4.5</v>
      </c>
      <c r="I29" s="14">
        <v>5.0</v>
      </c>
      <c r="J29" s="14">
        <v>2.4819999999999998</v>
      </c>
      <c r="K29" s="20">
        <f t="shared" si="1"/>
        <v>13.39957844</v>
      </c>
      <c r="L29" s="15"/>
      <c r="M29" s="20">
        <v>2.4819999999999998</v>
      </c>
      <c r="N29" s="14">
        <v>5.47</v>
      </c>
      <c r="O29" s="14">
        <v>4.08</v>
      </c>
      <c r="P29" s="14">
        <v>0.95</v>
      </c>
      <c r="Q29" s="20">
        <f t="shared" si="2"/>
        <v>4.063395</v>
      </c>
      <c r="R29" s="20">
        <f t="shared" si="3"/>
        <v>74.32464071</v>
      </c>
      <c r="T29" s="20">
        <f>IFERROR(__xludf.DUMMYFUNCTION("iferror(PERCENTRANK.INC(FILTER($Q$2:$Q$428, $O$2:$O$428&lt;3.75), $Q29), 1)"),1.0)</f>
        <v>1</v>
      </c>
      <c r="U29" s="20">
        <f>IFERROR(__xludf.DUMMYFUNCTION("iferror(PERCENTRANK.INC(FILTER($Q$2:$Q$428, $O$2:$O$428&lt;4.25), $Q29), 1)"),0.99)</f>
        <v>0.99</v>
      </c>
      <c r="V29" s="20">
        <f>IFERROR(__xludf.DUMMYFUNCTION("iferror(PERCENTRANK.INC(FILTER($Q$2:$Q$428, $O$2:$O$428&gt;=4.1), $Q29), 0.01)"),0.031)</f>
        <v>0.031</v>
      </c>
    </row>
    <row r="30" ht="14.25" customHeight="1">
      <c r="A30" s="14" t="s">
        <v>832</v>
      </c>
      <c r="B30" s="14" t="s">
        <v>126</v>
      </c>
      <c r="C30" s="14">
        <v>26.0</v>
      </c>
      <c r="D30" s="14" t="s">
        <v>803</v>
      </c>
      <c r="E30" s="14" t="s">
        <v>127</v>
      </c>
      <c r="F30" s="14">
        <v>137.0</v>
      </c>
      <c r="G30" s="14">
        <v>1049.0</v>
      </c>
      <c r="H30" s="14">
        <v>7.7</v>
      </c>
      <c r="I30" s="14">
        <v>15.0</v>
      </c>
      <c r="J30" s="20">
        <v>5.952000000000001</v>
      </c>
      <c r="K30" s="20">
        <f t="shared" si="1"/>
        <v>65.64287865</v>
      </c>
      <c r="L30" s="15"/>
      <c r="M30" s="20">
        <v>5.952000000000001</v>
      </c>
      <c r="N30" s="14">
        <v>8.66</v>
      </c>
      <c r="O30" s="20">
        <v>3.73</v>
      </c>
      <c r="P30" s="14">
        <v>0.9</v>
      </c>
      <c r="Q30" s="20">
        <f t="shared" si="2"/>
        <v>4.05784</v>
      </c>
      <c r="R30" s="20">
        <f t="shared" si="3"/>
        <v>74.22303273</v>
      </c>
      <c r="T30" s="20">
        <f>IFERROR(__xludf.DUMMYFUNCTION("iferror(PERCENTRANK.INC(FILTER($Q$2:$Q$428, $O$2:$O$428&lt;3.75), $Q30), 1)"),1.0)</f>
        <v>1</v>
      </c>
      <c r="U30" s="20">
        <f>IFERROR(__xludf.DUMMYFUNCTION("iferror(PERCENTRANK.INC(FILTER($Q$2:$Q$428, $O$2:$O$428&lt;4.25), $Q30), 1)"),0.981)</f>
        <v>0.981</v>
      </c>
      <c r="V30" s="20">
        <f>IFERROR(__xludf.DUMMYFUNCTION("iferror(PERCENTRANK.INC(FILTER($Q$2:$Q$428, $O$2:$O$428&gt;=4.1), $Q30), 0.01)"),0.027)</f>
        <v>0.027</v>
      </c>
    </row>
    <row r="31" ht="14.25" customHeight="1">
      <c r="A31" s="14" t="s">
        <v>833</v>
      </c>
      <c r="B31" s="14" t="s">
        <v>157</v>
      </c>
      <c r="C31" s="14">
        <v>23.0</v>
      </c>
      <c r="D31" s="14" t="s">
        <v>803</v>
      </c>
      <c r="E31" s="14" t="s">
        <v>158</v>
      </c>
      <c r="F31" s="14">
        <v>70.0</v>
      </c>
      <c r="G31" s="14">
        <v>448.0</v>
      </c>
      <c r="H31" s="14">
        <v>6.4</v>
      </c>
      <c r="I31" s="14">
        <v>3.0</v>
      </c>
      <c r="J31" s="20">
        <v>2.7</v>
      </c>
      <c r="K31" s="20">
        <f t="shared" si="1"/>
        <v>16.68172237</v>
      </c>
      <c r="L31" s="15"/>
      <c r="M31" s="20">
        <v>2.7</v>
      </c>
      <c r="N31" s="14">
        <v>0.83</v>
      </c>
      <c r="O31" s="20">
        <v>4.32</v>
      </c>
      <c r="P31" s="14">
        <v>0.95</v>
      </c>
      <c r="Q31" s="20">
        <f t="shared" si="2"/>
        <v>4.05775</v>
      </c>
      <c r="R31" s="20">
        <f t="shared" si="3"/>
        <v>74.22138651</v>
      </c>
      <c r="T31" s="20">
        <f>IFERROR(__xludf.DUMMYFUNCTION("iferror(PERCENTRANK.INC(FILTER($Q$2:$Q$428, $O$2:$O$428&lt;3.75), $Q31), 1)"),1.0)</f>
        <v>1</v>
      </c>
      <c r="U31" s="20">
        <f>IFERROR(__xludf.DUMMYFUNCTION("iferror(PERCENTRANK.INC(FILTER($Q$2:$Q$428, $O$2:$O$428&lt;4.25), $Q31), 1)"),0.981)</f>
        <v>0.981</v>
      </c>
      <c r="V31" s="20">
        <f>IFERROR(__xludf.DUMMYFUNCTION("iferror(PERCENTRANK.INC(FILTER($Q$2:$Q$428, $O$2:$O$428&gt;=4.1), $Q31), 0.01)"),0.027)</f>
        <v>0.027</v>
      </c>
    </row>
    <row r="32" ht="14.25" customHeight="1">
      <c r="A32" s="14" t="s">
        <v>834</v>
      </c>
      <c r="B32" s="14" t="s">
        <v>245</v>
      </c>
      <c r="C32" s="14">
        <v>7.0</v>
      </c>
      <c r="D32" s="14" t="s">
        <v>803</v>
      </c>
      <c r="E32" s="14" t="s">
        <v>158</v>
      </c>
      <c r="F32" s="14">
        <v>103.0</v>
      </c>
      <c r="G32" s="14">
        <v>532.0</v>
      </c>
      <c r="H32" s="14">
        <v>5.2</v>
      </c>
      <c r="I32" s="14">
        <v>5.0</v>
      </c>
      <c r="J32" s="20">
        <v>3.114</v>
      </c>
      <c r="K32" s="20">
        <f t="shared" si="1"/>
        <v>22.9147847</v>
      </c>
      <c r="L32" s="15"/>
      <c r="M32" s="20">
        <v>3.114</v>
      </c>
      <c r="N32" s="14">
        <v>3.6</v>
      </c>
      <c r="O32" s="20">
        <v>4.05</v>
      </c>
      <c r="P32" s="14">
        <v>0.95</v>
      </c>
      <c r="Q32" s="20">
        <f t="shared" si="2"/>
        <v>3.972915</v>
      </c>
      <c r="R32" s="20">
        <f t="shared" si="3"/>
        <v>72.66964692</v>
      </c>
      <c r="T32" s="20">
        <f>IFERROR(__xludf.DUMMYFUNCTION("iferror(PERCENTRANK.INC(FILTER($Q$2:$Q$428, $O$2:$O$428&lt;3.75), $Q32), 1)"),0.997)</f>
        <v>0.997</v>
      </c>
      <c r="U32" s="20">
        <f>IFERROR(__xludf.DUMMYFUNCTION("iferror(PERCENTRANK.INC(FILTER($Q$2:$Q$428, $O$2:$O$428&lt;4.25), $Q32), 1)"),0.961)</f>
        <v>0.961</v>
      </c>
      <c r="V32" s="20">
        <f>IFERROR(__xludf.DUMMYFUNCTION("iferror(PERCENTRANK.INC(FILTER($Q$2:$Q$428, $O$2:$O$428&gt;=4.1), $Q32), 0.01)"),0.026)</f>
        <v>0.026</v>
      </c>
    </row>
    <row r="33" ht="14.25" customHeight="1">
      <c r="A33" s="14" t="s">
        <v>835</v>
      </c>
      <c r="B33" s="14" t="s">
        <v>608</v>
      </c>
      <c r="C33" s="14">
        <v>11.0</v>
      </c>
      <c r="D33" s="14" t="s">
        <v>803</v>
      </c>
      <c r="E33" s="14" t="s">
        <v>158</v>
      </c>
      <c r="F33" s="14">
        <v>39.0</v>
      </c>
      <c r="G33" s="14">
        <v>295.0</v>
      </c>
      <c r="H33" s="14">
        <v>7.6</v>
      </c>
      <c r="I33" s="14">
        <v>5.0</v>
      </c>
      <c r="J33" s="20">
        <v>2.64</v>
      </c>
      <c r="K33" s="20">
        <f t="shared" si="1"/>
        <v>15.77838001</v>
      </c>
      <c r="L33" s="15"/>
      <c r="M33" s="20">
        <v>2.64</v>
      </c>
      <c r="N33" s="14">
        <v>3.13</v>
      </c>
      <c r="O33" s="20">
        <v>4.05</v>
      </c>
      <c r="P33" s="14">
        <v>0.95</v>
      </c>
      <c r="Q33" s="20">
        <f t="shared" si="2"/>
        <v>3.9269</v>
      </c>
      <c r="R33" s="20">
        <f t="shared" si="3"/>
        <v>71.8279743</v>
      </c>
      <c r="T33" s="20">
        <f>IFERROR(__xludf.DUMMYFUNCTION("iferror(PERCENTRANK.INC(FILTER($Q$2:$Q$428, $O$2:$O$428&lt;3.75), $Q33), 1)"),0.996)</f>
        <v>0.996</v>
      </c>
      <c r="U33" s="20">
        <f>IFERROR(__xludf.DUMMYFUNCTION("iferror(PERCENTRANK.INC(FILTER($Q$2:$Q$428, $O$2:$O$428&lt;4.25), $Q33), 1)"),0.951)</f>
        <v>0.951</v>
      </c>
      <c r="V33" s="20">
        <f>IFERROR(__xludf.DUMMYFUNCTION("iferror(PERCENTRANK.INC(FILTER($Q$2:$Q$428, $O$2:$O$428&gt;=4.1), $Q33), 0.01)"),0.026)</f>
        <v>0.026</v>
      </c>
    </row>
    <row r="34" ht="14.25" customHeight="1">
      <c r="A34" s="14" t="s">
        <v>836</v>
      </c>
      <c r="B34" s="14" t="s">
        <v>305</v>
      </c>
      <c r="C34" s="14">
        <v>6.0</v>
      </c>
      <c r="D34" s="14" t="s">
        <v>803</v>
      </c>
      <c r="E34" s="14" t="s">
        <v>132</v>
      </c>
      <c r="F34" s="14">
        <v>27.0</v>
      </c>
      <c r="G34" s="14">
        <v>192.0</v>
      </c>
      <c r="H34" s="14">
        <v>7.1</v>
      </c>
      <c r="I34" s="14">
        <v>2.0</v>
      </c>
      <c r="J34" s="20">
        <v>1.922</v>
      </c>
      <c r="K34" s="20">
        <f t="shared" si="1"/>
        <v>4.968383017</v>
      </c>
      <c r="L34" s="15"/>
      <c r="M34" s="20">
        <v>1.922</v>
      </c>
      <c r="N34" s="14">
        <v>3.36</v>
      </c>
      <c r="O34" s="20">
        <v>4.05</v>
      </c>
      <c r="P34" s="14">
        <v>0.95</v>
      </c>
      <c r="Q34" s="20">
        <f t="shared" si="2"/>
        <v>3.904295</v>
      </c>
      <c r="R34" s="20">
        <f t="shared" si="3"/>
        <v>71.41450022</v>
      </c>
      <c r="T34" s="20">
        <f>IFERROR(__xludf.DUMMYFUNCTION("iferror(PERCENTRANK.INC(FILTER($Q$2:$Q$428, $O$2:$O$428&lt;3.75), $Q34), 1)"),0.995)</f>
        <v>0.995</v>
      </c>
      <c r="U34" s="20">
        <f>IFERROR(__xludf.DUMMYFUNCTION("iferror(PERCENTRANK.INC(FILTER($Q$2:$Q$428, $O$2:$O$428&lt;4.25), $Q34), 1)"),0.932)</f>
        <v>0.932</v>
      </c>
      <c r="V34" s="20">
        <f>IFERROR(__xludf.DUMMYFUNCTION("iferror(PERCENTRANK.INC(FILTER($Q$2:$Q$428, $O$2:$O$428&gt;=4.1), $Q34), 0.01)"),0.026)</f>
        <v>0.026</v>
      </c>
    </row>
    <row r="35" ht="14.25" customHeight="1">
      <c r="A35" s="14" t="s">
        <v>837</v>
      </c>
      <c r="B35" s="14" t="s">
        <v>245</v>
      </c>
      <c r="C35" s="14">
        <v>21.0</v>
      </c>
      <c r="D35" s="14" t="s">
        <v>803</v>
      </c>
      <c r="E35" s="14" t="s">
        <v>158</v>
      </c>
      <c r="F35" s="14">
        <v>71.0</v>
      </c>
      <c r="G35" s="14">
        <v>325.0</v>
      </c>
      <c r="H35" s="14">
        <v>4.6</v>
      </c>
      <c r="I35" s="14">
        <v>4.0</v>
      </c>
      <c r="J35" s="20">
        <v>2.292</v>
      </c>
      <c r="K35" s="20">
        <f t="shared" si="1"/>
        <v>10.53899428</v>
      </c>
      <c r="L35" s="15"/>
      <c r="M35" s="20">
        <v>2.292</v>
      </c>
      <c r="N35" s="14">
        <v>2.6</v>
      </c>
      <c r="O35" s="20">
        <v>4.0</v>
      </c>
      <c r="P35" s="14">
        <v>0.95</v>
      </c>
      <c r="Q35" s="20">
        <f t="shared" si="2"/>
        <v>3.83887</v>
      </c>
      <c r="R35" s="20">
        <f t="shared" si="3"/>
        <v>70.21779411</v>
      </c>
      <c r="T35" s="20">
        <f>IFERROR(__xludf.DUMMYFUNCTION("iferror(PERCENTRANK.INC(FILTER($Q$2:$Q$428, $O$2:$O$428&lt;3.75), $Q35), 1)"),0.993)</f>
        <v>0.993</v>
      </c>
      <c r="U35" s="20">
        <f>IFERROR(__xludf.DUMMYFUNCTION("iferror(PERCENTRANK.INC(FILTER($Q$2:$Q$428, $O$2:$O$428&lt;4.25), $Q35), 1)"),0.922)</f>
        <v>0.922</v>
      </c>
      <c r="V35" s="20">
        <f>IFERROR(__xludf.DUMMYFUNCTION("iferror(PERCENTRANK.INC(FILTER($Q$2:$Q$428, $O$2:$O$428&gt;=4.1), $Q35), 0.01)"),0.025)</f>
        <v>0.025</v>
      </c>
    </row>
    <row r="36" ht="14.25" customHeight="1">
      <c r="A36" s="14" t="s">
        <v>838</v>
      </c>
      <c r="B36" s="14" t="s">
        <v>131</v>
      </c>
      <c r="C36" s="14">
        <v>2.0</v>
      </c>
      <c r="D36" s="14" t="s">
        <v>803</v>
      </c>
      <c r="E36" s="14" t="s">
        <v>132</v>
      </c>
      <c r="F36" s="14">
        <v>103.0</v>
      </c>
      <c r="G36" s="14">
        <v>511.0</v>
      </c>
      <c r="H36" s="14">
        <v>5.0</v>
      </c>
      <c r="I36" s="14">
        <v>2.0</v>
      </c>
      <c r="J36" s="20">
        <v>2.68</v>
      </c>
      <c r="K36" s="20">
        <f t="shared" si="1"/>
        <v>16.38060825</v>
      </c>
      <c r="L36" s="15"/>
      <c r="M36" s="20">
        <v>2.68</v>
      </c>
      <c r="N36" s="14">
        <v>0.85</v>
      </c>
      <c r="O36" s="20">
        <v>4.05</v>
      </c>
      <c r="P36" s="14">
        <v>0.95</v>
      </c>
      <c r="Q36" s="20">
        <f t="shared" si="2"/>
        <v>3.8148</v>
      </c>
      <c r="R36" s="20">
        <f t="shared" si="3"/>
        <v>69.77752333</v>
      </c>
      <c r="T36" s="20">
        <f>IFERROR(__xludf.DUMMYFUNCTION("iferror(PERCENTRANK.INC(FILTER($Q$2:$Q$428, $O$2:$O$428&lt;3.75), $Q36), 1)"),0.992)</f>
        <v>0.992</v>
      </c>
      <c r="U36" s="20">
        <f>IFERROR(__xludf.DUMMYFUNCTION("iferror(PERCENTRANK.INC(FILTER($Q$2:$Q$428, $O$2:$O$428&lt;4.25), $Q36), 1)"),0.913)</f>
        <v>0.913</v>
      </c>
      <c r="V36" s="20">
        <f>IFERROR(__xludf.DUMMYFUNCTION("iferror(PERCENTRANK.INC(FILTER($Q$2:$Q$428, $O$2:$O$428&gt;=4.1), $Q36), 0.01)"),0.025)</f>
        <v>0.025</v>
      </c>
    </row>
    <row r="37" ht="14.25" customHeight="1">
      <c r="A37" s="14" t="s">
        <v>839</v>
      </c>
      <c r="B37" s="14" t="s">
        <v>116</v>
      </c>
      <c r="C37" s="14">
        <v>20.0</v>
      </c>
      <c r="D37" s="14" t="s">
        <v>803</v>
      </c>
      <c r="E37" s="14" t="s">
        <v>117</v>
      </c>
      <c r="F37" s="14">
        <v>68.0</v>
      </c>
      <c r="G37" s="14">
        <v>543.0</v>
      </c>
      <c r="H37" s="14">
        <v>8.0</v>
      </c>
      <c r="I37" s="14">
        <v>4.0</v>
      </c>
      <c r="J37" s="14">
        <v>3.2539999999999996</v>
      </c>
      <c r="K37" s="20">
        <f t="shared" si="1"/>
        <v>25.02258356</v>
      </c>
      <c r="L37" s="15"/>
      <c r="M37" s="20">
        <v>3.2539999999999996</v>
      </c>
      <c r="N37" s="14">
        <v>10.0</v>
      </c>
      <c r="O37" s="14">
        <v>3.42</v>
      </c>
      <c r="P37" s="14">
        <v>0.95</v>
      </c>
      <c r="Q37" s="20">
        <f t="shared" si="2"/>
        <v>3.732565</v>
      </c>
      <c r="R37" s="20">
        <f t="shared" si="3"/>
        <v>68.27334103</v>
      </c>
      <c r="T37" s="20">
        <f>IFERROR(__xludf.DUMMYFUNCTION("iferror(PERCENTRANK.INC(FILTER($Q$2:$Q$428, $O$2:$O$428&lt;3.75), $Q37), 1)"),0.989)</f>
        <v>0.989</v>
      </c>
      <c r="U37" s="20">
        <f>IFERROR(__xludf.DUMMYFUNCTION("iferror(PERCENTRANK.INC(FILTER($Q$2:$Q$428, $O$2:$O$428&lt;4.25), $Q37), 1)"),0.903)</f>
        <v>0.903</v>
      </c>
      <c r="V37" s="20">
        <f>IFERROR(__xludf.DUMMYFUNCTION("iferror(PERCENTRANK.INC(FILTER($Q$2:$Q$428, $O$2:$O$428&gt;=4.1), $Q37), 0.01)"),0.025)</f>
        <v>0.025</v>
      </c>
    </row>
    <row r="38" ht="14.25" customHeight="1">
      <c r="A38" s="14" t="s">
        <v>840</v>
      </c>
      <c r="B38" s="14" t="s">
        <v>710</v>
      </c>
      <c r="C38" s="14">
        <v>28.0</v>
      </c>
      <c r="D38" s="14" t="s">
        <v>803</v>
      </c>
      <c r="E38" s="14" t="s">
        <v>158</v>
      </c>
      <c r="F38" s="14">
        <v>57.0</v>
      </c>
      <c r="G38" s="14">
        <v>306.0</v>
      </c>
      <c r="H38" s="14">
        <v>5.4</v>
      </c>
      <c r="I38" s="14">
        <v>4.0</v>
      </c>
      <c r="J38" s="20">
        <v>2.298</v>
      </c>
      <c r="K38" s="20">
        <f t="shared" si="1"/>
        <v>10.62932852</v>
      </c>
      <c r="L38" s="15"/>
      <c r="M38" s="20">
        <v>2.298</v>
      </c>
      <c r="N38" s="14">
        <v>0.38</v>
      </c>
      <c r="O38" s="20">
        <v>4.0</v>
      </c>
      <c r="P38" s="14">
        <v>0.95</v>
      </c>
      <c r="Q38" s="20">
        <f t="shared" si="2"/>
        <v>3.728155</v>
      </c>
      <c r="R38" s="20">
        <f t="shared" si="3"/>
        <v>68.19267654</v>
      </c>
      <c r="T38" s="20">
        <f>IFERROR(__xludf.DUMMYFUNCTION("iferror(PERCENTRANK.INC(FILTER($Q$2:$Q$428, $O$2:$O$428&lt;3.75), $Q38), 1)"),0.989)</f>
        <v>0.989</v>
      </c>
      <c r="U38" s="20">
        <f>IFERROR(__xludf.DUMMYFUNCTION("iferror(PERCENTRANK.INC(FILTER($Q$2:$Q$428, $O$2:$O$428&lt;4.25), $Q38), 1)"),0.893)</f>
        <v>0.893</v>
      </c>
      <c r="V38" s="20">
        <f>IFERROR(__xludf.DUMMYFUNCTION("iferror(PERCENTRANK.INC(FILTER($Q$2:$Q$428, $O$2:$O$428&gt;=4.1), $Q38), 0.01)"),0.025)</f>
        <v>0.025</v>
      </c>
    </row>
    <row r="39" ht="14.25" customHeight="1">
      <c r="A39" s="14" t="s">
        <v>841</v>
      </c>
      <c r="B39" s="14" t="s">
        <v>747</v>
      </c>
      <c r="C39" s="14">
        <v>22.0</v>
      </c>
      <c r="D39" s="14" t="s">
        <v>803</v>
      </c>
      <c r="E39" s="14" t="s">
        <v>147</v>
      </c>
      <c r="F39" s="14">
        <v>168.0</v>
      </c>
      <c r="G39" s="14">
        <v>847.0</v>
      </c>
      <c r="H39" s="14">
        <v>5.0</v>
      </c>
      <c r="I39" s="14">
        <v>5.0</v>
      </c>
      <c r="J39" s="20">
        <v>4.102</v>
      </c>
      <c r="K39" s="20">
        <f t="shared" si="1"/>
        <v>37.78982234</v>
      </c>
      <c r="L39" s="15"/>
      <c r="M39" s="20">
        <v>4.102</v>
      </c>
      <c r="N39" s="14">
        <v>0.32</v>
      </c>
      <c r="O39" s="20">
        <v>3.79</v>
      </c>
      <c r="P39" s="14">
        <v>0.95</v>
      </c>
      <c r="Q39" s="20">
        <f t="shared" si="2"/>
        <v>3.621845</v>
      </c>
      <c r="R39" s="20">
        <f t="shared" si="3"/>
        <v>66.248132</v>
      </c>
      <c r="T39" s="20">
        <f>IFERROR(__xludf.DUMMYFUNCTION("iferror(PERCENTRANK.INC(FILTER($Q$2:$Q$428, $O$2:$O$428&lt;3.75), $Q39), 1)"),0.98)</f>
        <v>0.98</v>
      </c>
      <c r="U39" s="20">
        <f>IFERROR(__xludf.DUMMYFUNCTION("iferror(PERCENTRANK.INC(FILTER($Q$2:$Q$428, $O$2:$O$428&lt;4.25), $Q39), 1)"),0.864)</f>
        <v>0.864</v>
      </c>
      <c r="V39" s="20">
        <f>IFERROR(__xludf.DUMMYFUNCTION("iferror(PERCENTRANK.INC(FILTER($Q$2:$Q$428, $O$2:$O$428&gt;=4.1), $Q39), 0.01)"),0.024)</f>
        <v>0.024</v>
      </c>
    </row>
    <row r="40" ht="14.25" customHeight="1">
      <c r="A40" s="14" t="s">
        <v>842</v>
      </c>
      <c r="B40" s="14" t="s">
        <v>116</v>
      </c>
      <c r="C40" s="14">
        <v>5.0</v>
      </c>
      <c r="D40" s="14" t="s">
        <v>803</v>
      </c>
      <c r="E40" s="14" t="s">
        <v>117</v>
      </c>
      <c r="F40" s="14">
        <v>57.0</v>
      </c>
      <c r="G40" s="14">
        <v>237.0</v>
      </c>
      <c r="H40" s="14">
        <v>4.2</v>
      </c>
      <c r="I40" s="14">
        <v>2.0</v>
      </c>
      <c r="J40" s="20">
        <v>1.7280000000000002</v>
      </c>
      <c r="K40" s="20">
        <f t="shared" si="1"/>
        <v>2.047576031</v>
      </c>
      <c r="L40" s="15"/>
      <c r="M40" s="20">
        <v>1.7280000000000002</v>
      </c>
      <c r="N40" s="14">
        <v>10.0</v>
      </c>
      <c r="O40" s="20">
        <v>3.35</v>
      </c>
      <c r="P40" s="14">
        <v>0.95</v>
      </c>
      <c r="Q40" s="20">
        <f t="shared" si="2"/>
        <v>3.59708</v>
      </c>
      <c r="R40" s="20">
        <f t="shared" si="3"/>
        <v>65.79514879</v>
      </c>
      <c r="T40" s="20">
        <f>IFERROR(__xludf.DUMMYFUNCTION("iferror(PERCENTRANK.INC(FILTER($Q$2:$Q$428, $O$2:$O$428&lt;3.75), $Q40), 1)"),0.978)</f>
        <v>0.978</v>
      </c>
      <c r="U40" s="20">
        <f>IFERROR(__xludf.DUMMYFUNCTION("iferror(PERCENTRANK.INC(FILTER($Q$2:$Q$428, $O$2:$O$428&lt;4.25), $Q40), 1)"),0.854)</f>
        <v>0.854</v>
      </c>
      <c r="V40" s="20">
        <f>IFERROR(__xludf.DUMMYFUNCTION("iferror(PERCENTRANK.INC(FILTER($Q$2:$Q$428, $O$2:$O$428&gt;=4.1), $Q40), 0.01)"),0.024)</f>
        <v>0.024</v>
      </c>
    </row>
    <row r="41" ht="14.25" customHeight="1">
      <c r="A41" s="14" t="s">
        <v>843</v>
      </c>
      <c r="B41" s="14" t="s">
        <v>555</v>
      </c>
      <c r="C41" s="14">
        <v>5.0</v>
      </c>
      <c r="D41" s="14" t="s">
        <v>803</v>
      </c>
      <c r="E41" s="14" t="s">
        <v>117</v>
      </c>
      <c r="F41" s="14">
        <v>87.0</v>
      </c>
      <c r="G41" s="14">
        <v>523.0</v>
      </c>
      <c r="H41" s="14">
        <v>6.0</v>
      </c>
      <c r="I41" s="14">
        <v>2.0</v>
      </c>
      <c r="J41" s="20">
        <v>2.7679999999999993</v>
      </c>
      <c r="K41" s="20">
        <f t="shared" si="1"/>
        <v>17.70551039</v>
      </c>
      <c r="L41" s="15"/>
      <c r="M41" s="20">
        <v>2.7679999999999993</v>
      </c>
      <c r="N41" s="14">
        <v>0.8</v>
      </c>
      <c r="O41" s="20">
        <v>3.73</v>
      </c>
      <c r="P41" s="14">
        <v>0.95</v>
      </c>
      <c r="Q41" s="20">
        <f t="shared" si="2"/>
        <v>3.52848</v>
      </c>
      <c r="R41" s="20">
        <f t="shared" si="3"/>
        <v>64.54036791</v>
      </c>
      <c r="T41" s="20">
        <f>IFERROR(__xludf.DUMMYFUNCTION("iferror(PERCENTRANK.INC(FILTER($Q$2:$Q$428, $O$2:$O$428&lt;3.75), $Q41), 1)"),0.956)</f>
        <v>0.956</v>
      </c>
      <c r="U41" s="20">
        <f>IFERROR(__xludf.DUMMYFUNCTION("iferror(PERCENTRANK.INC(FILTER($Q$2:$Q$428, $O$2:$O$428&lt;4.25), $Q41), 1)"),0.835)</f>
        <v>0.835</v>
      </c>
      <c r="V41" s="20">
        <f>IFERROR(__xludf.DUMMYFUNCTION("iferror(PERCENTRANK.INC(FILTER($Q$2:$Q$428, $O$2:$O$428&gt;=4.1), $Q41), 0.01)"),0.023)</f>
        <v>0.023</v>
      </c>
    </row>
    <row r="42" ht="14.25" customHeight="1">
      <c r="A42" s="14" t="s">
        <v>844</v>
      </c>
      <c r="B42" s="14" t="s">
        <v>431</v>
      </c>
      <c r="C42" s="14">
        <v>6.0</v>
      </c>
      <c r="D42" s="14" t="s">
        <v>803</v>
      </c>
      <c r="E42" s="14" t="s">
        <v>144</v>
      </c>
      <c r="F42" s="14">
        <v>72.0</v>
      </c>
      <c r="G42" s="14">
        <v>368.0</v>
      </c>
      <c r="H42" s="14">
        <v>5.1</v>
      </c>
      <c r="I42" s="14">
        <v>4.0</v>
      </c>
      <c r="J42" s="20">
        <v>2.464</v>
      </c>
      <c r="K42" s="20">
        <f t="shared" si="1"/>
        <v>13.12857573</v>
      </c>
      <c r="L42" s="15"/>
      <c r="M42" s="20">
        <v>2.464</v>
      </c>
      <c r="N42" s="14">
        <v>0.76</v>
      </c>
      <c r="O42" s="20">
        <v>3.73</v>
      </c>
      <c r="P42" s="14">
        <v>0.95</v>
      </c>
      <c r="Q42" s="20">
        <f t="shared" si="2"/>
        <v>3.51204</v>
      </c>
      <c r="R42" s="20">
        <f t="shared" si="3"/>
        <v>64.23965949</v>
      </c>
      <c r="T42" s="20">
        <f>IFERROR(__xludf.DUMMYFUNCTION("iferror(PERCENTRANK.INC(FILTER($Q$2:$Q$428, $O$2:$O$428&lt;3.75), $Q42), 1)"),0.944)</f>
        <v>0.944</v>
      </c>
      <c r="U42" s="20">
        <f>IFERROR(__xludf.DUMMYFUNCTION("iferror(PERCENTRANK.INC(FILTER($Q$2:$Q$428, $O$2:$O$428&lt;4.25), $Q42), 1)"),0.825)</f>
        <v>0.825</v>
      </c>
      <c r="V42" s="20">
        <f>IFERROR(__xludf.DUMMYFUNCTION("iferror(PERCENTRANK.INC(FILTER($Q$2:$Q$428, $O$2:$O$428&gt;=4.1), $Q42), 0.01)"),0.023)</f>
        <v>0.023</v>
      </c>
    </row>
    <row r="43" ht="14.25" customHeight="1">
      <c r="A43" s="14" t="s">
        <v>845</v>
      </c>
      <c r="B43" s="14" t="s">
        <v>410</v>
      </c>
      <c r="C43" s="14">
        <v>41.0</v>
      </c>
      <c r="D43" s="14" t="s">
        <v>803</v>
      </c>
      <c r="E43" s="14" t="s">
        <v>147</v>
      </c>
      <c r="F43" s="14">
        <v>34.0</v>
      </c>
      <c r="G43" s="14">
        <v>202.0</v>
      </c>
      <c r="H43" s="14">
        <v>5.9</v>
      </c>
      <c r="I43" s="14">
        <v>1.0</v>
      </c>
      <c r="J43" s="20">
        <v>1.672</v>
      </c>
      <c r="K43" s="20">
        <f t="shared" si="1"/>
        <v>1.204456489</v>
      </c>
      <c r="L43" s="15"/>
      <c r="M43" s="20">
        <v>1.672</v>
      </c>
      <c r="N43" s="14">
        <v>4.53</v>
      </c>
      <c r="O43" s="20">
        <v>3.41</v>
      </c>
      <c r="P43" s="14">
        <v>0.95</v>
      </c>
      <c r="Q43" s="20">
        <f t="shared" si="2"/>
        <v>3.37492</v>
      </c>
      <c r="R43" s="20">
        <f t="shared" si="3"/>
        <v>61.73156103</v>
      </c>
      <c r="T43" s="20">
        <f>IFERROR(__xludf.DUMMYFUNCTION("iferror(PERCENTRANK.INC(FILTER($Q$2:$Q$428, $O$2:$O$428&lt;3.75), $Q43), 1)"),0.933)</f>
        <v>0.933</v>
      </c>
      <c r="U43" s="20">
        <f>IFERROR(__xludf.DUMMYFUNCTION("iferror(PERCENTRANK.INC(FILTER($Q$2:$Q$428, $O$2:$O$428&lt;4.25), $Q43), 1)"),0.816)</f>
        <v>0.816</v>
      </c>
      <c r="V43" s="20">
        <f>IFERROR(__xludf.DUMMYFUNCTION("iferror(PERCENTRANK.INC(FILTER($Q$2:$Q$428, $O$2:$O$428&gt;=4.1), $Q43), 0.01)"),0.022)</f>
        <v>0.022</v>
      </c>
    </row>
    <row r="44" ht="14.25" customHeight="1">
      <c r="A44" s="14" t="s">
        <v>846</v>
      </c>
      <c r="B44" s="14" t="s">
        <v>481</v>
      </c>
      <c r="C44" s="14">
        <v>10.0</v>
      </c>
      <c r="D44" s="14" t="s">
        <v>803</v>
      </c>
      <c r="E44" s="14" t="s">
        <v>158</v>
      </c>
      <c r="F44" s="14">
        <v>148.0</v>
      </c>
      <c r="G44" s="14">
        <v>762.0</v>
      </c>
      <c r="H44" s="14">
        <v>5.2</v>
      </c>
      <c r="I44" s="14">
        <v>6.0</v>
      </c>
      <c r="J44" s="20">
        <v>3.964</v>
      </c>
      <c r="K44" s="20">
        <f t="shared" si="1"/>
        <v>35.7121349</v>
      </c>
      <c r="L44" s="15"/>
      <c r="M44" s="20">
        <v>3.964</v>
      </c>
      <c r="N44" s="14">
        <v>2.74</v>
      </c>
      <c r="O44" s="20">
        <v>3.15</v>
      </c>
      <c r="P44" s="14">
        <v>0.95</v>
      </c>
      <c r="Q44" s="20">
        <f t="shared" si="2"/>
        <v>3.16029</v>
      </c>
      <c r="R44" s="20">
        <f t="shared" si="3"/>
        <v>57.80570651</v>
      </c>
      <c r="T44" s="20">
        <f>IFERROR(__xludf.DUMMYFUNCTION("iferror(PERCENTRANK.INC(FILTER($Q$2:$Q$428, $O$2:$O$428&lt;3.75), $Q44), 1)"),0.911)</f>
        <v>0.911</v>
      </c>
      <c r="U44" s="20">
        <f>IFERROR(__xludf.DUMMYFUNCTION("iferror(PERCENTRANK.INC(FILTER($Q$2:$Q$428, $O$2:$O$428&lt;4.25), $Q44), 1)"),0.796)</f>
        <v>0.796</v>
      </c>
      <c r="V44" s="20">
        <f>IFERROR(__xludf.DUMMYFUNCTION("iferror(PERCENTRANK.INC(FILTER($Q$2:$Q$428, $O$2:$O$428&gt;=4.1), $Q44), 0.01)"),0.021)</f>
        <v>0.021</v>
      </c>
    </row>
    <row r="45" ht="14.25" customHeight="1">
      <c r="A45" s="14" t="s">
        <v>847</v>
      </c>
      <c r="B45" s="14" t="s">
        <v>101</v>
      </c>
      <c r="C45" s="14">
        <v>18.0</v>
      </c>
      <c r="D45" s="14" t="s">
        <v>803</v>
      </c>
      <c r="E45" s="14" t="s">
        <v>102</v>
      </c>
      <c r="F45" s="14">
        <v>65.0</v>
      </c>
      <c r="G45" s="14">
        <v>354.0</v>
      </c>
      <c r="H45" s="14">
        <v>5.5</v>
      </c>
      <c r="I45" s="14">
        <v>5.0</v>
      </c>
      <c r="J45" s="20">
        <v>2.5780000000000003</v>
      </c>
      <c r="K45" s="20">
        <f t="shared" si="1"/>
        <v>14.84492623</v>
      </c>
      <c r="L45" s="15"/>
      <c r="M45" s="20">
        <v>2.5780000000000003</v>
      </c>
      <c r="N45" s="14">
        <v>3.05</v>
      </c>
      <c r="O45" s="20">
        <v>3.09</v>
      </c>
      <c r="P45" s="14">
        <v>0.9</v>
      </c>
      <c r="Q45" s="20">
        <f t="shared" si="2"/>
        <v>3.04951</v>
      </c>
      <c r="R45" s="20">
        <f t="shared" si="3"/>
        <v>55.77940001</v>
      </c>
      <c r="T45" s="20">
        <f>IFERROR(__xludf.DUMMYFUNCTION("iferror(PERCENTRANK.INC(FILTER($Q$2:$Q$428, $O$2:$O$428&lt;3.75), $Q45), 1)"),0.878)</f>
        <v>0.878</v>
      </c>
      <c r="U45" s="20">
        <f>IFERROR(__xludf.DUMMYFUNCTION("iferror(PERCENTRANK.INC(FILTER($Q$2:$Q$428, $O$2:$O$428&lt;4.25), $Q45), 1)"),0.767)</f>
        <v>0.767</v>
      </c>
      <c r="V45" s="20">
        <f>IFERROR(__xludf.DUMMYFUNCTION("iferror(PERCENTRANK.INC(FILTER($Q$2:$Q$428, $O$2:$O$428&gt;=4.1), $Q45), 0.01)"),0.02)</f>
        <v>0.02</v>
      </c>
    </row>
    <row r="46" ht="14.25" customHeight="1">
      <c r="A46" s="14" t="s">
        <v>848</v>
      </c>
      <c r="B46" s="14" t="s">
        <v>390</v>
      </c>
      <c r="C46" s="14">
        <v>22.0</v>
      </c>
      <c r="D46" s="14" t="s">
        <v>803</v>
      </c>
      <c r="E46" s="14" t="s">
        <v>147</v>
      </c>
      <c r="F46" s="14">
        <v>53.0</v>
      </c>
      <c r="G46" s="14">
        <v>288.0</v>
      </c>
      <c r="H46" s="14">
        <v>5.4</v>
      </c>
      <c r="I46" s="14">
        <v>2.0</v>
      </c>
      <c r="J46" s="20">
        <v>1.9980000000000002</v>
      </c>
      <c r="K46" s="20">
        <f t="shared" si="1"/>
        <v>6.112616682</v>
      </c>
      <c r="L46" s="15"/>
      <c r="M46" s="20">
        <v>1.9980000000000002</v>
      </c>
      <c r="N46" s="14">
        <v>3.44</v>
      </c>
      <c r="O46" s="20">
        <v>2.83</v>
      </c>
      <c r="P46" s="14">
        <v>0.95</v>
      </c>
      <c r="Q46" s="20">
        <f t="shared" si="2"/>
        <v>2.813905</v>
      </c>
      <c r="R46" s="20">
        <f t="shared" si="3"/>
        <v>51.46988617</v>
      </c>
      <c r="T46" s="20">
        <f>IFERROR(__xludf.DUMMYFUNCTION("iferror(PERCENTRANK.INC(FILTER($Q$2:$Q$428, $O$2:$O$428&lt;3.75), $Q46), 1)"),0.867)</f>
        <v>0.867</v>
      </c>
      <c r="U46" s="20">
        <f>IFERROR(__xludf.DUMMYFUNCTION("iferror(PERCENTRANK.INC(FILTER($Q$2:$Q$428, $O$2:$O$428&lt;4.25), $Q46), 1)"),0.757)</f>
        <v>0.757</v>
      </c>
      <c r="V46" s="20">
        <f>IFERROR(__xludf.DUMMYFUNCTION("iferror(PERCENTRANK.INC(FILTER($Q$2:$Q$428, $O$2:$O$428&gt;=4.1), $Q46), 0.01)"),0.018)</f>
        <v>0.018</v>
      </c>
    </row>
    <row r="47" ht="14.25" customHeight="1">
      <c r="A47" s="14" t="s">
        <v>849</v>
      </c>
      <c r="B47" s="14" t="s">
        <v>222</v>
      </c>
      <c r="C47" s="14">
        <v>6.0</v>
      </c>
      <c r="D47" s="14" t="s">
        <v>803</v>
      </c>
      <c r="E47" s="14" t="s">
        <v>99</v>
      </c>
      <c r="F47" s="14">
        <v>60.0</v>
      </c>
      <c r="G47" s="14">
        <v>335.0</v>
      </c>
      <c r="H47" s="14">
        <v>5.6</v>
      </c>
      <c r="I47" s="14">
        <v>6.0</v>
      </c>
      <c r="J47" s="20">
        <v>2.6460000000000004</v>
      </c>
      <c r="K47" s="20">
        <f t="shared" si="1"/>
        <v>15.86871424</v>
      </c>
      <c r="L47" s="15"/>
      <c r="M47" s="20">
        <v>2.6460000000000004</v>
      </c>
      <c r="N47" s="14">
        <v>10.0</v>
      </c>
      <c r="P47" s="14">
        <v>1.0</v>
      </c>
      <c r="Q47" s="20">
        <f t="shared" si="2"/>
        <v>0.6323</v>
      </c>
      <c r="R47" s="20">
        <f t="shared" si="3"/>
        <v>11.56556779</v>
      </c>
      <c r="T47" s="20">
        <f>IFERROR(__xludf.DUMMYFUNCTION("iferror(PERCENTRANK.INC(FILTER($Q$2:$Q$428, $O$2:$O$428&lt;3.75), $Q47), 1)"),0.856)</f>
        <v>0.856</v>
      </c>
      <c r="U47" s="20">
        <f>IFERROR(__xludf.DUMMYFUNCTION("iferror(PERCENTRANK.INC(FILTER($Q$2:$Q$428, $O$2:$O$428&lt;4.25), $Q47), 1)"),0.748)</f>
        <v>0.748</v>
      </c>
      <c r="V47" s="20">
        <f>IFERROR(__xludf.DUMMYFUNCTION("iferror(PERCENTRANK.INC(FILTER($Q$2:$Q$428, $O$2:$O$428&gt;=4.1), $Q47), 0.01)"),0.003)</f>
        <v>0.003</v>
      </c>
    </row>
    <row r="48" ht="14.25" customHeight="1">
      <c r="A48" s="14" t="s">
        <v>850</v>
      </c>
      <c r="B48" s="14" t="s">
        <v>531</v>
      </c>
      <c r="C48" s="14">
        <v>6.0</v>
      </c>
      <c r="D48" s="14" t="s">
        <v>803</v>
      </c>
      <c r="E48" s="14" t="s">
        <v>114</v>
      </c>
      <c r="F48" s="14">
        <v>63.0</v>
      </c>
      <c r="G48" s="14">
        <v>263.0</v>
      </c>
      <c r="H48" s="14">
        <v>4.2</v>
      </c>
      <c r="I48" s="14">
        <v>7.0</v>
      </c>
      <c r="J48" s="20">
        <v>2.4160000000000004</v>
      </c>
      <c r="K48" s="20">
        <f t="shared" si="1"/>
        <v>12.40590184</v>
      </c>
      <c r="L48" s="15"/>
      <c r="M48" s="20">
        <v>2.4160000000000004</v>
      </c>
      <c r="N48" s="14">
        <v>10.0</v>
      </c>
      <c r="P48" s="14">
        <v>0.9</v>
      </c>
      <c r="Q48" s="20">
        <f t="shared" si="2"/>
        <v>0.60872</v>
      </c>
      <c r="R48" s="20">
        <f t="shared" si="3"/>
        <v>11.13425973</v>
      </c>
      <c r="T48" s="20">
        <f>IFERROR(__xludf.DUMMYFUNCTION("iferror(PERCENTRANK.INC(FILTER($Q$2:$Q$428, $O$2:$O$428&lt;3.75), $Q48), 1)"),0.844)</f>
        <v>0.844</v>
      </c>
      <c r="U48" s="20">
        <f>IFERROR(__xludf.DUMMYFUNCTION("iferror(PERCENTRANK.INC(FILTER($Q$2:$Q$428, $O$2:$O$428&lt;4.25), $Q48), 1)"),0.738)</f>
        <v>0.738</v>
      </c>
      <c r="V48" s="20">
        <f>IFERROR(__xludf.DUMMYFUNCTION("iferror(PERCENTRANK.INC(FILTER($Q$2:$Q$428, $O$2:$O$428&gt;=4.1), $Q48), 0.01)"),0.003)</f>
        <v>0.003</v>
      </c>
    </row>
    <row r="49" ht="14.25" customHeight="1">
      <c r="A49" s="14" t="s">
        <v>851</v>
      </c>
      <c r="B49" s="14" t="s">
        <v>852</v>
      </c>
      <c r="C49" s="14">
        <v>6.0</v>
      </c>
      <c r="D49" s="14" t="s">
        <v>803</v>
      </c>
      <c r="E49" s="14" t="s">
        <v>135</v>
      </c>
      <c r="F49" s="14">
        <v>48.0</v>
      </c>
      <c r="G49" s="14">
        <v>334.0</v>
      </c>
      <c r="H49" s="14">
        <v>7.0</v>
      </c>
      <c r="I49" s="14">
        <v>3.0</v>
      </c>
      <c r="J49" s="20">
        <v>2.436</v>
      </c>
      <c r="K49" s="20">
        <f t="shared" si="1"/>
        <v>12.70701596</v>
      </c>
      <c r="L49" s="15"/>
      <c r="M49" s="20">
        <v>2.436</v>
      </c>
      <c r="N49" s="14">
        <v>7.58</v>
      </c>
      <c r="P49" s="14">
        <v>1.0</v>
      </c>
      <c r="Q49" s="20">
        <f t="shared" si="2"/>
        <v>0.5008</v>
      </c>
      <c r="R49" s="20">
        <f t="shared" si="3"/>
        <v>9.160266248</v>
      </c>
      <c r="T49" s="20">
        <f>IFERROR(__xludf.DUMMYFUNCTION("iferror(PERCENTRANK.INC(FILTER($Q$2:$Q$428, $O$2:$O$428&lt;3.75), $Q49), 1)"),0.833)</f>
        <v>0.833</v>
      </c>
      <c r="U49" s="20">
        <f>IFERROR(__xludf.DUMMYFUNCTION("iferror(PERCENTRANK.INC(FILTER($Q$2:$Q$428, $O$2:$O$428&lt;4.25), $Q49), 1)"),0.728)</f>
        <v>0.728</v>
      </c>
      <c r="V49" s="20">
        <f>IFERROR(__xludf.DUMMYFUNCTION("iferror(PERCENTRANK.INC(FILTER($Q$2:$Q$428, $O$2:$O$428&gt;=4.1), $Q49), 0.01)"),0.002)</f>
        <v>0.002</v>
      </c>
    </row>
    <row r="50" ht="14.25" customHeight="1">
      <c r="A50" s="14" t="s">
        <v>853</v>
      </c>
      <c r="B50" s="14" t="s">
        <v>429</v>
      </c>
      <c r="C50" s="14">
        <v>24.0</v>
      </c>
      <c r="D50" s="14" t="s">
        <v>803</v>
      </c>
      <c r="E50" s="14" t="s">
        <v>182</v>
      </c>
      <c r="F50" s="14">
        <v>51.0</v>
      </c>
      <c r="G50" s="14">
        <v>318.0</v>
      </c>
      <c r="H50" s="14">
        <v>6.2</v>
      </c>
      <c r="I50" s="14">
        <v>4.0</v>
      </c>
      <c r="J50" s="20">
        <v>2.414</v>
      </c>
      <c r="K50" s="20">
        <f t="shared" si="1"/>
        <v>12.37579042</v>
      </c>
      <c r="L50" s="15"/>
      <c r="M50" s="20">
        <v>2.414</v>
      </c>
      <c r="N50" s="14">
        <v>6.52</v>
      </c>
      <c r="P50" s="14">
        <v>1.0</v>
      </c>
      <c r="Q50" s="20">
        <f t="shared" si="2"/>
        <v>0.4467</v>
      </c>
      <c r="R50" s="20">
        <f t="shared" si="3"/>
        <v>8.170708732</v>
      </c>
      <c r="T50" s="20">
        <f>IFERROR(__xludf.DUMMYFUNCTION("iferror(PERCENTRANK.INC(FILTER($Q$2:$Q$428, $O$2:$O$428&lt;3.75), $Q50), 1)"),0.822)</f>
        <v>0.822</v>
      </c>
      <c r="U50" s="20">
        <f>IFERROR(__xludf.DUMMYFUNCTION("iferror(PERCENTRANK.INC(FILTER($Q$2:$Q$428, $O$2:$O$428&lt;4.25), $Q50), 1)"),0.718)</f>
        <v>0.718</v>
      </c>
      <c r="V50" s="20">
        <f>IFERROR(__xludf.DUMMYFUNCTION("iferror(PERCENTRANK.INC(FILTER($Q$2:$Q$428, $O$2:$O$428&gt;=4.1), $Q50), 0.01)"),0.001)</f>
        <v>0.001</v>
      </c>
    </row>
    <row r="51" ht="14.25" customHeight="1">
      <c r="A51" s="14" t="s">
        <v>854</v>
      </c>
      <c r="B51" s="14" t="s">
        <v>265</v>
      </c>
      <c r="C51" s="14">
        <v>24.0</v>
      </c>
      <c r="D51" s="14" t="s">
        <v>803</v>
      </c>
      <c r="E51" s="14" t="s">
        <v>172</v>
      </c>
      <c r="F51" s="14">
        <v>237.0</v>
      </c>
      <c r="G51" s="14">
        <v>1483.0</v>
      </c>
      <c r="H51" s="14">
        <v>6.3</v>
      </c>
      <c r="I51" s="14">
        <v>14.0</v>
      </c>
      <c r="J51" s="20">
        <v>7.0760000000000005</v>
      </c>
      <c r="K51" s="20">
        <f t="shared" si="1"/>
        <v>82.56549232</v>
      </c>
      <c r="L51" s="15"/>
      <c r="M51" s="20">
        <v>7.0760000000000005</v>
      </c>
      <c r="N51" s="14">
        <v>2.22</v>
      </c>
      <c r="O51" s="20">
        <v>4.96</v>
      </c>
      <c r="P51" s="14">
        <v>0.9</v>
      </c>
      <c r="Q51" s="20">
        <f t="shared" si="2"/>
        <v>4.89342</v>
      </c>
      <c r="R51" s="20">
        <f t="shared" si="3"/>
        <v>89.50684916</v>
      </c>
      <c r="T51" s="20">
        <f>IFERROR(__xludf.DUMMYFUNCTION("iferror(PERCENTRANK.INC(FILTER($Q$2:$Q$428, $O$2:$O$428&lt;3.75), $Q51), 1)"),1.0)</f>
        <v>1</v>
      </c>
      <c r="U51" s="20">
        <f>IFERROR(__xludf.DUMMYFUNCTION("iferror(PERCENTRANK.INC(FILTER($Q$2:$Q$428, $O$2:$O$428&lt;4.25), $Q51), 1)"),1.0)</f>
        <v>1</v>
      </c>
      <c r="V51" s="20">
        <f>IFERROR(__xludf.DUMMYFUNCTION("iferror(PERCENTRANK.INC(FILTER($Q$2:$Q$428, $O$2:$O$428&gt;=4.1), $Q51), 0.01)"),0.757)</f>
        <v>0.757</v>
      </c>
    </row>
    <row r="52" ht="14.25" customHeight="1">
      <c r="A52" s="14" t="s">
        <v>855</v>
      </c>
      <c r="B52" s="14" t="s">
        <v>325</v>
      </c>
      <c r="C52" s="14">
        <v>28.0</v>
      </c>
      <c r="D52" s="14" t="s">
        <v>803</v>
      </c>
      <c r="E52" s="14" t="s">
        <v>155</v>
      </c>
      <c r="F52" s="14">
        <v>240.0</v>
      </c>
      <c r="G52" s="14">
        <v>1557.0</v>
      </c>
      <c r="H52" s="14">
        <v>6.5</v>
      </c>
      <c r="I52" s="14">
        <v>22.0</v>
      </c>
      <c r="J52" s="20">
        <v>8.234</v>
      </c>
      <c r="K52" s="20">
        <f t="shared" si="1"/>
        <v>100</v>
      </c>
      <c r="L52" s="15"/>
      <c r="M52" s="20">
        <v>8.234</v>
      </c>
      <c r="N52" s="14">
        <v>0.98</v>
      </c>
      <c r="O52" s="20">
        <v>4.38</v>
      </c>
      <c r="P52" s="14">
        <v>0.9</v>
      </c>
      <c r="Q52" s="20">
        <f t="shared" si="2"/>
        <v>4.36153</v>
      </c>
      <c r="R52" s="20">
        <f t="shared" si="3"/>
        <v>79.77790744</v>
      </c>
      <c r="T52" s="20">
        <f>IFERROR(__xludf.DUMMYFUNCTION("iferror(PERCENTRANK.INC(FILTER($Q$2:$Q$428, $O$2:$O$428&lt;3.75), $Q52), 1)"),1.0)</f>
        <v>1</v>
      </c>
      <c r="U52" s="20">
        <f>IFERROR(__xludf.DUMMYFUNCTION("iferror(PERCENTRANK.INC(FILTER($Q$2:$Q$428, $O$2:$O$428&lt;4.25), $Q52), 1)"),1.0)</f>
        <v>1</v>
      </c>
      <c r="V52" s="20">
        <f>IFERROR(__xludf.DUMMYFUNCTION("iferror(PERCENTRANK.INC(FILTER($Q$2:$Q$428, $O$2:$O$428&gt;=4.1), $Q52), 0.01)"),0.378)</f>
        <v>0.378</v>
      </c>
    </row>
    <row r="53" ht="14.25" customHeight="1">
      <c r="A53" s="14" t="s">
        <v>856</v>
      </c>
      <c r="B53" s="14" t="s">
        <v>178</v>
      </c>
      <c r="C53" s="14">
        <v>20.0</v>
      </c>
      <c r="D53" s="14" t="s">
        <v>803</v>
      </c>
      <c r="E53" s="14" t="s">
        <v>179</v>
      </c>
      <c r="F53" s="14">
        <v>256.0</v>
      </c>
      <c r="G53" s="14">
        <v>1572.0</v>
      </c>
      <c r="H53" s="14">
        <v>6.1</v>
      </c>
      <c r="I53" s="14">
        <v>15.0</v>
      </c>
      <c r="J53" s="20">
        <v>7.456</v>
      </c>
      <c r="K53" s="20">
        <f t="shared" si="1"/>
        <v>88.28666064</v>
      </c>
      <c r="L53" s="15"/>
      <c r="M53" s="20">
        <v>7.456</v>
      </c>
      <c r="N53" s="14">
        <v>0.93</v>
      </c>
      <c r="O53" s="20">
        <v>4.05</v>
      </c>
      <c r="P53" s="14">
        <v>0.9</v>
      </c>
      <c r="Q53" s="20">
        <f t="shared" si="2"/>
        <v>4.02702</v>
      </c>
      <c r="R53" s="20">
        <f t="shared" si="3"/>
        <v>73.6592959</v>
      </c>
      <c r="T53" s="20">
        <f>IFERROR(__xludf.DUMMYFUNCTION("iferror(PERCENTRANK.INC(FILTER($Q$2:$Q$428, $O$2:$O$428&lt;3.75), $Q53), 1)"),0.999)</f>
        <v>0.999</v>
      </c>
      <c r="U53" s="20">
        <f>IFERROR(__xludf.DUMMYFUNCTION("iferror(PERCENTRANK.INC(FILTER($Q$2:$Q$428, $O$2:$O$428&lt;4.25), $Q53), 1)"),0.971)</f>
        <v>0.971</v>
      </c>
      <c r="V53" s="20">
        <f>IFERROR(__xludf.DUMMYFUNCTION("iferror(PERCENTRANK.INC(FILTER($Q$2:$Q$428, $O$2:$O$428&gt;=4.1), $Q53), 0.01)"),0.027)</f>
        <v>0.027</v>
      </c>
    </row>
    <row r="54" ht="14.25" customHeight="1">
      <c r="A54" s="14" t="s">
        <v>857</v>
      </c>
      <c r="B54" s="14" t="s">
        <v>858</v>
      </c>
      <c r="C54" s="14">
        <v>22.0</v>
      </c>
      <c r="D54" s="14" t="s">
        <v>803</v>
      </c>
      <c r="E54" s="14" t="s">
        <v>182</v>
      </c>
      <c r="F54" s="14">
        <v>60.0</v>
      </c>
      <c r="G54" s="14">
        <v>284.0</v>
      </c>
      <c r="H54" s="14">
        <v>4.7</v>
      </c>
      <c r="I54" s="14">
        <v>2.0</v>
      </c>
      <c r="J54" s="20">
        <v>1.92</v>
      </c>
      <c r="K54" s="20">
        <f t="shared" si="1"/>
        <v>4.938271605</v>
      </c>
      <c r="L54" s="15"/>
      <c r="M54" s="20">
        <v>1.92</v>
      </c>
      <c r="N54" s="14">
        <v>4.66</v>
      </c>
      <c r="P54" s="14">
        <v>1.0</v>
      </c>
      <c r="Q54" s="20">
        <f t="shared" si="2"/>
        <v>0.329</v>
      </c>
      <c r="R54" s="20">
        <f t="shared" si="3"/>
        <v>6.017826668</v>
      </c>
      <c r="T54" s="20">
        <f>IFERROR(__xludf.DUMMYFUNCTION("iferror(PERCENTRANK.INC(FILTER($Q$2:$Q$428, $O$2:$O$428&lt;3.75), $Q54), 1)"),0.811)</f>
        <v>0.811</v>
      </c>
      <c r="U54" s="20">
        <f>IFERROR(__xludf.DUMMYFUNCTION("iferror(PERCENTRANK.INC(FILTER($Q$2:$Q$428, $O$2:$O$428&lt;4.25), $Q54), 1)"),0.709)</f>
        <v>0.709</v>
      </c>
      <c r="V54" s="20">
        <f>IFERROR(__xludf.DUMMYFUNCTION("iferror(PERCENTRANK.INC(FILTER($Q$2:$Q$428, $O$2:$O$428&gt;=4.1), $Q54), 0.01)"),0.001)</f>
        <v>0.001</v>
      </c>
    </row>
    <row r="55" ht="14.25" customHeight="1">
      <c r="A55" s="14" t="s">
        <v>859</v>
      </c>
      <c r="B55" s="14" t="s">
        <v>499</v>
      </c>
      <c r="C55" s="14">
        <v>0.0</v>
      </c>
      <c r="D55" s="14" t="s">
        <v>803</v>
      </c>
      <c r="E55" s="14" t="s">
        <v>155</v>
      </c>
      <c r="F55" s="14">
        <v>215.0</v>
      </c>
      <c r="G55" s="14">
        <v>1150.0</v>
      </c>
      <c r="H55" s="14">
        <v>5.3</v>
      </c>
      <c r="I55" s="14">
        <v>8.0</v>
      </c>
      <c r="J55" s="20">
        <v>5.398</v>
      </c>
      <c r="K55" s="20">
        <f t="shared" si="1"/>
        <v>57.30201746</v>
      </c>
      <c r="L55" s="15"/>
      <c r="M55" s="20">
        <v>5.398</v>
      </c>
      <c r="N55" s="14">
        <v>1.38</v>
      </c>
      <c r="O55" s="20">
        <v>5.28</v>
      </c>
      <c r="P55" s="14">
        <v>0.9</v>
      </c>
      <c r="Q55" s="20">
        <f t="shared" si="2"/>
        <v>5.06391</v>
      </c>
      <c r="R55" s="20">
        <f t="shared" si="3"/>
        <v>92.62532719</v>
      </c>
      <c r="T55" s="20">
        <f>IFERROR(__xludf.DUMMYFUNCTION("iferror(PERCENTRANK.INC(FILTER($Q$2:$Q$428, $O$2:$O$428&lt;3.75), $Q55), 1)"),1.0)</f>
        <v>1</v>
      </c>
      <c r="U55" s="20">
        <f>IFERROR(__xludf.DUMMYFUNCTION("iferror(PERCENTRANK.INC(FILTER($Q$2:$Q$428, $O$2:$O$428&lt;4.25), $Q55), 1)"),1.0)</f>
        <v>1</v>
      </c>
      <c r="V55" s="20">
        <f>IFERROR(__xludf.DUMMYFUNCTION("iferror(PERCENTRANK.INC(FILTER($Q$2:$Q$428, $O$2:$O$428&gt;=4.1), $Q55), 0.01)"),0.892)</f>
        <v>0.892</v>
      </c>
    </row>
    <row r="56" ht="14.25" customHeight="1">
      <c r="A56" s="14" t="s">
        <v>860</v>
      </c>
      <c r="B56" s="14" t="s">
        <v>553</v>
      </c>
      <c r="C56" s="14">
        <v>21.0</v>
      </c>
      <c r="D56" s="14" t="s">
        <v>803</v>
      </c>
      <c r="E56" s="14" t="s">
        <v>243</v>
      </c>
      <c r="F56" s="14">
        <v>84.0</v>
      </c>
      <c r="G56" s="14">
        <v>827.0</v>
      </c>
      <c r="H56" s="14">
        <v>9.8</v>
      </c>
      <c r="I56" s="14">
        <v>10.0</v>
      </c>
      <c r="J56" s="20">
        <v>4.926</v>
      </c>
      <c r="K56" s="20">
        <f t="shared" si="1"/>
        <v>50.19572418</v>
      </c>
      <c r="L56" s="15"/>
      <c r="M56" s="20">
        <v>4.926</v>
      </c>
      <c r="N56" s="14">
        <v>1.75</v>
      </c>
      <c r="O56" s="20"/>
      <c r="P56" s="14">
        <v>0.9</v>
      </c>
      <c r="Q56" s="20">
        <f t="shared" si="2"/>
        <v>0.30917</v>
      </c>
      <c r="R56" s="20">
        <f t="shared" si="3"/>
        <v>5.655110854</v>
      </c>
      <c r="T56" s="20">
        <f>IFERROR(__xludf.DUMMYFUNCTION("iferror(PERCENTRANK.INC(FILTER($Q$2:$Q$428, $O$2:$O$428&lt;3.75), $Q56), 1)"),0.8)</f>
        <v>0.8</v>
      </c>
      <c r="U56" s="20">
        <f>IFERROR(__xludf.DUMMYFUNCTION("iferror(PERCENTRANK.INC(FILTER($Q$2:$Q$428, $O$2:$O$428&lt;4.25), $Q56), 1)"),0.699)</f>
        <v>0.699</v>
      </c>
      <c r="V56" s="20">
        <f>IFERROR(__xludf.DUMMYFUNCTION("iferror(PERCENTRANK.INC(FILTER($Q$2:$Q$428, $O$2:$O$428&gt;=4.1), $Q56), 0.01)"),0.001)</f>
        <v>0.001</v>
      </c>
    </row>
    <row r="57" ht="14.25" customHeight="1">
      <c r="A57" s="14" t="s">
        <v>861</v>
      </c>
      <c r="B57" s="14" t="s">
        <v>207</v>
      </c>
      <c r="C57" s="14">
        <v>10.0</v>
      </c>
      <c r="D57" s="14" t="s">
        <v>803</v>
      </c>
      <c r="E57" s="14" t="s">
        <v>189</v>
      </c>
      <c r="F57" s="14">
        <v>169.0</v>
      </c>
      <c r="G57" s="14">
        <v>1055.0</v>
      </c>
      <c r="H57" s="14">
        <v>6.2</v>
      </c>
      <c r="I57" s="14">
        <v>14.0</v>
      </c>
      <c r="J57" s="20">
        <v>5.795999999999999</v>
      </c>
      <c r="K57" s="20">
        <f t="shared" si="1"/>
        <v>63.2941885</v>
      </c>
      <c r="L57" s="15"/>
      <c r="M57" s="20">
        <v>5.795999999999999</v>
      </c>
      <c r="N57" s="14">
        <v>0.66</v>
      </c>
      <c r="O57" s="20">
        <v>4.32</v>
      </c>
      <c r="P57" s="14">
        <v>0.9</v>
      </c>
      <c r="Q57" s="20">
        <f t="shared" si="2"/>
        <v>4.18182</v>
      </c>
      <c r="R57" s="20">
        <f t="shared" si="3"/>
        <v>76.49078395</v>
      </c>
      <c r="T57" s="20">
        <f>IFERROR(__xludf.DUMMYFUNCTION("iferror(PERCENTRANK.INC(FILTER($Q$2:$Q$428, $O$2:$O$428&lt;3.75), $Q57), 1)"),1.0)</f>
        <v>1</v>
      </c>
      <c r="U57" s="20">
        <f>IFERROR(__xludf.DUMMYFUNCTION("iferror(PERCENTRANK.INC(FILTER($Q$2:$Q$428, $O$2:$O$428&lt;4.25), $Q57), 1)"),0.995)</f>
        <v>0.995</v>
      </c>
      <c r="V57" s="20">
        <f>IFERROR(__xludf.DUMMYFUNCTION("iferror(PERCENTRANK.INC(FILTER($Q$2:$Q$428, $O$2:$O$428&gt;=4.1), $Q57), 0.01)"),0.162)</f>
        <v>0.162</v>
      </c>
    </row>
    <row r="58" ht="14.25" customHeight="1">
      <c r="A58" s="14" t="s">
        <v>862</v>
      </c>
      <c r="B58" s="14" t="s">
        <v>445</v>
      </c>
      <c r="C58" s="14">
        <v>6.0</v>
      </c>
      <c r="D58" s="14" t="s">
        <v>803</v>
      </c>
      <c r="E58" s="14" t="s">
        <v>155</v>
      </c>
      <c r="F58" s="14">
        <v>132.0</v>
      </c>
      <c r="G58" s="14">
        <v>679.0</v>
      </c>
      <c r="H58" s="14">
        <v>5.1</v>
      </c>
      <c r="I58" s="14">
        <v>7.0</v>
      </c>
      <c r="J58" s="20">
        <v>3.806</v>
      </c>
      <c r="K58" s="20">
        <f t="shared" si="1"/>
        <v>33.33333333</v>
      </c>
      <c r="L58" s="15"/>
      <c r="M58" s="20">
        <v>3.806</v>
      </c>
      <c r="N58" s="14">
        <v>2.4</v>
      </c>
      <c r="P58" s="14">
        <v>0.9</v>
      </c>
      <c r="Q58" s="20">
        <f t="shared" si="2"/>
        <v>0.29127</v>
      </c>
      <c r="R58" s="20">
        <f t="shared" si="3"/>
        <v>5.327697184</v>
      </c>
      <c r="T58" s="20">
        <f>IFERROR(__xludf.DUMMYFUNCTION("iferror(PERCENTRANK.INC(FILTER($Q$2:$Q$428, $O$2:$O$428&lt;3.75), $Q58), 1)"),0.789)</f>
        <v>0.789</v>
      </c>
      <c r="U58" s="20">
        <f>IFERROR(__xludf.DUMMYFUNCTION("iferror(PERCENTRANK.INC(FILTER($Q$2:$Q$428, $O$2:$O$428&lt;4.25), $Q58), 1)"),0.689)</f>
        <v>0.689</v>
      </c>
      <c r="V58" s="20">
        <f>IFERROR(__xludf.DUMMYFUNCTION("iferror(PERCENTRANK.INC(FILTER($Q$2:$Q$428, $O$2:$O$428&gt;=4.1), $Q58), 0.01)"),0.0)</f>
        <v>0</v>
      </c>
    </row>
    <row r="59" ht="14.25" customHeight="1">
      <c r="A59" s="14" t="s">
        <v>863</v>
      </c>
      <c r="B59" s="14" t="s">
        <v>279</v>
      </c>
      <c r="C59" s="14">
        <v>6.0</v>
      </c>
      <c r="D59" s="14" t="s">
        <v>803</v>
      </c>
      <c r="E59" s="14" t="s">
        <v>127</v>
      </c>
      <c r="F59" s="14">
        <v>155.0</v>
      </c>
      <c r="G59" s="14">
        <v>1102.0</v>
      </c>
      <c r="H59" s="14">
        <v>7.1</v>
      </c>
      <c r="I59" s="14">
        <v>11.0</v>
      </c>
      <c r="J59" s="20">
        <v>5.59</v>
      </c>
      <c r="K59" s="20">
        <f t="shared" si="1"/>
        <v>60.19271304</v>
      </c>
      <c r="L59" s="15"/>
      <c r="M59" s="20">
        <v>5.59</v>
      </c>
      <c r="N59" s="14">
        <v>0.65</v>
      </c>
      <c r="O59" s="20">
        <v>4.9</v>
      </c>
      <c r="P59" s="14">
        <v>0.9</v>
      </c>
      <c r="Q59" s="20">
        <f t="shared" si="2"/>
        <v>4.69405</v>
      </c>
      <c r="R59" s="20">
        <f t="shared" si="3"/>
        <v>85.86011937</v>
      </c>
      <c r="T59" s="20">
        <f>IFERROR(__xludf.DUMMYFUNCTION("iferror(PERCENTRANK.INC(FILTER($Q$2:$Q$428, $O$2:$O$428&lt;3.75), $Q59), 1)"),1.0)</f>
        <v>1</v>
      </c>
      <c r="U59" s="20">
        <f>IFERROR(__xludf.DUMMYFUNCTION("iferror(PERCENTRANK.INC(FILTER($Q$2:$Q$428, $O$2:$O$428&lt;4.25), $Q59), 1)"),1.0)</f>
        <v>1</v>
      </c>
      <c r="V59" s="20">
        <f>IFERROR(__xludf.DUMMYFUNCTION("iferror(PERCENTRANK.INC(FILTER($Q$2:$Q$428, $O$2:$O$428&gt;=4.1), $Q59), 0.01)"),0.622)</f>
        <v>0.622</v>
      </c>
    </row>
    <row r="60" ht="14.25" customHeight="1">
      <c r="A60" s="14" t="s">
        <v>864</v>
      </c>
      <c r="B60" s="14" t="s">
        <v>197</v>
      </c>
      <c r="C60" s="14">
        <v>24.0</v>
      </c>
      <c r="D60" s="14" t="s">
        <v>803</v>
      </c>
      <c r="E60" s="14" t="s">
        <v>179</v>
      </c>
      <c r="F60" s="14">
        <v>125.0</v>
      </c>
      <c r="G60" s="14">
        <v>713.0</v>
      </c>
      <c r="H60" s="14">
        <v>5.7</v>
      </c>
      <c r="I60" s="14">
        <v>8.0</v>
      </c>
      <c r="J60" s="20">
        <v>4.048</v>
      </c>
      <c r="K60" s="20">
        <f t="shared" si="1"/>
        <v>36.97681421</v>
      </c>
      <c r="L60" s="15"/>
      <c r="M60" s="20">
        <v>4.048</v>
      </c>
      <c r="N60" s="14">
        <v>1.89</v>
      </c>
      <c r="O60" s="20">
        <v>4.05</v>
      </c>
      <c r="P60" s="14">
        <v>0.9</v>
      </c>
      <c r="Q60" s="20">
        <f t="shared" si="2"/>
        <v>3.92166</v>
      </c>
      <c r="R60" s="20">
        <f t="shared" si="3"/>
        <v>71.73212806</v>
      </c>
      <c r="T60" s="20">
        <f>IFERROR(__xludf.DUMMYFUNCTION("iferror(PERCENTRANK.INC(FILTER($Q$2:$Q$428, $O$2:$O$428&lt;3.75), $Q60), 1)"),0.995)</f>
        <v>0.995</v>
      </c>
      <c r="U60" s="20">
        <f>IFERROR(__xludf.DUMMYFUNCTION("iferror(PERCENTRANK.INC(FILTER($Q$2:$Q$428, $O$2:$O$428&lt;4.25), $Q60), 1)"),0.942)</f>
        <v>0.942</v>
      </c>
      <c r="V60" s="20">
        <f>IFERROR(__xludf.DUMMYFUNCTION("iferror(PERCENTRANK.INC(FILTER($Q$2:$Q$428, $O$2:$O$428&gt;=4.1), $Q60), 0.01)"),0.026)</f>
        <v>0.026</v>
      </c>
    </row>
    <row r="61" ht="14.25" customHeight="1">
      <c r="A61" s="14" t="s">
        <v>865</v>
      </c>
      <c r="B61" s="14" t="s">
        <v>281</v>
      </c>
      <c r="C61" s="14">
        <v>32.0</v>
      </c>
      <c r="D61" s="14" t="s">
        <v>803</v>
      </c>
      <c r="E61" s="14" t="s">
        <v>210</v>
      </c>
      <c r="F61" s="14">
        <v>116.0</v>
      </c>
      <c r="G61" s="14">
        <v>716.0</v>
      </c>
      <c r="H61" s="14">
        <v>6.2</v>
      </c>
      <c r="I61" s="14">
        <v>2.0</v>
      </c>
      <c r="J61" s="20">
        <v>3.36</v>
      </c>
      <c r="K61" s="20">
        <f t="shared" si="1"/>
        <v>26.61848841</v>
      </c>
      <c r="L61" s="15"/>
      <c r="M61" s="20">
        <v>3.36</v>
      </c>
      <c r="N61" s="14">
        <v>2.43</v>
      </c>
      <c r="P61" s="14">
        <v>0.9</v>
      </c>
      <c r="Q61" s="20">
        <f t="shared" si="2"/>
        <v>0.2727</v>
      </c>
      <c r="R61" s="20">
        <f t="shared" si="3"/>
        <v>4.988028366</v>
      </c>
      <c r="T61" s="20">
        <f>IFERROR(__xludf.DUMMYFUNCTION("iferror(PERCENTRANK.INC(FILTER($Q$2:$Q$428, $O$2:$O$428&lt;3.75), $Q61), 1)"),0.778)</f>
        <v>0.778</v>
      </c>
      <c r="U61" s="20">
        <f>IFERROR(__xludf.DUMMYFUNCTION("iferror(PERCENTRANK.INC(FILTER($Q$2:$Q$428, $O$2:$O$428&lt;4.25), $Q61), 1)"),0.68)</f>
        <v>0.68</v>
      </c>
      <c r="V61" s="20">
        <f>IFERROR(__xludf.DUMMYFUNCTION("iferror(PERCENTRANK.INC(FILTER($Q$2:$Q$428, $O$2:$O$428&gt;=4.1), $Q61), 0.01)"),0.0)</f>
        <v>0</v>
      </c>
    </row>
    <row r="62" ht="14.25" customHeight="1">
      <c r="A62" s="14" t="s">
        <v>866</v>
      </c>
      <c r="B62" s="14" t="s">
        <v>123</v>
      </c>
      <c r="C62" s="14">
        <v>25.0</v>
      </c>
      <c r="D62" s="14" t="s">
        <v>803</v>
      </c>
      <c r="E62" s="14" t="s">
        <v>124</v>
      </c>
      <c r="F62" s="14">
        <v>93.0</v>
      </c>
      <c r="G62" s="14">
        <v>672.0</v>
      </c>
      <c r="H62" s="14">
        <v>7.2</v>
      </c>
      <c r="I62" s="14">
        <v>6.0</v>
      </c>
      <c r="J62" s="20">
        <v>3.7739999999999996</v>
      </c>
      <c r="K62" s="20">
        <f t="shared" si="1"/>
        <v>32.85155074</v>
      </c>
      <c r="L62" s="15"/>
      <c r="M62" s="20">
        <v>3.7739999999999996</v>
      </c>
      <c r="N62" s="14">
        <v>2.05</v>
      </c>
      <c r="O62" s="20">
        <v>5.02</v>
      </c>
      <c r="P62" s="14">
        <v>0.9</v>
      </c>
      <c r="Q62" s="20">
        <f t="shared" si="2"/>
        <v>4.79033</v>
      </c>
      <c r="R62" s="20">
        <f t="shared" si="3"/>
        <v>87.6212025</v>
      </c>
      <c r="T62" s="20">
        <f>IFERROR(__xludf.DUMMYFUNCTION("iferror(PERCENTRANK.INC(FILTER($Q$2:$Q$428, $O$2:$O$428&lt;3.75), $Q62), 1)"),1.0)</f>
        <v>1</v>
      </c>
      <c r="U62" s="20">
        <f>IFERROR(__xludf.DUMMYFUNCTION("iferror(PERCENTRANK.INC(FILTER($Q$2:$Q$428, $O$2:$O$428&lt;4.25), $Q62), 1)"),1.0)</f>
        <v>1</v>
      </c>
      <c r="V62" s="20">
        <f>IFERROR(__xludf.DUMMYFUNCTION("iferror(PERCENTRANK.INC(FILTER($Q$2:$Q$428, $O$2:$O$428&gt;=4.1), $Q62), 0.01)"),0.676)</f>
        <v>0.676</v>
      </c>
    </row>
    <row r="63" ht="14.25" customHeight="1">
      <c r="A63" s="14" t="s">
        <v>867</v>
      </c>
      <c r="B63" s="14" t="s">
        <v>667</v>
      </c>
      <c r="C63" s="14">
        <v>5.0</v>
      </c>
      <c r="D63" s="14" t="s">
        <v>803</v>
      </c>
      <c r="E63" s="14" t="s">
        <v>210</v>
      </c>
      <c r="F63" s="14">
        <v>138.0</v>
      </c>
      <c r="G63" s="14">
        <v>755.0</v>
      </c>
      <c r="H63" s="14">
        <v>5.5</v>
      </c>
      <c r="I63" s="14">
        <v>2.0</v>
      </c>
      <c r="J63" s="20">
        <v>3.458</v>
      </c>
      <c r="K63" s="20">
        <f t="shared" si="1"/>
        <v>28.09394761</v>
      </c>
      <c r="L63" s="15"/>
      <c r="M63" s="20">
        <v>3.458</v>
      </c>
      <c r="N63" s="14">
        <v>2.28</v>
      </c>
      <c r="O63" s="20">
        <v>3.09</v>
      </c>
      <c r="P63" s="14">
        <v>0.9</v>
      </c>
      <c r="Q63" s="20">
        <f t="shared" si="2"/>
        <v>3.05061</v>
      </c>
      <c r="R63" s="20">
        <f t="shared" si="3"/>
        <v>55.7995204</v>
      </c>
      <c r="T63" s="20">
        <f>IFERROR(__xludf.DUMMYFUNCTION("iferror(PERCENTRANK.INC(FILTER($Q$2:$Q$428, $O$2:$O$428&lt;3.75), $Q63), 1)"),0.889)</f>
        <v>0.889</v>
      </c>
      <c r="U63" s="20">
        <f>IFERROR(__xludf.DUMMYFUNCTION("iferror(PERCENTRANK.INC(FILTER($Q$2:$Q$428, $O$2:$O$428&lt;4.25), $Q63), 1)"),0.777)</f>
        <v>0.777</v>
      </c>
      <c r="V63" s="20">
        <f>IFERROR(__xludf.DUMMYFUNCTION("iferror(PERCENTRANK.INC(FILTER($Q$2:$Q$428, $O$2:$O$428&gt;=4.1), $Q63), 0.01)"),0.02)</f>
        <v>0.02</v>
      </c>
    </row>
    <row r="64" ht="14.25" customHeight="1">
      <c r="A64" s="14" t="s">
        <v>868</v>
      </c>
      <c r="B64" s="14" t="s">
        <v>388</v>
      </c>
      <c r="C64" s="14">
        <v>24.0</v>
      </c>
      <c r="D64" s="14" t="s">
        <v>803</v>
      </c>
      <c r="E64" s="14" t="s">
        <v>132</v>
      </c>
      <c r="F64" s="14">
        <v>103.0</v>
      </c>
      <c r="G64" s="14">
        <v>753.0</v>
      </c>
      <c r="H64" s="14">
        <v>7.3</v>
      </c>
      <c r="I64" s="14">
        <v>7.0</v>
      </c>
      <c r="J64" s="20">
        <v>4.132</v>
      </c>
      <c r="K64" s="20">
        <f t="shared" si="1"/>
        <v>38.24149353</v>
      </c>
      <c r="L64" s="15"/>
      <c r="M64" s="20">
        <v>4.132</v>
      </c>
      <c r="N64" s="14">
        <v>1.43</v>
      </c>
      <c r="P64" s="14">
        <v>0.95</v>
      </c>
      <c r="Q64" s="20">
        <f t="shared" si="2"/>
        <v>0.26777</v>
      </c>
      <c r="R64" s="20">
        <f t="shared" si="3"/>
        <v>4.897852422</v>
      </c>
      <c r="T64" s="20">
        <f>IFERROR(__xludf.DUMMYFUNCTION("iferror(PERCENTRANK.INC(FILTER($Q$2:$Q$428, $O$2:$O$428&lt;3.75), $Q64), 1)"),0.767)</f>
        <v>0.767</v>
      </c>
      <c r="U64" s="20">
        <f>IFERROR(__xludf.DUMMYFUNCTION("iferror(PERCENTRANK.INC(FILTER($Q$2:$Q$428, $O$2:$O$428&lt;4.25), $Q64), 1)"),0.67)</f>
        <v>0.67</v>
      </c>
      <c r="V64" s="20">
        <f>IFERROR(__xludf.DUMMYFUNCTION("iferror(PERCENTRANK.INC(FILTER($Q$2:$Q$428, $O$2:$O$428&gt;=4.1), $Q64), 0.01)"),0.0)</f>
        <v>0</v>
      </c>
    </row>
    <row r="65" ht="14.25" customHeight="1">
      <c r="A65" s="14" t="s">
        <v>869</v>
      </c>
      <c r="B65" s="14" t="s">
        <v>188</v>
      </c>
      <c r="C65" s="14">
        <v>0.0</v>
      </c>
      <c r="D65" s="14" t="s">
        <v>803</v>
      </c>
      <c r="E65" s="14" t="s">
        <v>189</v>
      </c>
      <c r="F65" s="14">
        <v>76.0</v>
      </c>
      <c r="G65" s="14">
        <v>380.0</v>
      </c>
      <c r="H65" s="14">
        <v>5.0</v>
      </c>
      <c r="I65" s="14">
        <v>8.0</v>
      </c>
      <c r="J65" s="20">
        <v>2.9760000000000004</v>
      </c>
      <c r="K65" s="20">
        <f t="shared" si="1"/>
        <v>20.83709726</v>
      </c>
      <c r="L65" s="15"/>
      <c r="M65" s="20">
        <v>2.9760000000000004</v>
      </c>
      <c r="N65" s="14">
        <v>2.65</v>
      </c>
      <c r="P65" s="14">
        <v>0.9</v>
      </c>
      <c r="Q65" s="20">
        <f t="shared" si="2"/>
        <v>0.26642</v>
      </c>
      <c r="R65" s="20">
        <f t="shared" si="3"/>
        <v>4.873159213</v>
      </c>
      <c r="T65" s="20">
        <f>IFERROR(__xludf.DUMMYFUNCTION("iferror(PERCENTRANK.INC(FILTER($Q$2:$Q$428, $O$2:$O$428&lt;3.75), $Q65), 1)"),0.756)</f>
        <v>0.756</v>
      </c>
      <c r="U65" s="20">
        <f>IFERROR(__xludf.DUMMYFUNCTION("iferror(PERCENTRANK.INC(FILTER($Q$2:$Q$428, $O$2:$O$428&lt;4.25), $Q65), 1)"),0.66)</f>
        <v>0.66</v>
      </c>
      <c r="V65" s="20">
        <f>IFERROR(__xludf.DUMMYFUNCTION("iferror(PERCENTRANK.INC(FILTER($Q$2:$Q$428, $O$2:$O$428&gt;=4.1), $Q65), 0.01)"),0.0)</f>
        <v>0</v>
      </c>
    </row>
    <row r="66" ht="14.25" customHeight="1">
      <c r="A66" s="14" t="s">
        <v>870</v>
      </c>
      <c r="B66" s="14" t="s">
        <v>226</v>
      </c>
      <c r="C66" s="14">
        <v>0.0</v>
      </c>
      <c r="D66" s="14" t="s">
        <v>803</v>
      </c>
      <c r="E66" s="14" t="s">
        <v>108</v>
      </c>
      <c r="F66" s="14">
        <v>60.0</v>
      </c>
      <c r="G66" s="14">
        <v>407.0</v>
      </c>
      <c r="H66" s="14">
        <v>6.8</v>
      </c>
      <c r="I66" s="14">
        <v>10.0</v>
      </c>
      <c r="J66" s="20">
        <v>3.4619999999999997</v>
      </c>
      <c r="K66" s="20">
        <f t="shared" si="1"/>
        <v>28.15417043</v>
      </c>
      <c r="L66" s="15"/>
      <c r="M66" s="20">
        <v>3.4619999999999997</v>
      </c>
      <c r="N66" s="14">
        <v>1.82</v>
      </c>
      <c r="P66" s="14">
        <v>1.0</v>
      </c>
      <c r="Q66" s="20">
        <f t="shared" si="2"/>
        <v>0.2641</v>
      </c>
      <c r="R66" s="20">
        <f t="shared" si="3"/>
        <v>4.830723474</v>
      </c>
      <c r="T66" s="20">
        <f>IFERROR(__xludf.DUMMYFUNCTION("iferror(PERCENTRANK.INC(FILTER($Q$2:$Q$428, $O$2:$O$428&lt;3.75), $Q66), 1)"),0.744)</f>
        <v>0.744</v>
      </c>
      <c r="U66" s="20">
        <f>IFERROR(__xludf.DUMMYFUNCTION("iferror(PERCENTRANK.INC(FILTER($Q$2:$Q$428, $O$2:$O$428&lt;4.25), $Q66), 1)"),0.65)</f>
        <v>0.65</v>
      </c>
      <c r="V66" s="20">
        <f>IFERROR(__xludf.DUMMYFUNCTION("iferror(PERCENTRANK.INC(FILTER($Q$2:$Q$428, $O$2:$O$428&gt;=4.1), $Q66), 0.01)"),0.0)</f>
        <v>0</v>
      </c>
    </row>
    <row r="67" ht="14.25" customHeight="1">
      <c r="A67" s="14" t="s">
        <v>871</v>
      </c>
      <c r="B67" s="14" t="s">
        <v>309</v>
      </c>
      <c r="C67" s="14">
        <v>26.0</v>
      </c>
      <c r="D67" s="14" t="s">
        <v>803</v>
      </c>
      <c r="E67" s="14" t="s">
        <v>179</v>
      </c>
      <c r="F67" s="14">
        <v>75.0</v>
      </c>
      <c r="G67" s="14">
        <v>583.0</v>
      </c>
      <c r="H67" s="14">
        <v>7.8</v>
      </c>
      <c r="I67" s="14">
        <v>3.0</v>
      </c>
      <c r="J67" s="20">
        <v>3.2239999999999998</v>
      </c>
      <c r="K67" s="20">
        <f t="shared" si="1"/>
        <v>24.57091238</v>
      </c>
      <c r="L67" s="15"/>
      <c r="M67" s="20">
        <v>3.2239999999999998</v>
      </c>
      <c r="N67" s="14">
        <v>2.09</v>
      </c>
      <c r="O67" s="20">
        <v>5.34</v>
      </c>
      <c r="P67" s="14">
        <v>0.9</v>
      </c>
      <c r="Q67" s="20">
        <f t="shared" si="2"/>
        <v>5.05558</v>
      </c>
      <c r="R67" s="20">
        <f t="shared" si="3"/>
        <v>92.47296094</v>
      </c>
      <c r="T67" s="20">
        <f>IFERROR(__xludf.DUMMYFUNCTION("iferror(PERCENTRANK.INC(FILTER($Q$2:$Q$428, $O$2:$O$428&lt;3.75), $Q67), 1)"),1.0)</f>
        <v>1</v>
      </c>
      <c r="U67" s="20">
        <f>IFERROR(__xludf.DUMMYFUNCTION("iferror(PERCENTRANK.INC(FILTER($Q$2:$Q$428, $O$2:$O$428&lt;4.25), $Q67), 1)"),1.0)</f>
        <v>1</v>
      </c>
      <c r="V67" s="20">
        <f>IFERROR(__xludf.DUMMYFUNCTION("iferror(PERCENTRANK.INC(FILTER($Q$2:$Q$428, $O$2:$O$428&gt;=4.1), $Q67), 0.01)"),0.865)</f>
        <v>0.865</v>
      </c>
    </row>
    <row r="68" ht="14.25" customHeight="1">
      <c r="A68" s="14" t="s">
        <v>872</v>
      </c>
      <c r="B68" s="14" t="s">
        <v>191</v>
      </c>
      <c r="C68" s="14">
        <v>0.0</v>
      </c>
      <c r="D68" s="14" t="s">
        <v>803</v>
      </c>
      <c r="E68" s="14" t="s">
        <v>155</v>
      </c>
      <c r="F68" s="14">
        <v>115.0</v>
      </c>
      <c r="G68" s="14">
        <v>898.0</v>
      </c>
      <c r="H68" s="14">
        <v>7.8</v>
      </c>
      <c r="I68" s="14">
        <v>7.0</v>
      </c>
      <c r="J68" s="20">
        <v>4.574</v>
      </c>
      <c r="K68" s="20">
        <f t="shared" si="1"/>
        <v>44.89611563</v>
      </c>
      <c r="L68" s="15"/>
      <c r="M68" s="20">
        <v>4.574</v>
      </c>
      <c r="N68" s="14">
        <v>0.8</v>
      </c>
      <c r="O68" s="16">
        <v>4.7</v>
      </c>
      <c r="P68" s="14">
        <v>0.9</v>
      </c>
      <c r="Q68" s="20">
        <f t="shared" si="2"/>
        <v>4.47583</v>
      </c>
      <c r="R68" s="20">
        <f t="shared" si="3"/>
        <v>81.8685992</v>
      </c>
      <c r="T68" s="20">
        <f>IFERROR(__xludf.DUMMYFUNCTION("iferror(PERCENTRANK.INC(FILTER($Q$2:$Q$428, $O$2:$O$428&lt;3.75), $Q68), 1)"),1.0)</f>
        <v>1</v>
      </c>
      <c r="U68" s="20">
        <f>IFERROR(__xludf.DUMMYFUNCTION("iferror(PERCENTRANK.INC(FILTER($Q$2:$Q$428, $O$2:$O$428&lt;4.25), $Q68), 1)"),1.0)</f>
        <v>1</v>
      </c>
      <c r="V68" s="20">
        <f>IFERROR(__xludf.DUMMYFUNCTION("iferror(PERCENTRANK.INC(FILTER($Q$2:$Q$428, $O$2:$O$428&gt;=4.1), $Q68), 0.01)"),0.514)</f>
        <v>0.514</v>
      </c>
    </row>
    <row r="69" ht="14.25" customHeight="1">
      <c r="A69" s="14" t="s">
        <v>873</v>
      </c>
      <c r="B69" s="14" t="s">
        <v>449</v>
      </c>
      <c r="C69" s="14">
        <v>9.0</v>
      </c>
      <c r="D69" s="14" t="s">
        <v>803</v>
      </c>
      <c r="E69" s="14" t="s">
        <v>172</v>
      </c>
      <c r="F69" s="14">
        <v>97.0</v>
      </c>
      <c r="G69" s="14">
        <v>571.0</v>
      </c>
      <c r="H69" s="14">
        <v>5.9</v>
      </c>
      <c r="I69" s="14">
        <v>7.0</v>
      </c>
      <c r="J69" s="20">
        <v>3.508</v>
      </c>
      <c r="K69" s="20">
        <f t="shared" si="1"/>
        <v>28.84673291</v>
      </c>
      <c r="L69" s="15"/>
      <c r="M69" s="20">
        <v>3.508</v>
      </c>
      <c r="N69" s="14">
        <v>1.71</v>
      </c>
      <c r="O69" s="20">
        <v>5.28</v>
      </c>
      <c r="P69" s="14">
        <v>0.9</v>
      </c>
      <c r="Q69" s="20">
        <f t="shared" si="2"/>
        <v>4.99536</v>
      </c>
      <c r="R69" s="20">
        <f t="shared" si="3"/>
        <v>91.37146087</v>
      </c>
      <c r="T69" s="20">
        <f>IFERROR(__xludf.DUMMYFUNCTION("iferror(PERCENTRANK.INC(FILTER($Q$2:$Q$428, $O$2:$O$428&lt;3.75), $Q69), 1)"),1.0)</f>
        <v>1</v>
      </c>
      <c r="U69" s="20">
        <f>IFERROR(__xludf.DUMMYFUNCTION("iferror(PERCENTRANK.INC(FILTER($Q$2:$Q$428, $O$2:$O$428&lt;4.25), $Q69), 1)"),1.0)</f>
        <v>1</v>
      </c>
      <c r="V69" s="20">
        <f>IFERROR(__xludf.DUMMYFUNCTION("iferror(PERCENTRANK.INC(FILTER($Q$2:$Q$428, $O$2:$O$428&gt;=4.1), $Q69), 0.01)"),0.811)</f>
        <v>0.811</v>
      </c>
    </row>
    <row r="70" ht="14.25" customHeight="1">
      <c r="A70" s="14" t="s">
        <v>874</v>
      </c>
      <c r="B70" s="14" t="s">
        <v>379</v>
      </c>
      <c r="C70" s="14">
        <v>29.0</v>
      </c>
      <c r="D70" s="14" t="s">
        <v>803</v>
      </c>
      <c r="E70" s="14" t="s">
        <v>138</v>
      </c>
      <c r="F70" s="14">
        <v>78.0</v>
      </c>
      <c r="G70" s="14">
        <v>461.0</v>
      </c>
      <c r="H70" s="14">
        <v>5.9</v>
      </c>
      <c r="I70" s="14">
        <v>4.0</v>
      </c>
      <c r="J70" s="20">
        <v>2.8139999999999996</v>
      </c>
      <c r="K70" s="20">
        <f t="shared" si="1"/>
        <v>18.39807287</v>
      </c>
      <c r="L70" s="15"/>
      <c r="M70" s="20">
        <v>2.8139999999999996</v>
      </c>
      <c r="N70" s="14">
        <v>2.32</v>
      </c>
      <c r="P70" s="14">
        <v>0.9</v>
      </c>
      <c r="Q70" s="20">
        <f t="shared" si="2"/>
        <v>0.24263</v>
      </c>
      <c r="R70" s="20">
        <f t="shared" si="3"/>
        <v>4.438009983</v>
      </c>
      <c r="T70" s="20">
        <f>IFERROR(__xludf.DUMMYFUNCTION("iferror(PERCENTRANK.INC(FILTER($Q$2:$Q$428, $O$2:$O$428&lt;3.75), $Q70), 1)"),0.733)</f>
        <v>0.733</v>
      </c>
      <c r="U70" s="20">
        <f>IFERROR(__xludf.DUMMYFUNCTION("iferror(PERCENTRANK.INC(FILTER($Q$2:$Q$428, $O$2:$O$428&lt;4.25), $Q70), 1)"),0.641)</f>
        <v>0.641</v>
      </c>
      <c r="V70" s="20">
        <f>IFERROR(__xludf.DUMMYFUNCTION("iferror(PERCENTRANK.INC(FILTER($Q$2:$Q$428, $O$2:$O$428&gt;=4.1), $Q70), 0.01)"),0.0)</f>
        <v>0</v>
      </c>
    </row>
    <row r="71" ht="14.25" customHeight="1">
      <c r="A71" s="14" t="s">
        <v>875</v>
      </c>
      <c r="B71" s="14" t="s">
        <v>236</v>
      </c>
      <c r="C71" s="14">
        <v>9.0</v>
      </c>
      <c r="D71" s="14" t="s">
        <v>803</v>
      </c>
      <c r="E71" s="14" t="s">
        <v>132</v>
      </c>
      <c r="F71" s="14">
        <v>106.0</v>
      </c>
      <c r="G71" s="14">
        <v>803.0</v>
      </c>
      <c r="H71" s="14">
        <v>7.6</v>
      </c>
      <c r="I71" s="14">
        <v>8.0</v>
      </c>
      <c r="J71" s="20">
        <v>4.417999999999999</v>
      </c>
      <c r="K71" s="20">
        <f t="shared" si="1"/>
        <v>42.54742547</v>
      </c>
      <c r="L71" s="15"/>
      <c r="M71" s="20">
        <v>4.417999999999999</v>
      </c>
      <c r="N71" s="14">
        <v>0.65</v>
      </c>
      <c r="P71" s="14">
        <v>0.95</v>
      </c>
      <c r="Q71" s="20">
        <f t="shared" si="2"/>
        <v>0.242355</v>
      </c>
      <c r="R71" s="20">
        <f t="shared" si="3"/>
        <v>4.432979885</v>
      </c>
      <c r="T71" s="20">
        <f>IFERROR(__xludf.DUMMYFUNCTION("iferror(PERCENTRANK.INC(FILTER($Q$2:$Q$428, $O$2:$O$428&lt;3.75), $Q71), 1)"),0.722)</f>
        <v>0.722</v>
      </c>
      <c r="U71" s="20">
        <f>IFERROR(__xludf.DUMMYFUNCTION("iferror(PERCENTRANK.INC(FILTER($Q$2:$Q$428, $O$2:$O$428&lt;4.25), $Q71), 1)"),0.631)</f>
        <v>0.631</v>
      </c>
      <c r="V71" s="20">
        <f>IFERROR(__xludf.DUMMYFUNCTION("iferror(PERCENTRANK.INC(FILTER($Q$2:$Q$428, $O$2:$O$428&gt;=4.1), $Q71), 0.01)"),0.0)</f>
        <v>0</v>
      </c>
    </row>
    <row r="72" ht="14.25" customHeight="1">
      <c r="A72" s="14" t="s">
        <v>876</v>
      </c>
      <c r="B72" s="14" t="s">
        <v>630</v>
      </c>
      <c r="C72" s="14">
        <v>2.0</v>
      </c>
      <c r="D72" s="14" t="s">
        <v>803</v>
      </c>
      <c r="E72" s="14" t="s">
        <v>243</v>
      </c>
      <c r="F72" s="14">
        <v>107.0</v>
      </c>
      <c r="G72" s="14">
        <v>594.0</v>
      </c>
      <c r="H72" s="14">
        <v>5.5</v>
      </c>
      <c r="I72" s="14">
        <v>7.0</v>
      </c>
      <c r="J72" s="20">
        <v>3.55</v>
      </c>
      <c r="K72" s="20">
        <f t="shared" si="1"/>
        <v>29.47907257</v>
      </c>
      <c r="L72" s="15"/>
      <c r="M72" s="20">
        <v>3.55</v>
      </c>
      <c r="N72" s="14">
        <v>1.61</v>
      </c>
      <c r="P72" s="14">
        <v>0.9</v>
      </c>
      <c r="Q72" s="20">
        <f>IFERROR(M72*P72*0.05+N72*0.05+#REF!*0.9,0)</f>
        <v>0</v>
      </c>
      <c r="R72" s="20">
        <f t="shared" si="3"/>
        <v>0</v>
      </c>
      <c r="T72" s="20">
        <f>IFERROR(__xludf.DUMMYFUNCTION("iferror(PERCENTRANK.INC(FILTER($Q$2:$Q$428, $O$2:$O$428&lt;3.75), $Q72), 1)"),0.0)</f>
        <v>0</v>
      </c>
      <c r="U72" s="20">
        <f>IFERROR(__xludf.DUMMYFUNCTION("iferror(PERCENTRANK.INC(FILTER($Q$2:$Q$428, $O$2:$O$428&lt;4.25), $Q72), 1)"),0.0)</f>
        <v>0</v>
      </c>
      <c r="V72" s="20">
        <f>IFERROR(__xludf.DUMMYFUNCTION("iferror(PERCENTRANK.INC(FILTER($Q$2:$Q$428, $O$2:$O$428&gt;=4.1), $Q72), 0.01)"),0.01)</f>
        <v>0.01</v>
      </c>
    </row>
    <row r="73" ht="14.25" customHeight="1">
      <c r="A73" s="14" t="s">
        <v>877</v>
      </c>
      <c r="B73" s="14" t="s">
        <v>271</v>
      </c>
      <c r="C73" s="14">
        <v>9.0</v>
      </c>
      <c r="D73" s="14" t="s">
        <v>803</v>
      </c>
      <c r="E73" s="14" t="s">
        <v>172</v>
      </c>
      <c r="F73" s="14">
        <v>129.0</v>
      </c>
      <c r="G73" s="14">
        <v>720.0</v>
      </c>
      <c r="H73" s="14">
        <v>5.6</v>
      </c>
      <c r="I73" s="14">
        <v>10.0</v>
      </c>
      <c r="J73" s="20">
        <v>4.31</v>
      </c>
      <c r="K73" s="20">
        <f t="shared" si="1"/>
        <v>40.92140921</v>
      </c>
      <c r="L73" s="15"/>
      <c r="M73" s="20">
        <v>4.31</v>
      </c>
      <c r="N73" s="14">
        <v>0.85</v>
      </c>
      <c r="O73" s="20">
        <v>4.32</v>
      </c>
      <c r="P73" s="14">
        <v>0.9</v>
      </c>
      <c r="Q73" s="20">
        <f>IFERROR(M73*P73*0.05+N73*0.05+O72*0.9,0)</f>
        <v>0.23645</v>
      </c>
      <c r="R73" s="20">
        <f t="shared" si="3"/>
        <v>4.324969957</v>
      </c>
      <c r="T73" s="20">
        <f>IFERROR(__xludf.DUMMYFUNCTION("iferror(PERCENTRANK.INC(FILTER($Q$2:$Q$428, $O$2:$O$428&lt;3.75), $Q73), 1)"),0.719)</f>
        <v>0.719</v>
      </c>
      <c r="U73" s="20">
        <f>IFERROR(__xludf.DUMMYFUNCTION("iferror(PERCENTRANK.INC(FILTER($Q$2:$Q$428, $O$2:$O$428&lt;4.25), $Q73), 1)"),0.628)</f>
        <v>0.628</v>
      </c>
      <c r="V73" s="20">
        <f>IFERROR(__xludf.DUMMYFUNCTION("iferror(PERCENTRANK.INC(FILTER($Q$2:$Q$428, $O$2:$O$428&gt;=4.1), $Q73), 0.01)"),0.0)</f>
        <v>0</v>
      </c>
    </row>
    <row r="74" ht="14.25" customHeight="1">
      <c r="A74" s="14" t="s">
        <v>878</v>
      </c>
      <c r="B74" s="14" t="s">
        <v>879</v>
      </c>
      <c r="C74" s="14">
        <v>22.0</v>
      </c>
      <c r="D74" s="14" t="s">
        <v>803</v>
      </c>
      <c r="E74" s="14" t="s">
        <v>182</v>
      </c>
      <c r="F74" s="14">
        <v>41.0</v>
      </c>
      <c r="G74" s="14">
        <v>396.0</v>
      </c>
      <c r="H74" s="14">
        <v>9.7</v>
      </c>
      <c r="I74" s="14">
        <v>5.0</v>
      </c>
      <c r="J74" s="20">
        <v>3.19</v>
      </c>
      <c r="K74" s="20">
        <f t="shared" si="1"/>
        <v>24.05901837</v>
      </c>
      <c r="L74" s="15"/>
      <c r="M74" s="20">
        <v>3.19</v>
      </c>
      <c r="N74" s="14">
        <v>1.28</v>
      </c>
      <c r="P74" s="14">
        <v>1.0</v>
      </c>
      <c r="Q74" s="20">
        <f t="shared" ref="Q74:Q143" si="4">IFERROR(M74*P74*0.05+N74*0.05+O74*0.9,0)</f>
        <v>0.2235</v>
      </c>
      <c r="R74" s="20">
        <f t="shared" si="3"/>
        <v>4.088098056</v>
      </c>
      <c r="T74" s="20">
        <f>IFERROR(__xludf.DUMMYFUNCTION("iferror(PERCENTRANK.INC(FILTER($Q$2:$Q$428, $O$2:$O$428&lt;3.75), $Q74), 1)"),0.711)</f>
        <v>0.711</v>
      </c>
      <c r="U74" s="20">
        <f>IFERROR(__xludf.DUMMYFUNCTION("iferror(PERCENTRANK.INC(FILTER($Q$2:$Q$428, $O$2:$O$428&lt;4.25), $Q74), 1)"),0.621)</f>
        <v>0.621</v>
      </c>
      <c r="V74" s="20">
        <f>IFERROR(__xludf.DUMMYFUNCTION("iferror(PERCENTRANK.INC(FILTER($Q$2:$Q$428, $O$2:$O$428&gt;=4.1), $Q74), 0.01)"),0.01)</f>
        <v>0.01</v>
      </c>
    </row>
    <row r="75" ht="14.25" customHeight="1">
      <c r="A75" s="14" t="s">
        <v>880</v>
      </c>
      <c r="B75" s="14" t="s">
        <v>279</v>
      </c>
      <c r="C75" s="14">
        <v>0.0</v>
      </c>
      <c r="D75" s="14" t="s">
        <v>803</v>
      </c>
      <c r="E75" s="14" t="s">
        <v>127</v>
      </c>
      <c r="F75" s="14">
        <v>110.0</v>
      </c>
      <c r="G75" s="14">
        <v>709.0</v>
      </c>
      <c r="H75" s="14">
        <v>6.5</v>
      </c>
      <c r="I75" s="14">
        <v>7.0</v>
      </c>
      <c r="J75" s="20">
        <v>3.958</v>
      </c>
      <c r="K75" s="20">
        <f t="shared" si="1"/>
        <v>35.62180066</v>
      </c>
      <c r="L75" s="15"/>
      <c r="M75" s="20">
        <v>3.958</v>
      </c>
      <c r="N75" s="14">
        <v>0.89</v>
      </c>
      <c r="P75" s="14">
        <v>0.9</v>
      </c>
      <c r="Q75" s="20">
        <f t="shared" si="4"/>
        <v>0.22261</v>
      </c>
      <c r="R75" s="20">
        <f t="shared" si="3"/>
        <v>4.071818829</v>
      </c>
      <c r="T75" s="20">
        <f>IFERROR(__xludf.DUMMYFUNCTION("iferror(PERCENTRANK.INC(FILTER($Q$2:$Q$428, $O$2:$O$428&lt;3.75), $Q75), 1)"),0.7)</f>
        <v>0.7</v>
      </c>
      <c r="U75" s="20">
        <f>IFERROR(__xludf.DUMMYFUNCTION("iferror(PERCENTRANK.INC(FILTER($Q$2:$Q$428, $O$2:$O$428&lt;4.25), $Q75), 1)"),0.612)</f>
        <v>0.612</v>
      </c>
      <c r="V75" s="20">
        <f>IFERROR(__xludf.DUMMYFUNCTION("iferror(PERCENTRANK.INC(FILTER($Q$2:$Q$428, $O$2:$O$428&gt;=4.1), $Q75), 0.01)"),0.01)</f>
        <v>0.01</v>
      </c>
    </row>
    <row r="76" ht="14.25" customHeight="1">
      <c r="A76" s="14" t="s">
        <v>881</v>
      </c>
      <c r="B76" s="14" t="s">
        <v>319</v>
      </c>
      <c r="C76" s="14">
        <v>21.0</v>
      </c>
      <c r="D76" s="14" t="s">
        <v>803</v>
      </c>
      <c r="E76" s="14" t="s">
        <v>127</v>
      </c>
      <c r="F76" s="14">
        <v>73.0</v>
      </c>
      <c r="G76" s="14">
        <v>392.0</v>
      </c>
      <c r="H76" s="14">
        <v>5.4</v>
      </c>
      <c r="I76" s="14">
        <v>5.0</v>
      </c>
      <c r="J76" s="20">
        <v>2.6860000000000004</v>
      </c>
      <c r="K76" s="20">
        <f t="shared" si="1"/>
        <v>16.47094249</v>
      </c>
      <c r="L76" s="15"/>
      <c r="M76" s="20">
        <v>2.6860000000000004</v>
      </c>
      <c r="N76" s="14">
        <v>1.96</v>
      </c>
      <c r="P76" s="14">
        <v>0.9</v>
      </c>
      <c r="Q76" s="20">
        <f t="shared" si="4"/>
        <v>0.21887</v>
      </c>
      <c r="R76" s="20">
        <f t="shared" si="3"/>
        <v>4.003409492</v>
      </c>
      <c r="T76" s="20">
        <f>IFERROR(__xludf.DUMMYFUNCTION("iferror(PERCENTRANK.INC(FILTER($Q$2:$Q$428, $O$2:$O$428&lt;3.75), $Q76), 1)"),0.689)</f>
        <v>0.689</v>
      </c>
      <c r="U76" s="20">
        <f>IFERROR(__xludf.DUMMYFUNCTION("iferror(PERCENTRANK.INC(FILTER($Q$2:$Q$428, $O$2:$O$428&lt;4.25), $Q76), 1)"),0.602)</f>
        <v>0.602</v>
      </c>
      <c r="V76" s="20">
        <f>IFERROR(__xludf.DUMMYFUNCTION("iferror(PERCENTRANK.INC(FILTER($Q$2:$Q$428, $O$2:$O$428&gt;=4.1), $Q76), 0.01)"),0.01)</f>
        <v>0.01</v>
      </c>
    </row>
    <row r="77" ht="14.25" customHeight="1">
      <c r="A77" s="14" t="s">
        <v>882</v>
      </c>
      <c r="B77" s="14" t="s">
        <v>201</v>
      </c>
      <c r="C77" s="14">
        <v>28.0</v>
      </c>
      <c r="D77" s="14" t="s">
        <v>803</v>
      </c>
      <c r="E77" s="14" t="s">
        <v>105</v>
      </c>
      <c r="F77" s="14">
        <v>90.0</v>
      </c>
      <c r="G77" s="14">
        <v>675.0</v>
      </c>
      <c r="H77" s="14">
        <v>7.5</v>
      </c>
      <c r="I77" s="14">
        <v>9.0</v>
      </c>
      <c r="J77" s="20">
        <v>4.17</v>
      </c>
      <c r="K77" s="20">
        <f t="shared" si="1"/>
        <v>38.81361036</v>
      </c>
      <c r="L77" s="15"/>
      <c r="M77" s="20">
        <v>4.17</v>
      </c>
      <c r="N77" s="14">
        <v>0.62</v>
      </c>
      <c r="P77" s="14">
        <v>0.9</v>
      </c>
      <c r="Q77" s="20">
        <f t="shared" si="4"/>
        <v>0.21865</v>
      </c>
      <c r="R77" s="20">
        <f t="shared" si="3"/>
        <v>3.999385413</v>
      </c>
      <c r="T77" s="20">
        <f>IFERROR(__xludf.DUMMYFUNCTION("iferror(PERCENTRANK.INC(FILTER($Q$2:$Q$428, $O$2:$O$428&lt;3.75), $Q77), 1)"),0.678)</f>
        <v>0.678</v>
      </c>
      <c r="U77" s="20">
        <f>IFERROR(__xludf.DUMMYFUNCTION("iferror(PERCENTRANK.INC(FILTER($Q$2:$Q$428, $O$2:$O$428&lt;4.25), $Q77), 1)"),0.592)</f>
        <v>0.592</v>
      </c>
      <c r="V77" s="20">
        <f>IFERROR(__xludf.DUMMYFUNCTION("iferror(PERCENTRANK.INC(FILTER($Q$2:$Q$428, $O$2:$O$428&gt;=4.1), $Q77), 0.01)"),0.01)</f>
        <v>0.01</v>
      </c>
    </row>
    <row r="78" ht="14.25" customHeight="1">
      <c r="A78" s="14" t="s">
        <v>883</v>
      </c>
      <c r="B78" s="14" t="s">
        <v>567</v>
      </c>
      <c r="C78" s="14">
        <v>6.0</v>
      </c>
      <c r="D78" s="14" t="s">
        <v>803</v>
      </c>
      <c r="E78" s="14" t="s">
        <v>138</v>
      </c>
      <c r="F78" s="14">
        <v>154.0</v>
      </c>
      <c r="G78" s="14">
        <v>762.0</v>
      </c>
      <c r="H78" s="14">
        <v>5.0</v>
      </c>
      <c r="I78" s="14">
        <v>7.0</v>
      </c>
      <c r="J78" s="20">
        <v>4.088</v>
      </c>
      <c r="K78" s="20">
        <f t="shared" si="1"/>
        <v>37.57904246</v>
      </c>
      <c r="L78" s="15"/>
      <c r="M78" s="20">
        <v>4.088</v>
      </c>
      <c r="N78" s="14">
        <v>0.57</v>
      </c>
      <c r="P78" s="14">
        <v>0.9</v>
      </c>
      <c r="Q78" s="20">
        <f t="shared" si="4"/>
        <v>0.21246</v>
      </c>
      <c r="R78" s="20">
        <f t="shared" si="3"/>
        <v>3.886162474</v>
      </c>
      <c r="T78" s="20">
        <f>IFERROR(__xludf.DUMMYFUNCTION("iferror(PERCENTRANK.INC(FILTER($Q$2:$Q$428, $O$2:$O$428&lt;3.75), $Q78), 1)"),0.667)</f>
        <v>0.667</v>
      </c>
      <c r="U78" s="20">
        <f>IFERROR(__xludf.DUMMYFUNCTION("iferror(PERCENTRANK.INC(FILTER($Q$2:$Q$428, $O$2:$O$428&lt;4.25), $Q78), 1)"),0.583)</f>
        <v>0.583</v>
      </c>
      <c r="V78" s="20">
        <f>IFERROR(__xludf.DUMMYFUNCTION("iferror(PERCENTRANK.INC(FILTER($Q$2:$Q$428, $O$2:$O$428&gt;=4.1), $Q78), 0.01)"),0.01)</f>
        <v>0.01</v>
      </c>
    </row>
    <row r="79" ht="14.25" customHeight="1">
      <c r="A79" s="14" t="s">
        <v>884</v>
      </c>
      <c r="B79" s="14" t="s">
        <v>167</v>
      </c>
      <c r="C79" s="14">
        <v>28.0</v>
      </c>
      <c r="D79" s="14" t="s">
        <v>803</v>
      </c>
      <c r="E79" s="14" t="s">
        <v>108</v>
      </c>
      <c r="F79" s="14">
        <v>52.0</v>
      </c>
      <c r="G79" s="14">
        <v>369.0</v>
      </c>
      <c r="H79" s="14">
        <v>7.1</v>
      </c>
      <c r="I79" s="14">
        <v>5.0</v>
      </c>
      <c r="J79" s="20">
        <v>2.786</v>
      </c>
      <c r="K79" s="20">
        <f t="shared" si="1"/>
        <v>17.9765131</v>
      </c>
      <c r="L79" s="15"/>
      <c r="M79" s="20">
        <v>2.786</v>
      </c>
      <c r="N79" s="14">
        <v>1.34</v>
      </c>
      <c r="P79" s="14">
        <v>1.0</v>
      </c>
      <c r="Q79" s="20">
        <f t="shared" si="4"/>
        <v>0.2063</v>
      </c>
      <c r="R79" s="20">
        <f t="shared" si="3"/>
        <v>3.773488273</v>
      </c>
      <c r="T79" s="20">
        <f>IFERROR(__xludf.DUMMYFUNCTION("iferror(PERCENTRANK.INC(FILTER($Q$2:$Q$428, $O$2:$O$428&lt;3.75), $Q79), 1)"),0.656)</f>
        <v>0.656</v>
      </c>
      <c r="U79" s="20">
        <f>IFERROR(__xludf.DUMMYFUNCTION("iferror(PERCENTRANK.INC(FILTER($Q$2:$Q$428, $O$2:$O$428&lt;4.25), $Q79), 1)"),0.573)</f>
        <v>0.573</v>
      </c>
      <c r="V79" s="20">
        <f>IFERROR(__xludf.DUMMYFUNCTION("iferror(PERCENTRANK.INC(FILTER($Q$2:$Q$428, $O$2:$O$428&gt;=4.1), $Q79), 0.01)"),0.01)</f>
        <v>0.01</v>
      </c>
    </row>
    <row r="80" ht="14.25" customHeight="1">
      <c r="A80" s="14" t="s">
        <v>885</v>
      </c>
      <c r="B80" s="14" t="s">
        <v>137</v>
      </c>
      <c r="C80" s="14">
        <v>27.0</v>
      </c>
      <c r="D80" s="14" t="s">
        <v>803</v>
      </c>
      <c r="E80" s="14" t="s">
        <v>138</v>
      </c>
      <c r="F80" s="14">
        <v>100.0</v>
      </c>
      <c r="G80" s="14">
        <v>710.0</v>
      </c>
      <c r="H80" s="14">
        <v>7.1</v>
      </c>
      <c r="I80" s="14">
        <v>4.0</v>
      </c>
      <c r="J80" s="20">
        <v>3.636</v>
      </c>
      <c r="K80" s="20">
        <f t="shared" si="1"/>
        <v>30.77386329</v>
      </c>
      <c r="L80" s="15"/>
      <c r="M80" s="20">
        <v>3.636</v>
      </c>
      <c r="N80" s="14">
        <v>0.83</v>
      </c>
      <c r="O80" s="16">
        <v>4.7</v>
      </c>
      <c r="P80" s="14">
        <v>0.9</v>
      </c>
      <c r="Q80" s="20">
        <f t="shared" si="4"/>
        <v>4.43512</v>
      </c>
      <c r="R80" s="20">
        <f t="shared" si="3"/>
        <v>81.12396174</v>
      </c>
      <c r="T80" s="20">
        <f>IFERROR(__xludf.DUMMYFUNCTION("iferror(PERCENTRANK.INC(FILTER($Q$2:$Q$428, $O$2:$O$428&lt;3.75), $Q80), 1)"),1.0)</f>
        <v>1</v>
      </c>
      <c r="U80" s="20">
        <f>IFERROR(__xludf.DUMMYFUNCTION("iferror(PERCENTRANK.INC(FILTER($Q$2:$Q$428, $O$2:$O$428&lt;4.25), $Q80), 1)"),1.0)</f>
        <v>1</v>
      </c>
      <c r="V80" s="20">
        <f>IFERROR(__xludf.DUMMYFUNCTION("iferror(PERCENTRANK.INC(FILTER($Q$2:$Q$428, $O$2:$O$428&gt;=4.1), $Q80), 0.01)"),0.459)</f>
        <v>0.459</v>
      </c>
    </row>
    <row r="81" ht="14.25" customHeight="1">
      <c r="A81" s="14" t="s">
        <v>886</v>
      </c>
      <c r="B81" s="14" t="s">
        <v>415</v>
      </c>
      <c r="C81" s="14">
        <v>28.0</v>
      </c>
      <c r="D81" s="14" t="s">
        <v>803</v>
      </c>
      <c r="E81" s="14" t="s">
        <v>138</v>
      </c>
      <c r="F81" s="14">
        <v>145.0</v>
      </c>
      <c r="G81" s="14">
        <v>817.0</v>
      </c>
      <c r="H81" s="14">
        <v>5.6</v>
      </c>
      <c r="I81" s="14">
        <v>7.0</v>
      </c>
      <c r="J81" s="20">
        <v>4.24</v>
      </c>
      <c r="K81" s="20">
        <f t="shared" si="1"/>
        <v>39.86750979</v>
      </c>
      <c r="L81" s="15"/>
      <c r="M81" s="20">
        <v>4.24</v>
      </c>
      <c r="N81" s="14">
        <v>0.28</v>
      </c>
      <c r="P81" s="14">
        <v>0.9</v>
      </c>
      <c r="Q81" s="20">
        <f t="shared" si="4"/>
        <v>0.2048</v>
      </c>
      <c r="R81" s="20">
        <f t="shared" si="3"/>
        <v>3.746051373</v>
      </c>
      <c r="T81" s="20">
        <f>IFERROR(__xludf.DUMMYFUNCTION("iferror(PERCENTRANK.INC(FILTER($Q$2:$Q$428, $O$2:$O$428&lt;3.75), $Q81), 1)"),0.644)</f>
        <v>0.644</v>
      </c>
      <c r="U81" s="20">
        <f>IFERROR(__xludf.DUMMYFUNCTION("iferror(PERCENTRANK.INC(FILTER($Q$2:$Q$428, $O$2:$O$428&lt;4.25), $Q81), 1)"),0.563)</f>
        <v>0.563</v>
      </c>
      <c r="V81" s="20">
        <f>IFERROR(__xludf.DUMMYFUNCTION("iferror(PERCENTRANK.INC(FILTER($Q$2:$Q$428, $O$2:$O$428&gt;=4.1), $Q81), 0.01)"),0.01)</f>
        <v>0.01</v>
      </c>
    </row>
    <row r="82" ht="14.25" customHeight="1">
      <c r="A82" s="14" t="s">
        <v>887</v>
      </c>
      <c r="B82" s="14" t="s">
        <v>388</v>
      </c>
      <c r="C82" s="14">
        <v>26.0</v>
      </c>
      <c r="D82" s="14" t="s">
        <v>803</v>
      </c>
      <c r="E82" s="14" t="s">
        <v>132</v>
      </c>
      <c r="F82" s="14">
        <v>105.0</v>
      </c>
      <c r="G82" s="14">
        <v>498.0</v>
      </c>
      <c r="H82" s="14">
        <v>4.7</v>
      </c>
      <c r="I82" s="14">
        <v>5.0</v>
      </c>
      <c r="J82" s="20">
        <v>2.978</v>
      </c>
      <c r="K82" s="20">
        <f t="shared" si="1"/>
        <v>20.86720867</v>
      </c>
      <c r="L82" s="15"/>
      <c r="M82" s="20">
        <v>2.978</v>
      </c>
      <c r="N82" s="14">
        <v>1.25</v>
      </c>
      <c r="P82" s="14">
        <v>0.95</v>
      </c>
      <c r="Q82" s="20">
        <f t="shared" si="4"/>
        <v>0.203955</v>
      </c>
      <c r="R82" s="20">
        <f t="shared" si="3"/>
        <v>3.730595253</v>
      </c>
      <c r="T82" s="20">
        <f>IFERROR(__xludf.DUMMYFUNCTION("iferror(PERCENTRANK.INC(FILTER($Q$2:$Q$428, $O$2:$O$428&lt;3.75), $Q82), 1)"),0.633)</f>
        <v>0.633</v>
      </c>
      <c r="U82" s="20">
        <f>IFERROR(__xludf.DUMMYFUNCTION("iferror(PERCENTRANK.INC(FILTER($Q$2:$Q$428, $O$2:$O$428&lt;4.25), $Q82), 1)"),0.553)</f>
        <v>0.553</v>
      </c>
      <c r="V82" s="20">
        <f>IFERROR(__xludf.DUMMYFUNCTION("iferror(PERCENTRANK.INC(FILTER($Q$2:$Q$428, $O$2:$O$428&gt;=4.1), $Q82), 0.01)"),0.01)</f>
        <v>0.01</v>
      </c>
    </row>
    <row r="83" ht="14.25" customHeight="1">
      <c r="A83" s="14" t="s">
        <v>888</v>
      </c>
      <c r="B83" s="14" t="s">
        <v>228</v>
      </c>
      <c r="C83" s="14">
        <v>23.0</v>
      </c>
      <c r="D83" s="14" t="s">
        <v>803</v>
      </c>
      <c r="E83" s="14" t="s">
        <v>189</v>
      </c>
      <c r="F83" s="14">
        <v>107.0</v>
      </c>
      <c r="G83" s="14">
        <v>585.0</v>
      </c>
      <c r="H83" s="14">
        <v>5.5</v>
      </c>
      <c r="I83" s="14">
        <v>9.0</v>
      </c>
      <c r="J83" s="20">
        <v>3.772</v>
      </c>
      <c r="K83" s="20">
        <f t="shared" si="1"/>
        <v>32.82143933</v>
      </c>
      <c r="L83" s="15"/>
      <c r="M83" s="20">
        <v>3.772</v>
      </c>
      <c r="N83" s="14">
        <v>0.67</v>
      </c>
      <c r="P83" s="14">
        <v>0.9</v>
      </c>
      <c r="Q83" s="20">
        <f t="shared" si="4"/>
        <v>0.20324</v>
      </c>
      <c r="R83" s="20">
        <f t="shared" si="3"/>
        <v>3.717516997</v>
      </c>
      <c r="T83" s="20">
        <f>IFERROR(__xludf.DUMMYFUNCTION("iferror(PERCENTRANK.INC(FILTER($Q$2:$Q$428, $O$2:$O$428&lt;3.75), $Q83), 1)"),0.622)</f>
        <v>0.622</v>
      </c>
      <c r="U83" s="20">
        <f>IFERROR(__xludf.DUMMYFUNCTION("iferror(PERCENTRANK.INC(FILTER($Q$2:$Q$428, $O$2:$O$428&lt;4.25), $Q83), 1)"),0.544)</f>
        <v>0.544</v>
      </c>
      <c r="V83" s="20">
        <f>IFERROR(__xludf.DUMMYFUNCTION("iferror(PERCENTRANK.INC(FILTER($Q$2:$Q$428, $O$2:$O$428&gt;=4.1), $Q83), 0.01)"),0.01)</f>
        <v>0.01</v>
      </c>
    </row>
    <row r="84" ht="14.25" customHeight="1">
      <c r="A84" s="14" t="s">
        <v>889</v>
      </c>
      <c r="B84" s="14" t="s">
        <v>134</v>
      </c>
      <c r="C84" s="14">
        <v>8.0</v>
      </c>
      <c r="D84" s="14" t="s">
        <v>803</v>
      </c>
      <c r="E84" s="14" t="s">
        <v>135</v>
      </c>
      <c r="F84" s="14">
        <v>57.0</v>
      </c>
      <c r="G84" s="14">
        <v>219.0</v>
      </c>
      <c r="H84" s="14">
        <v>3.8</v>
      </c>
      <c r="I84" s="14">
        <v>4.0</v>
      </c>
      <c r="J84" s="20">
        <v>1.868</v>
      </c>
      <c r="K84" s="20">
        <f t="shared" si="1"/>
        <v>4.155374887</v>
      </c>
      <c r="L84" s="15"/>
      <c r="M84" s="20">
        <v>1.868</v>
      </c>
      <c r="N84" s="14">
        <v>2.16</v>
      </c>
      <c r="P84" s="14">
        <v>1.0</v>
      </c>
      <c r="Q84" s="20">
        <f t="shared" si="4"/>
        <v>0.2014</v>
      </c>
      <c r="R84" s="20">
        <f t="shared" si="3"/>
        <v>3.683861067</v>
      </c>
      <c r="T84" s="20">
        <f>IFERROR(__xludf.DUMMYFUNCTION("iferror(PERCENTRANK.INC(FILTER($Q$2:$Q$428, $O$2:$O$428&lt;3.75), $Q84), 1)"),0.611)</f>
        <v>0.611</v>
      </c>
      <c r="U84" s="20">
        <f>IFERROR(__xludf.DUMMYFUNCTION("iferror(PERCENTRANK.INC(FILTER($Q$2:$Q$428, $O$2:$O$428&lt;4.25), $Q84), 1)"),0.534)</f>
        <v>0.534</v>
      </c>
      <c r="V84" s="20">
        <f>IFERROR(__xludf.DUMMYFUNCTION("iferror(PERCENTRANK.INC(FILTER($Q$2:$Q$428, $O$2:$O$428&gt;=4.1), $Q84), 0.01)"),0.01)</f>
        <v>0.01</v>
      </c>
    </row>
    <row r="85" ht="14.25" customHeight="1">
      <c r="A85" s="14" t="s">
        <v>890</v>
      </c>
      <c r="B85" s="14" t="s">
        <v>329</v>
      </c>
      <c r="C85" s="14">
        <v>3.0</v>
      </c>
      <c r="D85" s="14" t="s">
        <v>803</v>
      </c>
      <c r="E85" s="14" t="s">
        <v>99</v>
      </c>
      <c r="F85" s="14">
        <v>36.0</v>
      </c>
      <c r="G85" s="14">
        <v>209.0</v>
      </c>
      <c r="H85" s="14">
        <v>5.8</v>
      </c>
      <c r="I85" s="14">
        <v>2.0</v>
      </c>
      <c r="J85" s="20">
        <v>1.8019999999999998</v>
      </c>
      <c r="K85" s="20">
        <f t="shared" si="1"/>
        <v>3.161698284</v>
      </c>
      <c r="L85" s="15"/>
      <c r="M85" s="20">
        <v>1.8019999999999998</v>
      </c>
      <c r="N85" s="14">
        <v>2.2</v>
      </c>
      <c r="P85" s="14">
        <v>1.0</v>
      </c>
      <c r="Q85" s="20">
        <f t="shared" si="4"/>
        <v>0.2001</v>
      </c>
      <c r="R85" s="20">
        <f t="shared" si="3"/>
        <v>3.66008242</v>
      </c>
      <c r="T85" s="20">
        <f>IFERROR(__xludf.DUMMYFUNCTION("iferror(PERCENTRANK.INC(FILTER($Q$2:$Q$428, $O$2:$O$428&lt;3.75), $Q85), 1)"),0.6)</f>
        <v>0.6</v>
      </c>
      <c r="U85" s="20">
        <f>IFERROR(__xludf.DUMMYFUNCTION("iferror(PERCENTRANK.INC(FILTER($Q$2:$Q$428, $O$2:$O$428&lt;4.25), $Q85), 1)"),0.524)</f>
        <v>0.524</v>
      </c>
      <c r="V85" s="20">
        <f>IFERROR(__xludf.DUMMYFUNCTION("iferror(PERCENTRANK.INC(FILTER($Q$2:$Q$428, $O$2:$O$428&gt;=4.1), $Q85), 0.01)"),0.01)</f>
        <v>0.01</v>
      </c>
    </row>
    <row r="86" ht="14.25" customHeight="1">
      <c r="A86" s="14" t="s">
        <v>891</v>
      </c>
      <c r="B86" s="14" t="s">
        <v>341</v>
      </c>
      <c r="C86" s="14">
        <v>1.0</v>
      </c>
      <c r="D86" s="14" t="s">
        <v>803</v>
      </c>
      <c r="E86" s="14" t="s">
        <v>114</v>
      </c>
      <c r="F86" s="14">
        <v>109.0</v>
      </c>
      <c r="G86" s="14">
        <v>386.0</v>
      </c>
      <c r="H86" s="14">
        <v>3.5</v>
      </c>
      <c r="I86" s="14">
        <v>4.0</v>
      </c>
      <c r="J86" s="20">
        <v>2.4659999999999997</v>
      </c>
      <c r="K86" s="20">
        <f t="shared" si="1"/>
        <v>13.15868714</v>
      </c>
      <c r="L86" s="15"/>
      <c r="M86" s="20">
        <v>2.4659999999999997</v>
      </c>
      <c r="N86" s="14">
        <v>1.67</v>
      </c>
      <c r="P86" s="14">
        <v>0.9</v>
      </c>
      <c r="Q86" s="20">
        <f t="shared" si="4"/>
        <v>0.19447</v>
      </c>
      <c r="R86" s="20">
        <f t="shared" si="3"/>
        <v>3.55710259</v>
      </c>
      <c r="T86" s="20">
        <f>IFERROR(__xludf.DUMMYFUNCTION("iferror(PERCENTRANK.INC(FILTER($Q$2:$Q$428, $O$2:$O$428&lt;3.75), $Q86), 1)"),0.589)</f>
        <v>0.589</v>
      </c>
      <c r="U86" s="20">
        <f>IFERROR(__xludf.DUMMYFUNCTION("iferror(PERCENTRANK.INC(FILTER($Q$2:$Q$428, $O$2:$O$428&lt;4.25), $Q86), 1)"),0.515)</f>
        <v>0.515</v>
      </c>
      <c r="V86" s="20">
        <f>IFERROR(__xludf.DUMMYFUNCTION("iferror(PERCENTRANK.INC(FILTER($Q$2:$Q$428, $O$2:$O$428&gt;=4.1), $Q86), 0.01)"),0.01)</f>
        <v>0.01</v>
      </c>
    </row>
    <row r="87" ht="14.25" customHeight="1">
      <c r="A87" s="14" t="s">
        <v>892</v>
      </c>
      <c r="B87" s="14" t="s">
        <v>191</v>
      </c>
      <c r="C87" s="14">
        <v>14.0</v>
      </c>
      <c r="D87" s="14" t="s">
        <v>803</v>
      </c>
      <c r="E87" s="14" t="s">
        <v>155</v>
      </c>
      <c r="F87" s="14">
        <v>90.0</v>
      </c>
      <c r="G87" s="14">
        <v>516.0</v>
      </c>
      <c r="H87" s="14">
        <v>5.7</v>
      </c>
      <c r="I87" s="14">
        <v>7.0</v>
      </c>
      <c r="J87" s="20">
        <v>3.324</v>
      </c>
      <c r="K87" s="20">
        <f t="shared" si="1"/>
        <v>26.07648299</v>
      </c>
      <c r="L87" s="15"/>
      <c r="M87" s="20">
        <v>3.324</v>
      </c>
      <c r="N87" s="14">
        <v>0.87</v>
      </c>
      <c r="P87" s="14">
        <v>0.9</v>
      </c>
      <c r="Q87" s="20">
        <f t="shared" si="4"/>
        <v>0.19308</v>
      </c>
      <c r="R87" s="20">
        <f t="shared" si="3"/>
        <v>3.53167773</v>
      </c>
      <c r="T87" s="20">
        <f>IFERROR(__xludf.DUMMYFUNCTION("iferror(PERCENTRANK.INC(FILTER($Q$2:$Q$428, $O$2:$O$428&lt;3.75), $Q87), 1)"),0.578)</f>
        <v>0.578</v>
      </c>
      <c r="U87" s="20">
        <f>IFERROR(__xludf.DUMMYFUNCTION("iferror(PERCENTRANK.INC(FILTER($Q$2:$Q$428, $O$2:$O$428&lt;4.25), $Q87), 1)"),0.505)</f>
        <v>0.505</v>
      </c>
      <c r="V87" s="20">
        <f>IFERROR(__xludf.DUMMYFUNCTION("iferror(PERCENTRANK.INC(FILTER($Q$2:$Q$428, $O$2:$O$428&gt;=4.1), $Q87), 0.01)"),0.01)</f>
        <v>0.01</v>
      </c>
    </row>
    <row r="88" ht="14.25" customHeight="1">
      <c r="A88" s="14" t="s">
        <v>893</v>
      </c>
      <c r="B88" s="14" t="s">
        <v>255</v>
      </c>
      <c r="C88" s="14">
        <v>25.0</v>
      </c>
      <c r="D88" s="14" t="s">
        <v>803</v>
      </c>
      <c r="E88" s="14" t="s">
        <v>124</v>
      </c>
      <c r="F88" s="14">
        <v>93.0</v>
      </c>
      <c r="G88" s="14">
        <v>518.0</v>
      </c>
      <c r="H88" s="14">
        <v>5.6</v>
      </c>
      <c r="I88" s="14">
        <v>7.0</v>
      </c>
      <c r="J88" s="20">
        <v>3.33</v>
      </c>
      <c r="K88" s="20">
        <f t="shared" si="1"/>
        <v>26.16681722</v>
      </c>
      <c r="L88" s="15"/>
      <c r="M88" s="20">
        <v>3.33</v>
      </c>
      <c r="N88" s="14">
        <v>0.75</v>
      </c>
      <c r="P88" s="14">
        <v>0.9</v>
      </c>
      <c r="Q88" s="20">
        <f t="shared" si="4"/>
        <v>0.18735</v>
      </c>
      <c r="R88" s="20">
        <f t="shared" si="3"/>
        <v>3.426868773</v>
      </c>
      <c r="T88" s="20">
        <f>IFERROR(__xludf.DUMMYFUNCTION("iferror(PERCENTRANK.INC(FILTER($Q$2:$Q$428, $O$2:$O$428&lt;3.75), $Q88), 1)"),0.567)</f>
        <v>0.567</v>
      </c>
      <c r="U88" s="20">
        <f>IFERROR(__xludf.DUMMYFUNCTION("iferror(PERCENTRANK.INC(FILTER($Q$2:$Q$428, $O$2:$O$428&lt;4.25), $Q88), 1)"),0.495)</f>
        <v>0.495</v>
      </c>
      <c r="V88" s="20">
        <f>IFERROR(__xludf.DUMMYFUNCTION("iferror(PERCENTRANK.INC(FILTER($Q$2:$Q$428, $O$2:$O$428&gt;=4.1), $Q88), 0.01)"),0.01)</f>
        <v>0.01</v>
      </c>
    </row>
    <row r="89" ht="14.25" customHeight="1">
      <c r="A89" s="14" t="s">
        <v>894</v>
      </c>
      <c r="B89" s="14" t="s">
        <v>249</v>
      </c>
      <c r="C89" s="14">
        <v>20.0</v>
      </c>
      <c r="D89" s="14" t="s">
        <v>803</v>
      </c>
      <c r="E89" s="14" t="s">
        <v>189</v>
      </c>
      <c r="F89" s="14">
        <v>132.0</v>
      </c>
      <c r="G89" s="14">
        <v>881.0</v>
      </c>
      <c r="H89" s="14">
        <v>6.7</v>
      </c>
      <c r="I89" s="14">
        <v>4.0</v>
      </c>
      <c r="J89" s="20">
        <v>4.106</v>
      </c>
      <c r="K89" s="20">
        <f t="shared" si="1"/>
        <v>37.85004517</v>
      </c>
      <c r="L89" s="15"/>
      <c r="M89" s="20">
        <v>4.106</v>
      </c>
      <c r="N89" s="14">
        <v>0.02</v>
      </c>
      <c r="O89" s="20">
        <v>3.73</v>
      </c>
      <c r="P89" s="14">
        <v>0.9</v>
      </c>
      <c r="Q89" s="20">
        <f t="shared" si="4"/>
        <v>3.54277</v>
      </c>
      <c r="R89" s="20">
        <f t="shared" si="3"/>
        <v>64.80175011</v>
      </c>
      <c r="T89" s="20">
        <f>IFERROR(__xludf.DUMMYFUNCTION("iferror(PERCENTRANK.INC(FILTER($Q$2:$Q$428, $O$2:$O$428&lt;3.75), $Q89), 1)"),0.967)</f>
        <v>0.967</v>
      </c>
      <c r="U89" s="20">
        <f>IFERROR(__xludf.DUMMYFUNCTION("iferror(PERCENTRANK.INC(FILTER($Q$2:$Q$428, $O$2:$O$428&lt;4.25), $Q89), 1)"),0.845)</f>
        <v>0.845</v>
      </c>
      <c r="V89" s="20">
        <f>IFERROR(__xludf.DUMMYFUNCTION("iferror(PERCENTRANK.INC(FILTER($Q$2:$Q$428, $O$2:$O$428&gt;=4.1), $Q89), 0.01)"),0.023)</f>
        <v>0.023</v>
      </c>
    </row>
    <row r="90" ht="14.25" customHeight="1">
      <c r="A90" s="14" t="s">
        <v>895</v>
      </c>
      <c r="B90" s="14" t="s">
        <v>353</v>
      </c>
      <c r="C90" s="14">
        <v>4.0</v>
      </c>
      <c r="D90" s="14" t="s">
        <v>803</v>
      </c>
      <c r="E90" s="14" t="s">
        <v>105</v>
      </c>
      <c r="F90" s="14">
        <v>127.0</v>
      </c>
      <c r="G90" s="14">
        <v>574.0</v>
      </c>
      <c r="H90" s="14">
        <v>4.5</v>
      </c>
      <c r="I90" s="14">
        <v>6.0</v>
      </c>
      <c r="J90" s="20">
        <v>3.35</v>
      </c>
      <c r="K90" s="20">
        <f t="shared" si="1"/>
        <v>26.46793135</v>
      </c>
      <c r="L90" s="15"/>
      <c r="M90" s="20">
        <v>3.35</v>
      </c>
      <c r="N90" s="14">
        <v>0.7</v>
      </c>
      <c r="P90" s="14">
        <v>0.9</v>
      </c>
      <c r="Q90" s="20">
        <f t="shared" si="4"/>
        <v>0.18575</v>
      </c>
      <c r="R90" s="20">
        <f t="shared" si="3"/>
        <v>3.397602747</v>
      </c>
      <c r="T90" s="20">
        <f>IFERROR(__xludf.DUMMYFUNCTION("iferror(PERCENTRANK.INC(FILTER($Q$2:$Q$428, $O$2:$O$428&lt;3.75), $Q90), 1)"),0.556)</f>
        <v>0.556</v>
      </c>
      <c r="U90" s="20">
        <f>IFERROR(__xludf.DUMMYFUNCTION("iferror(PERCENTRANK.INC(FILTER($Q$2:$Q$428, $O$2:$O$428&lt;4.25), $Q90), 1)"),0.485)</f>
        <v>0.485</v>
      </c>
      <c r="V90" s="20">
        <f>IFERROR(__xludf.DUMMYFUNCTION("iferror(PERCENTRANK.INC(FILTER($Q$2:$Q$428, $O$2:$O$428&gt;=4.1), $Q90), 0.01)"),0.01)</f>
        <v>0.01</v>
      </c>
    </row>
    <row r="91" ht="14.25" customHeight="1">
      <c r="A91" s="14" t="s">
        <v>896</v>
      </c>
      <c r="B91" s="14" t="s">
        <v>453</v>
      </c>
      <c r="C91" s="14">
        <v>2.0</v>
      </c>
      <c r="D91" s="14" t="s">
        <v>803</v>
      </c>
      <c r="E91" s="14" t="s">
        <v>102</v>
      </c>
      <c r="F91" s="14">
        <v>119.0</v>
      </c>
      <c r="G91" s="14">
        <v>446.0</v>
      </c>
      <c r="H91" s="14">
        <v>3.8</v>
      </c>
      <c r="I91" s="14">
        <v>7.0</v>
      </c>
      <c r="J91" s="20">
        <v>3.054</v>
      </c>
      <c r="K91" s="20">
        <f t="shared" si="1"/>
        <v>22.01144234</v>
      </c>
      <c r="L91" s="15"/>
      <c r="M91" s="20">
        <v>3.054</v>
      </c>
      <c r="N91" s="14">
        <v>0.93</v>
      </c>
      <c r="P91" s="14">
        <v>0.9</v>
      </c>
      <c r="Q91" s="20">
        <f t="shared" si="4"/>
        <v>0.18393</v>
      </c>
      <c r="R91" s="20">
        <f t="shared" si="3"/>
        <v>3.364312642</v>
      </c>
      <c r="T91" s="20">
        <f>IFERROR(__xludf.DUMMYFUNCTION("iferror(PERCENTRANK.INC(FILTER($Q$2:$Q$428, $O$2:$O$428&lt;3.75), $Q91), 1)"),0.544)</f>
        <v>0.544</v>
      </c>
      <c r="U91" s="20">
        <f>IFERROR(__xludf.DUMMYFUNCTION("iferror(PERCENTRANK.INC(FILTER($Q$2:$Q$428, $O$2:$O$428&lt;4.25), $Q91), 1)"),0.476)</f>
        <v>0.476</v>
      </c>
      <c r="V91" s="20">
        <f>IFERROR(__xludf.DUMMYFUNCTION("iferror(PERCENTRANK.INC(FILTER($Q$2:$Q$428, $O$2:$O$428&gt;=4.1), $Q91), 0.01)"),0.01)</f>
        <v>0.01</v>
      </c>
    </row>
    <row r="92" ht="14.25" customHeight="1">
      <c r="A92" s="14" t="s">
        <v>897</v>
      </c>
      <c r="B92" s="14" t="s">
        <v>226</v>
      </c>
      <c r="C92" s="14">
        <v>23.0</v>
      </c>
      <c r="D92" s="14" t="s">
        <v>803</v>
      </c>
      <c r="E92" s="14" t="s">
        <v>108</v>
      </c>
      <c r="F92" s="14">
        <v>43.0</v>
      </c>
      <c r="G92" s="14">
        <v>402.0</v>
      </c>
      <c r="H92" s="14">
        <v>9.3</v>
      </c>
      <c r="I92" s="14">
        <v>4.0</v>
      </c>
      <c r="J92" s="20">
        <v>3.0300000000000007</v>
      </c>
      <c r="K92" s="20">
        <f t="shared" si="1"/>
        <v>21.65010539</v>
      </c>
      <c r="L92" s="15"/>
      <c r="M92" s="20">
        <v>3.0300000000000007</v>
      </c>
      <c r="N92" s="14">
        <v>0.63</v>
      </c>
      <c r="P92" s="14">
        <v>1.0</v>
      </c>
      <c r="Q92" s="20">
        <f t="shared" si="4"/>
        <v>0.183</v>
      </c>
      <c r="R92" s="20">
        <f t="shared" si="3"/>
        <v>3.347301764</v>
      </c>
      <c r="T92" s="20">
        <f>IFERROR(__xludf.DUMMYFUNCTION("iferror(PERCENTRANK.INC(FILTER($Q$2:$Q$428, $O$2:$O$428&lt;3.75), $Q92), 1)"),0.533)</f>
        <v>0.533</v>
      </c>
      <c r="U92" s="20">
        <f>IFERROR(__xludf.DUMMYFUNCTION("iferror(PERCENTRANK.INC(FILTER($Q$2:$Q$428, $O$2:$O$428&lt;4.25), $Q92), 1)"),0.466)</f>
        <v>0.466</v>
      </c>
      <c r="V92" s="20">
        <f>IFERROR(__xludf.DUMMYFUNCTION("iferror(PERCENTRANK.INC(FILTER($Q$2:$Q$428, $O$2:$O$428&gt;=4.1), $Q92), 0.01)"),0.01)</f>
        <v>0.01</v>
      </c>
    </row>
    <row r="93" ht="14.25" customHeight="1">
      <c r="A93" s="14" t="s">
        <v>898</v>
      </c>
      <c r="B93" s="14" t="s">
        <v>373</v>
      </c>
      <c r="C93" s="14">
        <v>5.0</v>
      </c>
      <c r="D93" s="14" t="s">
        <v>803</v>
      </c>
      <c r="E93" s="14" t="s">
        <v>179</v>
      </c>
      <c r="F93" s="14">
        <v>101.0</v>
      </c>
      <c r="G93" s="14">
        <v>540.0</v>
      </c>
      <c r="H93" s="14">
        <v>5.3</v>
      </c>
      <c r="I93" s="14">
        <v>8.0</v>
      </c>
      <c r="J93" s="20">
        <v>3.4939999999999998</v>
      </c>
      <c r="K93" s="20">
        <f t="shared" si="1"/>
        <v>28.63595303</v>
      </c>
      <c r="L93" s="15"/>
      <c r="M93" s="20">
        <v>3.4939999999999998</v>
      </c>
      <c r="N93" s="14">
        <v>0.49</v>
      </c>
      <c r="P93" s="14">
        <v>0.9</v>
      </c>
      <c r="Q93" s="20">
        <f t="shared" si="4"/>
        <v>0.18173</v>
      </c>
      <c r="R93" s="20">
        <f t="shared" si="3"/>
        <v>3.324071855</v>
      </c>
      <c r="T93" s="20">
        <f>IFERROR(__xludf.DUMMYFUNCTION("iferror(PERCENTRANK.INC(FILTER($Q$2:$Q$428, $O$2:$O$428&lt;3.75), $Q93), 1)"),0.522)</f>
        <v>0.522</v>
      </c>
      <c r="U93" s="20">
        <f>IFERROR(__xludf.DUMMYFUNCTION("iferror(PERCENTRANK.INC(FILTER($Q$2:$Q$428, $O$2:$O$428&lt;4.25), $Q93), 1)"),0.456)</f>
        <v>0.456</v>
      </c>
      <c r="V93" s="20">
        <f>IFERROR(__xludf.DUMMYFUNCTION("iferror(PERCENTRANK.INC(FILTER($Q$2:$Q$428, $O$2:$O$428&gt;=4.1), $Q93), 0.01)"),0.01)</f>
        <v>0.01</v>
      </c>
    </row>
    <row r="94" ht="14.25" customHeight="1">
      <c r="A94" s="14" t="s">
        <v>899</v>
      </c>
      <c r="B94" s="14" t="s">
        <v>205</v>
      </c>
      <c r="C94" s="14">
        <v>3.0</v>
      </c>
      <c r="D94" s="14" t="s">
        <v>803</v>
      </c>
      <c r="E94" s="14" t="s">
        <v>99</v>
      </c>
      <c r="F94" s="14">
        <v>47.0</v>
      </c>
      <c r="G94" s="14">
        <v>231.0</v>
      </c>
      <c r="H94" s="14">
        <v>4.9</v>
      </c>
      <c r="I94" s="14">
        <v>4.0</v>
      </c>
      <c r="J94" s="20">
        <v>2.008</v>
      </c>
      <c r="K94" s="20">
        <f t="shared" si="1"/>
        <v>6.263173743</v>
      </c>
      <c r="L94" s="15"/>
      <c r="M94" s="20">
        <v>2.008</v>
      </c>
      <c r="N94" s="14">
        <v>1.61</v>
      </c>
      <c r="P94" s="14">
        <v>1.0</v>
      </c>
      <c r="Q94" s="20">
        <f t="shared" si="4"/>
        <v>0.1809</v>
      </c>
      <c r="R94" s="20">
        <f t="shared" si="3"/>
        <v>3.308890104</v>
      </c>
      <c r="T94" s="20">
        <f>IFERROR(__xludf.DUMMYFUNCTION("iferror(PERCENTRANK.INC(FILTER($Q$2:$Q$428, $O$2:$O$428&lt;3.75), $Q94), 1)"),0.511)</f>
        <v>0.511</v>
      </c>
      <c r="U94" s="20">
        <f>IFERROR(__xludf.DUMMYFUNCTION("iferror(PERCENTRANK.INC(FILTER($Q$2:$Q$428, $O$2:$O$428&lt;4.25), $Q94), 1)"),0.447)</f>
        <v>0.447</v>
      </c>
      <c r="V94" s="20">
        <f>IFERROR(__xludf.DUMMYFUNCTION("iferror(PERCENTRANK.INC(FILTER($Q$2:$Q$428, $O$2:$O$428&gt;=4.1), $Q94), 0.01)"),0.01)</f>
        <v>0.01</v>
      </c>
    </row>
    <row r="95" ht="14.25" customHeight="1">
      <c r="A95" s="14" t="s">
        <v>900</v>
      </c>
      <c r="B95" s="14" t="s">
        <v>149</v>
      </c>
      <c r="C95" s="14">
        <v>3.0</v>
      </c>
      <c r="D95" s="14" t="s">
        <v>803</v>
      </c>
      <c r="E95" s="14" t="s">
        <v>114</v>
      </c>
      <c r="F95" s="14">
        <v>64.0</v>
      </c>
      <c r="G95" s="14">
        <v>482.0</v>
      </c>
      <c r="H95" s="14">
        <v>7.5</v>
      </c>
      <c r="I95" s="14">
        <v>7.0</v>
      </c>
      <c r="J95" s="20">
        <v>3.388</v>
      </c>
      <c r="K95" s="20">
        <f t="shared" si="1"/>
        <v>27.04004818</v>
      </c>
      <c r="L95" s="15"/>
      <c r="M95" s="20">
        <v>3.388</v>
      </c>
      <c r="N95" s="14">
        <v>0.56</v>
      </c>
      <c r="P95" s="14">
        <v>0.9</v>
      </c>
      <c r="Q95" s="20">
        <f t="shared" si="4"/>
        <v>0.18046</v>
      </c>
      <c r="R95" s="20">
        <f t="shared" si="3"/>
        <v>3.300841947</v>
      </c>
      <c r="T95" s="20">
        <f>IFERROR(__xludf.DUMMYFUNCTION("iferror(PERCENTRANK.INC(FILTER($Q$2:$Q$428, $O$2:$O$428&lt;3.75), $Q95), 1)"),0.5)</f>
        <v>0.5</v>
      </c>
      <c r="U95" s="20">
        <f>IFERROR(__xludf.DUMMYFUNCTION("iferror(PERCENTRANK.INC(FILTER($Q$2:$Q$428, $O$2:$O$428&lt;4.25), $Q95), 1)"),0.437)</f>
        <v>0.437</v>
      </c>
      <c r="V95" s="20">
        <f>IFERROR(__xludf.DUMMYFUNCTION("iferror(PERCENTRANK.INC(FILTER($Q$2:$Q$428, $O$2:$O$428&gt;=4.1), $Q95), 0.01)"),0.01)</f>
        <v>0.01</v>
      </c>
    </row>
    <row r="96" ht="14.25" customHeight="1">
      <c r="A96" s="14" t="s">
        <v>901</v>
      </c>
      <c r="B96" s="14" t="s">
        <v>421</v>
      </c>
      <c r="C96" s="14">
        <v>4.0</v>
      </c>
      <c r="D96" s="14" t="s">
        <v>803</v>
      </c>
      <c r="E96" s="14" t="s">
        <v>189</v>
      </c>
      <c r="F96" s="14">
        <v>83.0</v>
      </c>
      <c r="G96" s="14">
        <v>529.0</v>
      </c>
      <c r="H96" s="14">
        <v>6.4</v>
      </c>
      <c r="I96" s="14">
        <v>5.0</v>
      </c>
      <c r="J96" s="20">
        <v>3.18</v>
      </c>
      <c r="K96" s="20">
        <f t="shared" si="1"/>
        <v>23.90846131</v>
      </c>
      <c r="L96" s="15"/>
      <c r="M96" s="20">
        <v>3.18</v>
      </c>
      <c r="N96" s="14">
        <v>0.63</v>
      </c>
      <c r="P96" s="14">
        <v>0.9</v>
      </c>
      <c r="Q96" s="20">
        <f t="shared" si="4"/>
        <v>0.1746</v>
      </c>
      <c r="R96" s="20">
        <f t="shared" si="3"/>
        <v>3.193655125</v>
      </c>
      <c r="T96" s="20">
        <f>IFERROR(__xludf.DUMMYFUNCTION("iferror(PERCENTRANK.INC(FILTER($Q$2:$Q$428, $O$2:$O$428&lt;3.75), $Q96), 1)"),0.489)</f>
        <v>0.489</v>
      </c>
      <c r="U96" s="20">
        <f>IFERROR(__xludf.DUMMYFUNCTION("iferror(PERCENTRANK.INC(FILTER($Q$2:$Q$428, $O$2:$O$428&lt;4.25), $Q96), 1)"),0.427)</f>
        <v>0.427</v>
      </c>
      <c r="V96" s="20">
        <f>IFERROR(__xludf.DUMMYFUNCTION("iferror(PERCENTRANK.INC(FILTER($Q$2:$Q$428, $O$2:$O$428&gt;=4.1), $Q96), 0.01)"),0.01)</f>
        <v>0.01</v>
      </c>
    </row>
    <row r="97" ht="14.25" customHeight="1">
      <c r="A97" s="14" t="s">
        <v>902</v>
      </c>
      <c r="B97" s="14" t="s">
        <v>216</v>
      </c>
      <c r="C97" s="14">
        <v>7.0</v>
      </c>
      <c r="D97" s="14" t="s">
        <v>803</v>
      </c>
      <c r="E97" s="14" t="s">
        <v>172</v>
      </c>
      <c r="F97" s="14">
        <v>74.0</v>
      </c>
      <c r="G97" s="14">
        <v>371.0</v>
      </c>
      <c r="H97" s="14">
        <v>5.0</v>
      </c>
      <c r="I97" s="14">
        <v>6.0</v>
      </c>
      <c r="J97" s="20">
        <v>2.7060000000000004</v>
      </c>
      <c r="K97" s="20">
        <f t="shared" si="1"/>
        <v>16.77205661</v>
      </c>
      <c r="L97" s="15"/>
      <c r="M97" s="20">
        <v>2.7060000000000004</v>
      </c>
      <c r="N97" s="14">
        <v>0.99</v>
      </c>
      <c r="P97" s="14">
        <v>0.9</v>
      </c>
      <c r="Q97" s="20">
        <f t="shared" si="4"/>
        <v>0.17127</v>
      </c>
      <c r="R97" s="20">
        <f t="shared" si="3"/>
        <v>3.132745208</v>
      </c>
      <c r="T97" s="20">
        <f>IFERROR(__xludf.DUMMYFUNCTION("iferror(PERCENTRANK.INC(FILTER($Q$2:$Q$428, $O$2:$O$428&lt;3.75), $Q97), 1)"),0.478)</f>
        <v>0.478</v>
      </c>
      <c r="U97" s="20">
        <f>IFERROR(__xludf.DUMMYFUNCTION("iferror(PERCENTRANK.INC(FILTER($Q$2:$Q$428, $O$2:$O$428&lt;4.25), $Q97), 1)"),0.417)</f>
        <v>0.417</v>
      </c>
      <c r="V97" s="20">
        <f>IFERROR(__xludf.DUMMYFUNCTION("iferror(PERCENTRANK.INC(FILTER($Q$2:$Q$428, $O$2:$O$428&gt;=4.1), $Q97), 0.01)"),0.01)</f>
        <v>0.01</v>
      </c>
    </row>
    <row r="98" ht="14.25" customHeight="1">
      <c r="A98" s="14" t="s">
        <v>903</v>
      </c>
      <c r="B98" s="14" t="s">
        <v>406</v>
      </c>
      <c r="C98" s="14">
        <v>8.0</v>
      </c>
      <c r="D98" s="14" t="s">
        <v>803</v>
      </c>
      <c r="E98" s="14" t="s">
        <v>135</v>
      </c>
      <c r="F98" s="14">
        <v>64.0</v>
      </c>
      <c r="G98" s="14">
        <v>397.0</v>
      </c>
      <c r="H98" s="14">
        <v>6.2</v>
      </c>
      <c r="I98" s="14">
        <v>0.0</v>
      </c>
      <c r="J98" s="20">
        <v>2.17</v>
      </c>
      <c r="K98" s="20">
        <f t="shared" si="1"/>
        <v>8.702198133</v>
      </c>
      <c r="L98" s="15"/>
      <c r="M98" s="20">
        <v>2.17</v>
      </c>
      <c r="N98" s="14">
        <v>1.25</v>
      </c>
      <c r="P98" s="14">
        <v>1.0</v>
      </c>
      <c r="Q98" s="20">
        <f t="shared" si="4"/>
        <v>0.171</v>
      </c>
      <c r="R98" s="20">
        <f t="shared" si="3"/>
        <v>3.127806566</v>
      </c>
      <c r="T98" s="20">
        <f>IFERROR(__xludf.DUMMYFUNCTION("iferror(PERCENTRANK.INC(FILTER($Q$2:$Q$428, $O$2:$O$428&lt;3.75), $Q98), 1)"),0.467)</f>
        <v>0.467</v>
      </c>
      <c r="U98" s="20">
        <f>IFERROR(__xludf.DUMMYFUNCTION("iferror(PERCENTRANK.INC(FILTER($Q$2:$Q$428, $O$2:$O$428&lt;4.25), $Q98), 1)"),0.408)</f>
        <v>0.408</v>
      </c>
      <c r="V98" s="20">
        <f>IFERROR(__xludf.DUMMYFUNCTION("iferror(PERCENTRANK.INC(FILTER($Q$2:$Q$428, $O$2:$O$428&gt;=4.1), $Q98), 0.01)"),0.01)</f>
        <v>0.01</v>
      </c>
    </row>
    <row r="99" ht="14.25" customHeight="1">
      <c r="A99" s="14" t="s">
        <v>904</v>
      </c>
      <c r="B99" s="14" t="s">
        <v>353</v>
      </c>
      <c r="C99" s="14">
        <v>20.0</v>
      </c>
      <c r="D99" s="14" t="s">
        <v>803</v>
      </c>
      <c r="E99" s="14" t="s">
        <v>105</v>
      </c>
      <c r="F99" s="14">
        <v>67.0</v>
      </c>
      <c r="G99" s="14">
        <v>344.0</v>
      </c>
      <c r="H99" s="14">
        <v>5.1</v>
      </c>
      <c r="I99" s="14">
        <v>3.0</v>
      </c>
      <c r="J99" s="20">
        <v>2.266</v>
      </c>
      <c r="K99" s="20">
        <f t="shared" si="1"/>
        <v>10.14754592</v>
      </c>
      <c r="L99" s="15"/>
      <c r="M99" s="20">
        <v>2.266</v>
      </c>
      <c r="N99" s="14">
        <v>1.38</v>
      </c>
      <c r="P99" s="14">
        <v>0.9</v>
      </c>
      <c r="Q99" s="20">
        <f t="shared" si="4"/>
        <v>0.17097</v>
      </c>
      <c r="R99" s="20">
        <f t="shared" si="3"/>
        <v>3.127257828</v>
      </c>
      <c r="T99" s="20">
        <f>IFERROR(__xludf.DUMMYFUNCTION("iferror(PERCENTRANK.INC(FILTER($Q$2:$Q$428, $O$2:$O$428&lt;3.75), $Q99), 1)"),0.456)</f>
        <v>0.456</v>
      </c>
      <c r="U99" s="20">
        <f>IFERROR(__xludf.DUMMYFUNCTION("iferror(PERCENTRANK.INC(FILTER($Q$2:$Q$428, $O$2:$O$428&lt;4.25), $Q99), 1)"),0.398)</f>
        <v>0.398</v>
      </c>
      <c r="V99" s="20">
        <f>IFERROR(__xludf.DUMMYFUNCTION("iferror(PERCENTRANK.INC(FILTER($Q$2:$Q$428, $O$2:$O$428&gt;=4.1), $Q99), 0.01)"),0.01)</f>
        <v>0.01</v>
      </c>
    </row>
    <row r="100" ht="14.25" customHeight="1">
      <c r="A100" s="14" t="s">
        <v>905</v>
      </c>
      <c r="B100" s="14" t="s">
        <v>186</v>
      </c>
      <c r="C100" s="14">
        <v>23.0</v>
      </c>
      <c r="D100" s="14" t="s">
        <v>803</v>
      </c>
      <c r="E100" s="14" t="s">
        <v>99</v>
      </c>
      <c r="F100" s="14">
        <v>53.0</v>
      </c>
      <c r="G100" s="14">
        <v>280.0</v>
      </c>
      <c r="H100" s="14">
        <v>5.3</v>
      </c>
      <c r="I100" s="14">
        <v>1.0</v>
      </c>
      <c r="J100" s="20">
        <v>1.8459999999999999</v>
      </c>
      <c r="K100" s="20">
        <f t="shared" si="1"/>
        <v>3.824149353</v>
      </c>
      <c r="L100" s="15"/>
      <c r="M100" s="20">
        <v>1.8459999999999999</v>
      </c>
      <c r="N100" s="14">
        <v>1.55</v>
      </c>
      <c r="P100" s="14">
        <v>1.0</v>
      </c>
      <c r="Q100" s="20">
        <f t="shared" si="4"/>
        <v>0.1698</v>
      </c>
      <c r="R100" s="20">
        <f t="shared" si="3"/>
        <v>3.105857046</v>
      </c>
      <c r="T100" s="20">
        <f>IFERROR(__xludf.DUMMYFUNCTION("iferror(PERCENTRANK.INC(FILTER($Q$2:$Q$428, $O$2:$O$428&lt;3.75), $Q100), 1)"),0.444)</f>
        <v>0.444</v>
      </c>
      <c r="U100" s="20">
        <f>IFERROR(__xludf.DUMMYFUNCTION("iferror(PERCENTRANK.INC(FILTER($Q$2:$Q$428, $O$2:$O$428&lt;4.25), $Q100), 1)"),0.388)</f>
        <v>0.388</v>
      </c>
      <c r="V100" s="20">
        <f>IFERROR(__xludf.DUMMYFUNCTION("iferror(PERCENTRANK.INC(FILTER($Q$2:$Q$428, $O$2:$O$428&gt;=4.1), $Q100), 0.01)"),0.01)</f>
        <v>0.01</v>
      </c>
    </row>
    <row r="101" ht="14.25" customHeight="1">
      <c r="A101" s="14" t="s">
        <v>906</v>
      </c>
      <c r="B101" s="14" t="s">
        <v>178</v>
      </c>
      <c r="C101" s="14">
        <v>29.0</v>
      </c>
      <c r="D101" s="14" t="s">
        <v>803</v>
      </c>
      <c r="E101" s="14" t="s">
        <v>179</v>
      </c>
      <c r="F101" s="14">
        <v>67.0</v>
      </c>
      <c r="G101" s="14">
        <v>319.0</v>
      </c>
      <c r="H101" s="14">
        <v>4.8</v>
      </c>
      <c r="I101" s="14">
        <v>6.0</v>
      </c>
      <c r="J101" s="20">
        <v>2.528</v>
      </c>
      <c r="K101" s="20">
        <f t="shared" si="1"/>
        <v>14.09214092</v>
      </c>
      <c r="L101" s="15"/>
      <c r="M101" s="20">
        <v>2.528</v>
      </c>
      <c r="N101" s="14">
        <v>1.06</v>
      </c>
      <c r="P101" s="14">
        <v>0.9</v>
      </c>
      <c r="Q101" s="20">
        <f t="shared" si="4"/>
        <v>0.16676</v>
      </c>
      <c r="R101" s="20">
        <f t="shared" si="3"/>
        <v>3.050251596</v>
      </c>
      <c r="T101" s="20">
        <f>IFERROR(__xludf.DUMMYFUNCTION("iferror(PERCENTRANK.INC(FILTER($Q$2:$Q$428, $O$2:$O$428&lt;3.75), $Q101), 1)"),0.433)</f>
        <v>0.433</v>
      </c>
      <c r="U101" s="20">
        <f>IFERROR(__xludf.DUMMYFUNCTION("iferror(PERCENTRANK.INC(FILTER($Q$2:$Q$428, $O$2:$O$428&lt;4.25), $Q101), 1)"),0.379)</f>
        <v>0.379</v>
      </c>
      <c r="V101" s="20">
        <f>IFERROR(__xludf.DUMMYFUNCTION("iferror(PERCENTRANK.INC(FILTER($Q$2:$Q$428, $O$2:$O$428&gt;=4.1), $Q101), 0.01)"),0.01)</f>
        <v>0.01</v>
      </c>
    </row>
    <row r="102" ht="14.25" customHeight="1">
      <c r="A102" s="14" t="s">
        <v>907</v>
      </c>
      <c r="B102" s="14" t="s">
        <v>658</v>
      </c>
      <c r="C102" s="14">
        <v>21.0</v>
      </c>
      <c r="D102" s="14" t="s">
        <v>803</v>
      </c>
      <c r="E102" s="14" t="s">
        <v>135</v>
      </c>
      <c r="F102" s="14">
        <v>58.0</v>
      </c>
      <c r="G102" s="14">
        <v>322.0</v>
      </c>
      <c r="H102" s="14">
        <v>5.5</v>
      </c>
      <c r="I102" s="14">
        <v>5.0</v>
      </c>
      <c r="J102" s="20">
        <v>2.472</v>
      </c>
      <c r="K102" s="20">
        <f t="shared" si="1"/>
        <v>13.24902138</v>
      </c>
      <c r="L102" s="15"/>
      <c r="M102" s="20">
        <v>2.472</v>
      </c>
      <c r="N102" s="14">
        <v>0.79</v>
      </c>
      <c r="P102" s="14">
        <v>1.0</v>
      </c>
      <c r="Q102" s="20">
        <f t="shared" si="4"/>
        <v>0.1631</v>
      </c>
      <c r="R102" s="20">
        <f t="shared" si="3"/>
        <v>2.983305561</v>
      </c>
      <c r="T102" s="20">
        <f>IFERROR(__xludf.DUMMYFUNCTION("iferror(PERCENTRANK.INC(FILTER($Q$2:$Q$428, $O$2:$O$428&lt;3.75), $Q102), 1)"),0.422)</f>
        <v>0.422</v>
      </c>
      <c r="U102" s="20">
        <f>IFERROR(__xludf.DUMMYFUNCTION("iferror(PERCENTRANK.INC(FILTER($Q$2:$Q$428, $O$2:$O$428&lt;4.25), $Q102), 1)"),0.369)</f>
        <v>0.369</v>
      </c>
      <c r="V102" s="20">
        <f>IFERROR(__xludf.DUMMYFUNCTION("iferror(PERCENTRANK.INC(FILTER($Q$2:$Q$428, $O$2:$O$428&gt;=4.1), $Q102), 0.01)"),0.01)</f>
        <v>0.01</v>
      </c>
    </row>
    <row r="103" ht="14.25" customHeight="1">
      <c r="A103" s="14" t="s">
        <v>908</v>
      </c>
      <c r="B103" s="14" t="s">
        <v>305</v>
      </c>
      <c r="C103" s="14">
        <v>15.0</v>
      </c>
      <c r="D103" s="14" t="s">
        <v>803</v>
      </c>
      <c r="E103" s="14" t="s">
        <v>132</v>
      </c>
      <c r="F103" s="14">
        <v>56.0</v>
      </c>
      <c r="G103" s="14">
        <v>300.0</v>
      </c>
      <c r="H103" s="14">
        <v>5.4</v>
      </c>
      <c r="I103" s="14">
        <v>7.0</v>
      </c>
      <c r="J103" s="20">
        <v>2.64</v>
      </c>
      <c r="K103" s="20">
        <f t="shared" si="1"/>
        <v>15.77838001</v>
      </c>
      <c r="L103" s="15"/>
      <c r="M103" s="20">
        <v>2.64</v>
      </c>
      <c r="N103" s="14">
        <v>0.74</v>
      </c>
      <c r="P103" s="14">
        <v>0.95</v>
      </c>
      <c r="Q103" s="20">
        <f t="shared" si="4"/>
        <v>0.1624</v>
      </c>
      <c r="R103" s="20">
        <f t="shared" si="3"/>
        <v>2.970501675</v>
      </c>
      <c r="T103" s="20">
        <f>IFERROR(__xludf.DUMMYFUNCTION("iferror(PERCENTRANK.INC(FILTER($Q$2:$Q$428, $O$2:$O$428&lt;3.75), $Q103), 1)"),0.411)</f>
        <v>0.411</v>
      </c>
      <c r="U103" s="20">
        <f>IFERROR(__xludf.DUMMYFUNCTION("iferror(PERCENTRANK.INC(FILTER($Q$2:$Q$428, $O$2:$O$428&lt;4.25), $Q103), 1)"),0.359)</f>
        <v>0.359</v>
      </c>
      <c r="V103" s="20">
        <f>IFERROR(__xludf.DUMMYFUNCTION("iferror(PERCENTRANK.INC(FILTER($Q$2:$Q$428, $O$2:$O$428&gt;=4.1), $Q103), 0.01)"),0.01)</f>
        <v>0.01</v>
      </c>
    </row>
    <row r="104" ht="14.25" customHeight="1">
      <c r="A104" s="14" t="s">
        <v>909</v>
      </c>
      <c r="B104" s="14" t="s">
        <v>131</v>
      </c>
      <c r="C104" s="14">
        <v>25.0</v>
      </c>
      <c r="D104" s="14" t="s">
        <v>803</v>
      </c>
      <c r="E104" s="14" t="s">
        <v>132</v>
      </c>
      <c r="F104" s="14">
        <v>67.0</v>
      </c>
      <c r="G104" s="14">
        <v>354.0</v>
      </c>
      <c r="H104" s="14">
        <v>5.3</v>
      </c>
      <c r="I104" s="14">
        <v>3.0</v>
      </c>
      <c r="J104" s="20">
        <v>2.318</v>
      </c>
      <c r="K104" s="20">
        <f t="shared" si="1"/>
        <v>10.93044264</v>
      </c>
      <c r="L104" s="15"/>
      <c r="M104" s="20">
        <v>2.318</v>
      </c>
      <c r="N104" s="14">
        <v>1.01</v>
      </c>
      <c r="P104" s="14">
        <v>0.95</v>
      </c>
      <c r="Q104" s="20">
        <f t="shared" si="4"/>
        <v>0.160605</v>
      </c>
      <c r="R104" s="20">
        <f t="shared" si="3"/>
        <v>2.937668851</v>
      </c>
      <c r="T104" s="20">
        <f>IFERROR(__xludf.DUMMYFUNCTION("iferror(PERCENTRANK.INC(FILTER($Q$2:$Q$428, $O$2:$O$428&lt;3.75), $Q104), 1)"),0.4)</f>
        <v>0.4</v>
      </c>
      <c r="U104" s="20">
        <f>IFERROR(__xludf.DUMMYFUNCTION("iferror(PERCENTRANK.INC(FILTER($Q$2:$Q$428, $O$2:$O$428&lt;4.25), $Q104), 1)"),0.35)</f>
        <v>0.35</v>
      </c>
      <c r="V104" s="20">
        <f>IFERROR(__xludf.DUMMYFUNCTION("iferror(PERCENTRANK.INC(FILTER($Q$2:$Q$428, $O$2:$O$428&gt;=4.1), $Q104), 0.01)"),0.01)</f>
        <v>0.01</v>
      </c>
    </row>
    <row r="105" ht="14.25" customHeight="1">
      <c r="A105" s="14" t="s">
        <v>910</v>
      </c>
      <c r="B105" s="14" t="s">
        <v>203</v>
      </c>
      <c r="C105" s="14">
        <v>2.0</v>
      </c>
      <c r="D105" s="14" t="s">
        <v>803</v>
      </c>
      <c r="E105" s="14" t="s">
        <v>138</v>
      </c>
      <c r="F105" s="14">
        <v>113.0</v>
      </c>
      <c r="G105" s="14">
        <v>602.0</v>
      </c>
      <c r="H105" s="14">
        <v>5.3</v>
      </c>
      <c r="I105" s="14">
        <v>4.0</v>
      </c>
      <c r="J105" s="20">
        <v>3.21</v>
      </c>
      <c r="K105" s="20">
        <f t="shared" si="1"/>
        <v>24.36013249</v>
      </c>
      <c r="L105" s="15"/>
      <c r="M105" s="20">
        <v>3.21</v>
      </c>
      <c r="N105" s="14">
        <v>0.22</v>
      </c>
      <c r="P105" s="14">
        <v>0.9</v>
      </c>
      <c r="Q105" s="20">
        <f t="shared" si="4"/>
        <v>0.15545</v>
      </c>
      <c r="R105" s="20">
        <f t="shared" si="3"/>
        <v>2.843377373</v>
      </c>
      <c r="T105" s="20">
        <f>IFERROR(__xludf.DUMMYFUNCTION("iferror(PERCENTRANK.INC(FILTER($Q$2:$Q$428, $O$2:$O$428&lt;3.75), $Q105), 1)"),0.389)</f>
        <v>0.389</v>
      </c>
      <c r="U105" s="20">
        <f>IFERROR(__xludf.DUMMYFUNCTION("iferror(PERCENTRANK.INC(FILTER($Q$2:$Q$428, $O$2:$O$428&lt;4.25), $Q105), 1)"),0.34)</f>
        <v>0.34</v>
      </c>
      <c r="V105" s="20">
        <f>IFERROR(__xludf.DUMMYFUNCTION("iferror(PERCENTRANK.INC(FILTER($Q$2:$Q$428, $O$2:$O$428&gt;=4.1), $Q105), 0.01)"),0.01)</f>
        <v>0.01</v>
      </c>
    </row>
    <row r="106" ht="14.25" customHeight="1">
      <c r="A106" s="14" t="s">
        <v>911</v>
      </c>
      <c r="B106" s="14" t="s">
        <v>519</v>
      </c>
      <c r="C106" s="14">
        <v>34.0</v>
      </c>
      <c r="D106" s="14" t="s">
        <v>803</v>
      </c>
      <c r="E106" s="14" t="s">
        <v>127</v>
      </c>
      <c r="F106" s="14">
        <v>73.0</v>
      </c>
      <c r="G106" s="14">
        <v>298.0</v>
      </c>
      <c r="H106" s="14">
        <v>4.1</v>
      </c>
      <c r="I106" s="14">
        <v>2.0</v>
      </c>
      <c r="J106" s="20">
        <v>1.93</v>
      </c>
      <c r="K106" s="20">
        <f t="shared" si="1"/>
        <v>5.088828666</v>
      </c>
      <c r="L106" s="15"/>
      <c r="M106" s="20">
        <v>1.93</v>
      </c>
      <c r="N106" s="14">
        <v>1.36</v>
      </c>
      <c r="P106" s="14">
        <v>0.9</v>
      </c>
      <c r="Q106" s="20">
        <f t="shared" si="4"/>
        <v>0.15485</v>
      </c>
      <c r="R106" s="20">
        <f t="shared" si="3"/>
        <v>2.832402613</v>
      </c>
      <c r="T106" s="20">
        <f>IFERROR(__xludf.DUMMYFUNCTION("iferror(PERCENTRANK.INC(FILTER($Q$2:$Q$428, $O$2:$O$428&lt;3.75), $Q106), 1)"),0.378)</f>
        <v>0.378</v>
      </c>
      <c r="U106" s="20">
        <f>IFERROR(__xludf.DUMMYFUNCTION("iferror(PERCENTRANK.INC(FILTER($Q$2:$Q$428, $O$2:$O$428&lt;4.25), $Q106), 1)"),0.33)</f>
        <v>0.33</v>
      </c>
      <c r="V106" s="20">
        <f>IFERROR(__xludf.DUMMYFUNCTION("iferror(PERCENTRANK.INC(FILTER($Q$2:$Q$428, $O$2:$O$428&gt;=4.1), $Q106), 0.01)"),0.01)</f>
        <v>0.01</v>
      </c>
    </row>
    <row r="107" ht="14.25" customHeight="1">
      <c r="A107" s="14" t="s">
        <v>912</v>
      </c>
      <c r="B107" s="14" t="s">
        <v>230</v>
      </c>
      <c r="C107" s="14">
        <v>8.0</v>
      </c>
      <c r="D107" s="14" t="s">
        <v>803</v>
      </c>
      <c r="E107" s="14" t="s">
        <v>172</v>
      </c>
      <c r="F107" s="14">
        <v>74.0</v>
      </c>
      <c r="G107" s="14">
        <v>451.0</v>
      </c>
      <c r="H107" s="14">
        <v>6.1</v>
      </c>
      <c r="I107" s="14">
        <v>6.0</v>
      </c>
      <c r="J107" s="20">
        <v>3.042</v>
      </c>
      <c r="K107" s="20">
        <f t="shared" si="1"/>
        <v>21.83077386</v>
      </c>
      <c r="L107" s="15"/>
      <c r="M107" s="20">
        <v>3.042</v>
      </c>
      <c r="N107" s="14">
        <v>0.35</v>
      </c>
      <c r="P107" s="14">
        <v>0.9</v>
      </c>
      <c r="Q107" s="20">
        <f t="shared" si="4"/>
        <v>0.15439</v>
      </c>
      <c r="R107" s="20">
        <f t="shared" si="3"/>
        <v>2.82398863</v>
      </c>
      <c r="T107" s="20">
        <f>IFERROR(__xludf.DUMMYFUNCTION("iferror(PERCENTRANK.INC(FILTER($Q$2:$Q$428, $O$2:$O$428&lt;3.75), $Q107), 1)"),0.367)</f>
        <v>0.367</v>
      </c>
      <c r="U107" s="20">
        <f>IFERROR(__xludf.DUMMYFUNCTION("iferror(PERCENTRANK.INC(FILTER($Q$2:$Q$428, $O$2:$O$428&lt;4.25), $Q107), 1)"),0.32)</f>
        <v>0.32</v>
      </c>
      <c r="V107" s="20">
        <f>IFERROR(__xludf.DUMMYFUNCTION("iferror(PERCENTRANK.INC(FILTER($Q$2:$Q$428, $O$2:$O$428&gt;=4.1), $Q107), 0.01)"),0.01)</f>
        <v>0.01</v>
      </c>
    </row>
    <row r="108" ht="14.25" customHeight="1">
      <c r="A108" s="14" t="s">
        <v>913</v>
      </c>
      <c r="B108" s="14" t="s">
        <v>534</v>
      </c>
      <c r="C108" s="14">
        <v>26.0</v>
      </c>
      <c r="D108" s="14" t="s">
        <v>803</v>
      </c>
      <c r="E108" s="14" t="s">
        <v>108</v>
      </c>
      <c r="F108" s="14">
        <v>40.0</v>
      </c>
      <c r="G108" s="14">
        <v>253.0</v>
      </c>
      <c r="H108" s="14">
        <v>6.3</v>
      </c>
      <c r="I108" s="14">
        <v>3.0</v>
      </c>
      <c r="J108" s="20">
        <v>2.114</v>
      </c>
      <c r="K108" s="20">
        <f t="shared" si="1"/>
        <v>7.859078591</v>
      </c>
      <c r="L108" s="15"/>
      <c r="M108" s="20">
        <v>2.114</v>
      </c>
      <c r="N108" s="14">
        <v>0.93</v>
      </c>
      <c r="P108" s="14">
        <v>1.0</v>
      </c>
      <c r="Q108" s="20">
        <f t="shared" si="4"/>
        <v>0.1522</v>
      </c>
      <c r="R108" s="20">
        <f t="shared" si="3"/>
        <v>2.783930757</v>
      </c>
      <c r="T108" s="20">
        <f>IFERROR(__xludf.DUMMYFUNCTION("iferror(PERCENTRANK.INC(FILTER($Q$2:$Q$428, $O$2:$O$428&lt;3.75), $Q108), 1)"),0.356)</f>
        <v>0.356</v>
      </c>
      <c r="U108" s="20">
        <f>IFERROR(__xludf.DUMMYFUNCTION("iferror(PERCENTRANK.INC(FILTER($Q$2:$Q$428, $O$2:$O$428&lt;4.25), $Q108), 1)"),0.311)</f>
        <v>0.311</v>
      </c>
      <c r="V108" s="20">
        <f>IFERROR(__xludf.DUMMYFUNCTION("iferror(PERCENTRANK.INC(FILTER($Q$2:$Q$428, $O$2:$O$428&gt;=4.1), $Q108), 0.01)"),0.01)</f>
        <v>0.01</v>
      </c>
    </row>
    <row r="109" ht="14.25" customHeight="1">
      <c r="A109" s="14" t="s">
        <v>914</v>
      </c>
      <c r="B109" s="14" t="s">
        <v>421</v>
      </c>
      <c r="C109" s="14">
        <v>22.0</v>
      </c>
      <c r="D109" s="14" t="s">
        <v>803</v>
      </c>
      <c r="E109" s="14" t="s">
        <v>189</v>
      </c>
      <c r="F109" s="14">
        <v>60.0</v>
      </c>
      <c r="G109" s="14">
        <v>390.0</v>
      </c>
      <c r="H109" s="14">
        <v>6.5</v>
      </c>
      <c r="I109" s="14">
        <v>5.0</v>
      </c>
      <c r="J109" s="20">
        <v>2.78</v>
      </c>
      <c r="K109" s="20">
        <f t="shared" si="1"/>
        <v>17.88617886</v>
      </c>
      <c r="L109" s="15"/>
      <c r="M109" s="20">
        <v>2.78</v>
      </c>
      <c r="N109" s="14">
        <v>0.54</v>
      </c>
      <c r="P109" s="14">
        <v>0.9</v>
      </c>
      <c r="Q109" s="20">
        <f t="shared" si="4"/>
        <v>0.1521</v>
      </c>
      <c r="R109" s="20">
        <f t="shared" si="3"/>
        <v>2.78210163</v>
      </c>
      <c r="T109" s="20">
        <f>IFERROR(__xludf.DUMMYFUNCTION("iferror(PERCENTRANK.INC(FILTER($Q$2:$Q$428, $O$2:$O$428&lt;3.75), $Q109), 1)"),0.344)</f>
        <v>0.344</v>
      </c>
      <c r="U109" s="20">
        <f>IFERROR(__xludf.DUMMYFUNCTION("iferror(PERCENTRANK.INC(FILTER($Q$2:$Q$428, $O$2:$O$428&lt;4.25), $Q109), 1)"),0.301)</f>
        <v>0.301</v>
      </c>
      <c r="V109" s="20">
        <f>IFERROR(__xludf.DUMMYFUNCTION("iferror(PERCENTRANK.INC(FILTER($Q$2:$Q$428, $O$2:$O$428&gt;=4.1), $Q109), 0.01)"),0.01)</f>
        <v>0.01</v>
      </c>
    </row>
    <row r="110" ht="14.25" customHeight="1">
      <c r="A110" s="14" t="s">
        <v>915</v>
      </c>
      <c r="B110" s="14" t="s">
        <v>249</v>
      </c>
      <c r="C110" s="14">
        <v>1.0</v>
      </c>
      <c r="D110" s="14" t="s">
        <v>803</v>
      </c>
      <c r="E110" s="14" t="s">
        <v>189</v>
      </c>
      <c r="F110" s="14">
        <v>79.0</v>
      </c>
      <c r="G110" s="14">
        <v>478.0</v>
      </c>
      <c r="H110" s="14">
        <v>6.0</v>
      </c>
      <c r="I110" s="14">
        <v>5.0</v>
      </c>
      <c r="J110" s="20">
        <v>2.99</v>
      </c>
      <c r="K110" s="20">
        <f t="shared" si="1"/>
        <v>21.04787715</v>
      </c>
      <c r="L110" s="15"/>
      <c r="M110" s="20">
        <v>2.99</v>
      </c>
      <c r="N110" s="14">
        <v>0.35</v>
      </c>
      <c r="O110" s="20">
        <v>4.38</v>
      </c>
      <c r="P110" s="14">
        <v>0.9</v>
      </c>
      <c r="Q110" s="20">
        <f t="shared" si="4"/>
        <v>4.09405</v>
      </c>
      <c r="R110" s="20">
        <f t="shared" si="3"/>
        <v>74.88535949</v>
      </c>
      <c r="T110" s="20">
        <f>IFERROR(__xludf.DUMMYFUNCTION("iferror(PERCENTRANK.INC(FILTER($Q$2:$Q$428, $O$2:$O$428&lt;3.75), $Q110), 1)"),1.0)</f>
        <v>1</v>
      </c>
      <c r="U110" s="20">
        <f>IFERROR(__xludf.DUMMYFUNCTION("iferror(PERCENTRANK.INC(FILTER($Q$2:$Q$428, $O$2:$O$428&lt;4.25), $Q110), 1)"),0.991)</f>
        <v>0.991</v>
      </c>
      <c r="V110" s="20">
        <f>IFERROR(__xludf.DUMMYFUNCTION("iferror(PERCENTRANK.INC(FILTER($Q$2:$Q$428, $O$2:$O$428&gt;=4.1), $Q110), 0.01)"),0.054)</f>
        <v>0.054</v>
      </c>
    </row>
    <row r="111" ht="14.25" customHeight="1">
      <c r="A111" s="14" t="s">
        <v>916</v>
      </c>
      <c r="B111" s="14" t="s">
        <v>101</v>
      </c>
      <c r="C111" s="14">
        <v>0.0</v>
      </c>
      <c r="D111" s="14" t="s">
        <v>803</v>
      </c>
      <c r="E111" s="14" t="s">
        <v>102</v>
      </c>
      <c r="F111" s="14">
        <v>93.0</v>
      </c>
      <c r="G111" s="14">
        <v>471.0</v>
      </c>
      <c r="H111" s="14">
        <v>5.1</v>
      </c>
      <c r="I111" s="14">
        <v>5.0</v>
      </c>
      <c r="J111" s="20">
        <v>2.9160000000000004</v>
      </c>
      <c r="K111" s="20">
        <f t="shared" si="1"/>
        <v>19.93375489</v>
      </c>
      <c r="L111" s="15"/>
      <c r="M111" s="20">
        <v>2.9160000000000004</v>
      </c>
      <c r="N111" s="14">
        <v>0.4</v>
      </c>
      <c r="P111" s="14">
        <v>0.9</v>
      </c>
      <c r="Q111" s="20">
        <f t="shared" si="4"/>
        <v>0.15122</v>
      </c>
      <c r="R111" s="20">
        <f t="shared" si="3"/>
        <v>2.766005315</v>
      </c>
      <c r="T111" s="20">
        <f>IFERROR(__xludf.DUMMYFUNCTION("iferror(PERCENTRANK.INC(FILTER($Q$2:$Q$428, $O$2:$O$428&lt;3.75), $Q111), 1)"),0.333)</f>
        <v>0.333</v>
      </c>
      <c r="U111" s="20">
        <f>IFERROR(__xludf.DUMMYFUNCTION("iferror(PERCENTRANK.INC(FILTER($Q$2:$Q$428, $O$2:$O$428&lt;4.25), $Q111), 1)"),0.291)</f>
        <v>0.291</v>
      </c>
      <c r="V111" s="20">
        <f>IFERROR(__xludf.DUMMYFUNCTION("iferror(PERCENTRANK.INC(FILTER($Q$2:$Q$428, $O$2:$O$428&gt;=4.1), $Q111), 0.01)"),0.01)</f>
        <v>0.01</v>
      </c>
    </row>
    <row r="112" ht="14.25" customHeight="1">
      <c r="A112" s="14" t="s">
        <v>917</v>
      </c>
      <c r="B112" s="14" t="s">
        <v>191</v>
      </c>
      <c r="C112" s="14">
        <v>6.0</v>
      </c>
      <c r="D112" s="14" t="s">
        <v>803</v>
      </c>
      <c r="E112" s="14" t="s">
        <v>155</v>
      </c>
      <c r="F112" s="14">
        <v>114.0</v>
      </c>
      <c r="G112" s="14">
        <v>438.0</v>
      </c>
      <c r="H112" s="14">
        <v>3.8</v>
      </c>
      <c r="I112" s="14">
        <v>9.0</v>
      </c>
      <c r="J112" s="20">
        <v>3.248</v>
      </c>
      <c r="K112" s="20">
        <f t="shared" si="1"/>
        <v>24.93224932</v>
      </c>
      <c r="L112" s="15"/>
      <c r="M112" s="20">
        <v>3.248</v>
      </c>
      <c r="N112" s="14">
        <v>0.02</v>
      </c>
      <c r="P112" s="14">
        <v>0.9</v>
      </c>
      <c r="Q112" s="20">
        <f t="shared" si="4"/>
        <v>0.14716</v>
      </c>
      <c r="R112" s="20">
        <f t="shared" si="3"/>
        <v>2.691742774</v>
      </c>
      <c r="T112" s="20">
        <f>IFERROR(__xludf.DUMMYFUNCTION("iferror(PERCENTRANK.INC(FILTER($Q$2:$Q$428, $O$2:$O$428&lt;3.75), $Q112), 1)"),0.322)</f>
        <v>0.322</v>
      </c>
      <c r="U112" s="20">
        <f>IFERROR(__xludf.DUMMYFUNCTION("iferror(PERCENTRANK.INC(FILTER($Q$2:$Q$428, $O$2:$O$428&lt;4.25), $Q112), 1)"),0.282)</f>
        <v>0.282</v>
      </c>
      <c r="V112" s="20">
        <f>IFERROR(__xludf.DUMMYFUNCTION("iferror(PERCENTRANK.INC(FILTER($Q$2:$Q$428, $O$2:$O$428&gt;=4.1), $Q112), 0.01)"),0.01)</f>
        <v>0.01</v>
      </c>
    </row>
    <row r="113" ht="14.25" customHeight="1">
      <c r="A113" s="14" t="s">
        <v>918</v>
      </c>
      <c r="B113" s="14" t="s">
        <v>275</v>
      </c>
      <c r="C113" s="14">
        <v>3.0</v>
      </c>
      <c r="D113" s="14" t="s">
        <v>803</v>
      </c>
      <c r="E113" s="14" t="s">
        <v>155</v>
      </c>
      <c r="F113" s="14">
        <v>104.0</v>
      </c>
      <c r="G113" s="14">
        <v>523.0</v>
      </c>
      <c r="H113" s="14">
        <v>5.0</v>
      </c>
      <c r="I113" s="14">
        <v>3.0</v>
      </c>
      <c r="J113" s="20">
        <v>2.83</v>
      </c>
      <c r="K113" s="20">
        <f t="shared" si="1"/>
        <v>18.63896417</v>
      </c>
      <c r="L113" s="15"/>
      <c r="M113" s="20">
        <v>2.83</v>
      </c>
      <c r="N113" s="14">
        <v>0.38</v>
      </c>
      <c r="P113" s="14">
        <v>0.9</v>
      </c>
      <c r="Q113" s="20">
        <f t="shared" si="4"/>
        <v>0.14635</v>
      </c>
      <c r="R113" s="20">
        <f t="shared" si="3"/>
        <v>2.676926848</v>
      </c>
      <c r="T113" s="20">
        <f>IFERROR(__xludf.DUMMYFUNCTION("iferror(PERCENTRANK.INC(FILTER($Q$2:$Q$428, $O$2:$O$428&lt;3.75), $Q113), 1)"),0.311)</f>
        <v>0.311</v>
      </c>
      <c r="U113" s="20">
        <f>IFERROR(__xludf.DUMMYFUNCTION("iferror(PERCENTRANK.INC(FILTER($Q$2:$Q$428, $O$2:$O$428&lt;4.25), $Q113), 1)"),0.272)</f>
        <v>0.272</v>
      </c>
      <c r="V113" s="20">
        <f>IFERROR(__xludf.DUMMYFUNCTION("iferror(PERCENTRANK.INC(FILTER($Q$2:$Q$428, $O$2:$O$428&gt;=4.1), $Q113), 0.01)"),0.01)</f>
        <v>0.01</v>
      </c>
    </row>
    <row r="114" ht="14.25" customHeight="1">
      <c r="A114" s="14" t="s">
        <v>919</v>
      </c>
      <c r="B114" s="14" t="s">
        <v>269</v>
      </c>
      <c r="C114" s="14">
        <v>20.0</v>
      </c>
      <c r="D114" s="14" t="s">
        <v>803</v>
      </c>
      <c r="E114" s="14" t="s">
        <v>108</v>
      </c>
      <c r="F114" s="14">
        <v>61.0</v>
      </c>
      <c r="G114" s="14">
        <v>307.0</v>
      </c>
      <c r="H114" s="14">
        <v>5.0</v>
      </c>
      <c r="I114" s="14">
        <v>2.0</v>
      </c>
      <c r="J114" s="20">
        <v>2.02</v>
      </c>
      <c r="K114" s="20">
        <f t="shared" si="1"/>
        <v>6.443842216</v>
      </c>
      <c r="L114" s="15"/>
      <c r="M114" s="20">
        <v>2.02</v>
      </c>
      <c r="N114" s="14">
        <v>0.9</v>
      </c>
      <c r="P114" s="14">
        <v>1.0</v>
      </c>
      <c r="Q114" s="20">
        <f t="shared" si="4"/>
        <v>0.146</v>
      </c>
      <c r="R114" s="20">
        <f t="shared" si="3"/>
        <v>2.670524904</v>
      </c>
      <c r="T114" s="20">
        <f>IFERROR(__xludf.DUMMYFUNCTION("iferror(PERCENTRANK.INC(FILTER($Q$2:$Q$428, $O$2:$O$428&lt;3.75), $Q114), 1)"),0.3)</f>
        <v>0.3</v>
      </c>
      <c r="U114" s="20">
        <f>IFERROR(__xludf.DUMMYFUNCTION("iferror(PERCENTRANK.INC(FILTER($Q$2:$Q$428, $O$2:$O$428&lt;4.25), $Q114), 1)"),0.262)</f>
        <v>0.262</v>
      </c>
      <c r="V114" s="20">
        <f>IFERROR(__xludf.DUMMYFUNCTION("iferror(PERCENTRANK.INC(FILTER($Q$2:$Q$428, $O$2:$O$428&gt;=4.1), $Q114), 0.01)"),0.01)</f>
        <v>0.01</v>
      </c>
    </row>
    <row r="115" ht="14.25" customHeight="1">
      <c r="A115" s="14" t="s">
        <v>920</v>
      </c>
      <c r="B115" s="14" t="s">
        <v>662</v>
      </c>
      <c r="C115" s="14">
        <v>7.0</v>
      </c>
      <c r="D115" s="14" t="s">
        <v>803</v>
      </c>
      <c r="E115" s="14" t="s">
        <v>114</v>
      </c>
      <c r="F115" s="14">
        <v>66.0</v>
      </c>
      <c r="G115" s="14">
        <v>421.0</v>
      </c>
      <c r="H115" s="14">
        <v>6.4</v>
      </c>
      <c r="I115" s="14">
        <v>4.0</v>
      </c>
      <c r="J115" s="20">
        <v>2.7420000000000004</v>
      </c>
      <c r="K115" s="20">
        <f t="shared" si="1"/>
        <v>17.31406203</v>
      </c>
      <c r="L115" s="15"/>
      <c r="M115" s="20">
        <v>2.7420000000000004</v>
      </c>
      <c r="N115" s="14">
        <v>0.37</v>
      </c>
      <c r="P115" s="14">
        <v>0.9</v>
      </c>
      <c r="Q115" s="20">
        <f t="shared" si="4"/>
        <v>0.14189</v>
      </c>
      <c r="R115" s="20">
        <f t="shared" si="3"/>
        <v>2.595347799</v>
      </c>
      <c r="T115" s="20">
        <f>IFERROR(__xludf.DUMMYFUNCTION("iferror(PERCENTRANK.INC(FILTER($Q$2:$Q$428, $O$2:$O$428&lt;3.75), $Q115), 1)"),0.289)</f>
        <v>0.289</v>
      </c>
      <c r="U115" s="20">
        <f>IFERROR(__xludf.DUMMYFUNCTION("iferror(PERCENTRANK.INC(FILTER($Q$2:$Q$428, $O$2:$O$428&lt;4.25), $Q115), 1)"),0.252)</f>
        <v>0.252</v>
      </c>
      <c r="V115" s="20">
        <f>IFERROR(__xludf.DUMMYFUNCTION("iferror(PERCENTRANK.INC(FILTER($Q$2:$Q$428, $O$2:$O$428&gt;=4.1), $Q115), 0.01)"),0.01)</f>
        <v>0.01</v>
      </c>
    </row>
    <row r="116" ht="14.25" customHeight="1">
      <c r="A116" s="14" t="s">
        <v>921</v>
      </c>
      <c r="B116" s="14" t="s">
        <v>137</v>
      </c>
      <c r="C116" s="14">
        <v>0.0</v>
      </c>
      <c r="D116" s="14" t="s">
        <v>803</v>
      </c>
      <c r="E116" s="14" t="s">
        <v>138</v>
      </c>
      <c r="F116" s="14">
        <v>70.0</v>
      </c>
      <c r="G116" s="14">
        <v>441.0</v>
      </c>
      <c r="H116" s="14">
        <v>6.3</v>
      </c>
      <c r="I116" s="14">
        <v>2.0</v>
      </c>
      <c r="J116" s="20">
        <v>2.55</v>
      </c>
      <c r="K116" s="20">
        <f t="shared" si="1"/>
        <v>14.42336646</v>
      </c>
      <c r="L116" s="15"/>
      <c r="M116" s="20">
        <v>2.55</v>
      </c>
      <c r="N116" s="14">
        <v>0.54</v>
      </c>
      <c r="P116" s="14">
        <v>0.9</v>
      </c>
      <c r="Q116" s="20">
        <f t="shared" si="4"/>
        <v>0.14175</v>
      </c>
      <c r="R116" s="20">
        <f t="shared" si="3"/>
        <v>2.592787022</v>
      </c>
      <c r="T116" s="20">
        <f>IFERROR(__xludf.DUMMYFUNCTION("iferror(PERCENTRANK.INC(FILTER($Q$2:$Q$428, $O$2:$O$428&lt;3.75), $Q116), 1)"),0.278)</f>
        <v>0.278</v>
      </c>
      <c r="U116" s="20">
        <f>IFERROR(__xludf.DUMMYFUNCTION("iferror(PERCENTRANK.INC(FILTER($Q$2:$Q$428, $O$2:$O$428&lt;4.25), $Q116), 1)"),0.243)</f>
        <v>0.243</v>
      </c>
      <c r="V116" s="20">
        <f>IFERROR(__xludf.DUMMYFUNCTION("iferror(PERCENTRANK.INC(FILTER($Q$2:$Q$428, $O$2:$O$428&gt;=4.1), $Q116), 0.01)"),0.01)</f>
        <v>0.01</v>
      </c>
    </row>
    <row r="117" ht="14.25" customHeight="1">
      <c r="A117" s="14" t="s">
        <v>922</v>
      </c>
      <c r="B117" s="14" t="s">
        <v>590</v>
      </c>
      <c r="C117" s="14">
        <v>6.0</v>
      </c>
      <c r="D117" s="14" t="s">
        <v>803</v>
      </c>
      <c r="E117" s="14" t="s">
        <v>124</v>
      </c>
      <c r="F117" s="14">
        <v>89.0</v>
      </c>
      <c r="G117" s="14">
        <v>331.0</v>
      </c>
      <c r="H117" s="14">
        <v>3.7</v>
      </c>
      <c r="I117" s="14">
        <v>4.0</v>
      </c>
      <c r="J117" s="20">
        <v>2.2680000000000002</v>
      </c>
      <c r="K117" s="20">
        <f t="shared" si="1"/>
        <v>10.17765733</v>
      </c>
      <c r="L117" s="15"/>
      <c r="M117" s="20">
        <v>2.2680000000000002</v>
      </c>
      <c r="N117" s="14">
        <v>0.77</v>
      </c>
      <c r="P117" s="14">
        <v>0.9</v>
      </c>
      <c r="Q117" s="20">
        <f t="shared" si="4"/>
        <v>0.14056</v>
      </c>
      <c r="R117" s="20">
        <f t="shared" si="3"/>
        <v>2.571020415</v>
      </c>
      <c r="T117" s="20">
        <f>IFERROR(__xludf.DUMMYFUNCTION("iferror(PERCENTRANK.INC(FILTER($Q$2:$Q$428, $O$2:$O$428&lt;3.75), $Q117), 1)"),0.267)</f>
        <v>0.267</v>
      </c>
      <c r="U117" s="20">
        <f>IFERROR(__xludf.DUMMYFUNCTION("iferror(PERCENTRANK.INC(FILTER($Q$2:$Q$428, $O$2:$O$428&lt;4.25), $Q117), 1)"),0.233)</f>
        <v>0.233</v>
      </c>
      <c r="V117" s="20">
        <f>IFERROR(__xludf.DUMMYFUNCTION("iferror(PERCENTRANK.INC(FILTER($Q$2:$Q$428, $O$2:$O$428&gt;=4.1), $Q117), 0.01)"),0.01)</f>
        <v>0.01</v>
      </c>
    </row>
    <row r="118" ht="14.25" customHeight="1">
      <c r="A118" s="14" t="s">
        <v>923</v>
      </c>
      <c r="B118" s="14" t="s">
        <v>473</v>
      </c>
      <c r="C118" s="14">
        <v>3.0</v>
      </c>
      <c r="D118" s="14" t="s">
        <v>803</v>
      </c>
      <c r="E118" s="14" t="s">
        <v>117</v>
      </c>
      <c r="F118" s="14">
        <v>92.0</v>
      </c>
      <c r="G118" s="14">
        <v>517.0</v>
      </c>
      <c r="H118" s="14">
        <v>5.6</v>
      </c>
      <c r="I118" s="14">
        <v>2.0</v>
      </c>
      <c r="J118" s="20">
        <v>2.722</v>
      </c>
      <c r="K118" s="20">
        <f t="shared" si="1"/>
        <v>17.01294791</v>
      </c>
      <c r="L118" s="15"/>
      <c r="M118" s="20">
        <v>2.722</v>
      </c>
      <c r="N118" s="14">
        <v>0.18</v>
      </c>
      <c r="P118" s="14">
        <v>0.95</v>
      </c>
      <c r="Q118" s="20">
        <f t="shared" si="4"/>
        <v>0.138295</v>
      </c>
      <c r="R118" s="20">
        <f t="shared" si="3"/>
        <v>2.529590696</v>
      </c>
      <c r="T118" s="20">
        <f>IFERROR(__xludf.DUMMYFUNCTION("iferror(PERCENTRANK.INC(FILTER($Q$2:$Q$428, $O$2:$O$428&lt;3.75), $Q118), 1)"),0.256)</f>
        <v>0.256</v>
      </c>
      <c r="U118" s="20">
        <f>IFERROR(__xludf.DUMMYFUNCTION("iferror(PERCENTRANK.INC(FILTER($Q$2:$Q$428, $O$2:$O$428&lt;4.25), $Q118), 1)"),0.223)</f>
        <v>0.223</v>
      </c>
      <c r="V118" s="20">
        <f>IFERROR(__xludf.DUMMYFUNCTION("iferror(PERCENTRANK.INC(FILTER($Q$2:$Q$428, $O$2:$O$428&gt;=4.1), $Q118), 0.01)"),0.01)</f>
        <v>0.01</v>
      </c>
    </row>
    <row r="119" ht="14.25" customHeight="1">
      <c r="A119" s="14" t="s">
        <v>924</v>
      </c>
      <c r="B119" s="14" t="s">
        <v>167</v>
      </c>
      <c r="C119" s="14">
        <v>29.0</v>
      </c>
      <c r="D119" s="14" t="s">
        <v>803</v>
      </c>
      <c r="E119" s="14" t="s">
        <v>108</v>
      </c>
      <c r="F119" s="14">
        <v>27.0</v>
      </c>
      <c r="G119" s="14">
        <v>200.0</v>
      </c>
      <c r="H119" s="14">
        <v>7.4</v>
      </c>
      <c r="I119" s="14">
        <v>1.0</v>
      </c>
      <c r="J119" s="20">
        <v>1.8660000000000003</v>
      </c>
      <c r="K119" s="20">
        <f t="shared" si="1"/>
        <v>4.125263475</v>
      </c>
      <c r="L119" s="15"/>
      <c r="M119" s="20">
        <v>1.8660000000000003</v>
      </c>
      <c r="N119" s="14">
        <v>0.88</v>
      </c>
      <c r="P119" s="14">
        <v>1.0</v>
      </c>
      <c r="Q119" s="20">
        <f t="shared" si="4"/>
        <v>0.1373</v>
      </c>
      <c r="R119" s="20">
        <f t="shared" si="3"/>
        <v>2.511390886</v>
      </c>
      <c r="T119" s="20">
        <f>IFERROR(__xludf.DUMMYFUNCTION("iferror(PERCENTRANK.INC(FILTER($Q$2:$Q$428, $O$2:$O$428&lt;3.75), $Q119), 1)"),0.244)</f>
        <v>0.244</v>
      </c>
      <c r="U119" s="20">
        <f>IFERROR(__xludf.DUMMYFUNCTION("iferror(PERCENTRANK.INC(FILTER($Q$2:$Q$428, $O$2:$O$428&lt;4.25), $Q119), 1)"),0.214)</f>
        <v>0.214</v>
      </c>
      <c r="V119" s="20">
        <f>IFERROR(__xludf.DUMMYFUNCTION("iferror(PERCENTRANK.INC(FILTER($Q$2:$Q$428, $O$2:$O$428&gt;=4.1), $Q119), 0.01)"),0.01)</f>
        <v>0.01</v>
      </c>
    </row>
    <row r="120" ht="14.25" customHeight="1">
      <c r="A120" s="14" t="s">
        <v>925</v>
      </c>
      <c r="B120" s="14" t="s">
        <v>275</v>
      </c>
      <c r="C120" s="14">
        <v>26.0</v>
      </c>
      <c r="D120" s="14" t="s">
        <v>803</v>
      </c>
      <c r="E120" s="14" t="s">
        <v>155</v>
      </c>
      <c r="F120" s="14">
        <v>71.0</v>
      </c>
      <c r="G120" s="14">
        <v>426.0</v>
      </c>
      <c r="H120" s="14">
        <v>6.0</v>
      </c>
      <c r="I120" s="14">
        <v>4.0</v>
      </c>
      <c r="J120" s="20">
        <v>2.718</v>
      </c>
      <c r="K120" s="20">
        <f t="shared" si="1"/>
        <v>16.95272508</v>
      </c>
      <c r="L120" s="15"/>
      <c r="M120" s="20">
        <v>2.718</v>
      </c>
      <c r="N120" s="14">
        <v>0.21</v>
      </c>
      <c r="P120" s="14">
        <v>0.9</v>
      </c>
      <c r="Q120" s="20">
        <f t="shared" si="4"/>
        <v>0.13281</v>
      </c>
      <c r="R120" s="20">
        <f t="shared" si="3"/>
        <v>2.4292631</v>
      </c>
      <c r="T120" s="20">
        <f>IFERROR(__xludf.DUMMYFUNCTION("iferror(PERCENTRANK.INC(FILTER($Q$2:$Q$428, $O$2:$O$428&lt;3.75), $Q120), 1)"),0.233)</f>
        <v>0.233</v>
      </c>
      <c r="U120" s="20">
        <f>IFERROR(__xludf.DUMMYFUNCTION("iferror(PERCENTRANK.INC(FILTER($Q$2:$Q$428, $O$2:$O$428&lt;4.25), $Q120), 1)"),0.204)</f>
        <v>0.204</v>
      </c>
      <c r="V120" s="20">
        <f>IFERROR(__xludf.DUMMYFUNCTION("iferror(PERCENTRANK.INC(FILTER($Q$2:$Q$428, $O$2:$O$428&gt;=4.1), $Q120), 0.01)"),0.01)</f>
        <v>0.01</v>
      </c>
    </row>
    <row r="121" ht="14.25" customHeight="1">
      <c r="A121" s="14" t="s">
        <v>926</v>
      </c>
      <c r="B121" s="14" t="s">
        <v>113</v>
      </c>
      <c r="C121" s="14">
        <v>24.0</v>
      </c>
      <c r="D121" s="14" t="s">
        <v>803</v>
      </c>
      <c r="E121" s="14" t="s">
        <v>114</v>
      </c>
      <c r="F121" s="14">
        <v>82.0</v>
      </c>
      <c r="G121" s="14">
        <v>436.0</v>
      </c>
      <c r="H121" s="14">
        <v>5.3</v>
      </c>
      <c r="I121" s="14">
        <v>3.0</v>
      </c>
      <c r="J121" s="20">
        <v>2.572</v>
      </c>
      <c r="K121" s="20">
        <f t="shared" si="1"/>
        <v>14.75459199</v>
      </c>
      <c r="L121" s="15"/>
      <c r="M121" s="20">
        <v>2.572</v>
      </c>
      <c r="N121" s="14">
        <v>0.32</v>
      </c>
      <c r="P121" s="14">
        <v>0.9</v>
      </c>
      <c r="Q121" s="20">
        <f t="shared" si="4"/>
        <v>0.13174</v>
      </c>
      <c r="R121" s="20">
        <f t="shared" si="3"/>
        <v>2.409691445</v>
      </c>
      <c r="T121" s="20">
        <f>IFERROR(__xludf.DUMMYFUNCTION("iferror(PERCENTRANK.INC(FILTER($Q$2:$Q$428, $O$2:$O$428&lt;3.75), $Q121), 1)"),0.222)</f>
        <v>0.222</v>
      </c>
      <c r="U121" s="20">
        <f>IFERROR(__xludf.DUMMYFUNCTION("iferror(PERCENTRANK.INC(FILTER($Q$2:$Q$428, $O$2:$O$428&lt;4.25), $Q121), 1)"),0.194)</f>
        <v>0.194</v>
      </c>
      <c r="V121" s="20">
        <f>IFERROR(__xludf.DUMMYFUNCTION("iferror(PERCENTRANK.INC(FILTER($Q$2:$Q$428, $O$2:$O$428&gt;=4.1), $Q121), 0.01)"),0.01)</f>
        <v>0.01</v>
      </c>
    </row>
    <row r="122" ht="14.25" customHeight="1">
      <c r="A122" s="14" t="s">
        <v>927</v>
      </c>
      <c r="B122" s="14" t="s">
        <v>534</v>
      </c>
      <c r="C122" s="14">
        <v>4.0</v>
      </c>
      <c r="D122" s="14" t="s">
        <v>803</v>
      </c>
      <c r="E122" s="14" t="s">
        <v>108</v>
      </c>
      <c r="F122" s="14">
        <v>42.0</v>
      </c>
      <c r="G122" s="14">
        <v>230.0</v>
      </c>
      <c r="H122" s="14">
        <v>5.5</v>
      </c>
      <c r="I122" s="14">
        <v>0.0</v>
      </c>
      <c r="J122" s="20">
        <v>1.5919999999999999</v>
      </c>
      <c r="K122" s="20">
        <f t="shared" si="1"/>
        <v>0</v>
      </c>
      <c r="L122" s="15"/>
      <c r="M122" s="20">
        <v>1.5919999999999999</v>
      </c>
      <c r="N122" s="14">
        <v>1.03</v>
      </c>
      <c r="P122" s="14">
        <v>1.0</v>
      </c>
      <c r="Q122" s="20">
        <f t="shared" si="4"/>
        <v>0.1311</v>
      </c>
      <c r="R122" s="20">
        <f t="shared" si="3"/>
        <v>2.397985034</v>
      </c>
      <c r="T122" s="20">
        <f>IFERROR(__xludf.DUMMYFUNCTION("iferror(PERCENTRANK.INC(FILTER($Q$2:$Q$428, $O$2:$O$428&lt;3.75), $Q122), 1)"),0.211)</f>
        <v>0.211</v>
      </c>
      <c r="U122" s="20">
        <f>IFERROR(__xludf.DUMMYFUNCTION("iferror(PERCENTRANK.INC(FILTER($Q$2:$Q$428, $O$2:$O$428&lt;4.25), $Q122), 1)"),0.184)</f>
        <v>0.184</v>
      </c>
      <c r="V122" s="20">
        <f>IFERROR(__xludf.DUMMYFUNCTION("iferror(PERCENTRANK.INC(FILTER($Q$2:$Q$428, $O$2:$O$428&gt;=4.1), $Q122), 0.01)"),0.01)</f>
        <v>0.01</v>
      </c>
    </row>
    <row r="123" ht="14.25" customHeight="1">
      <c r="A123" s="14" t="s">
        <v>928</v>
      </c>
      <c r="B123" s="14" t="s">
        <v>419</v>
      </c>
      <c r="C123" s="14">
        <v>21.0</v>
      </c>
      <c r="D123" s="14" t="s">
        <v>803</v>
      </c>
      <c r="E123" s="14" t="s">
        <v>117</v>
      </c>
      <c r="F123" s="14">
        <v>83.0</v>
      </c>
      <c r="G123" s="14">
        <v>456.0</v>
      </c>
      <c r="H123" s="14">
        <v>5.5</v>
      </c>
      <c r="I123" s="14">
        <v>1.0</v>
      </c>
      <c r="J123" s="20">
        <v>2.41</v>
      </c>
      <c r="K123" s="20">
        <f t="shared" si="1"/>
        <v>12.3155676</v>
      </c>
      <c r="L123" s="15"/>
      <c r="M123" s="20">
        <v>2.41</v>
      </c>
      <c r="N123" s="14">
        <v>0.32</v>
      </c>
      <c r="P123" s="14">
        <v>0.95</v>
      </c>
      <c r="Q123" s="20">
        <f t="shared" si="4"/>
        <v>0.130475</v>
      </c>
      <c r="R123" s="20">
        <f t="shared" si="3"/>
        <v>2.386552993</v>
      </c>
      <c r="T123" s="20">
        <f>IFERROR(__xludf.DUMMYFUNCTION("iferror(PERCENTRANK.INC(FILTER($Q$2:$Q$428, $O$2:$O$428&lt;3.75), $Q123), 1)"),0.2)</f>
        <v>0.2</v>
      </c>
      <c r="U123" s="20">
        <f>IFERROR(__xludf.DUMMYFUNCTION("iferror(PERCENTRANK.INC(FILTER($Q$2:$Q$428, $O$2:$O$428&lt;4.25), $Q123), 1)"),0.175)</f>
        <v>0.175</v>
      </c>
      <c r="V123" s="20">
        <f>IFERROR(__xludf.DUMMYFUNCTION("iferror(PERCENTRANK.INC(FILTER($Q$2:$Q$428, $O$2:$O$428&gt;=4.1), $Q123), 0.01)"),0.01)</f>
        <v>0.01</v>
      </c>
    </row>
    <row r="124" ht="14.25" customHeight="1">
      <c r="A124" s="14" t="s">
        <v>929</v>
      </c>
      <c r="B124" s="14" t="s">
        <v>331</v>
      </c>
      <c r="C124" s="14">
        <v>0.0</v>
      </c>
      <c r="D124" s="14" t="s">
        <v>803</v>
      </c>
      <c r="E124" s="14" t="s">
        <v>182</v>
      </c>
      <c r="F124" s="14">
        <v>56.0</v>
      </c>
      <c r="G124" s="14">
        <v>286.0</v>
      </c>
      <c r="H124" s="14">
        <v>5.1</v>
      </c>
      <c r="I124" s="14">
        <v>5.0</v>
      </c>
      <c r="J124" s="20">
        <v>2.324</v>
      </c>
      <c r="K124" s="20">
        <f t="shared" si="1"/>
        <v>11.02077687</v>
      </c>
      <c r="L124" s="15"/>
      <c r="M124" s="20">
        <v>2.324</v>
      </c>
      <c r="N124" s="14">
        <v>0.27</v>
      </c>
      <c r="P124" s="14">
        <v>1.0</v>
      </c>
      <c r="Q124" s="20">
        <f t="shared" si="4"/>
        <v>0.1297</v>
      </c>
      <c r="R124" s="20">
        <f t="shared" si="3"/>
        <v>2.372377261</v>
      </c>
      <c r="T124" s="20">
        <f>IFERROR(__xludf.DUMMYFUNCTION("iferror(PERCENTRANK.INC(FILTER($Q$2:$Q$428, $O$2:$O$428&lt;3.75), $Q124), 1)"),0.189)</f>
        <v>0.189</v>
      </c>
      <c r="U124" s="20">
        <f>IFERROR(__xludf.DUMMYFUNCTION("iferror(PERCENTRANK.INC(FILTER($Q$2:$Q$428, $O$2:$O$428&lt;4.25), $Q124), 1)"),0.165)</f>
        <v>0.165</v>
      </c>
      <c r="V124" s="20">
        <f>IFERROR(__xludf.DUMMYFUNCTION("iferror(PERCENTRANK.INC(FILTER($Q$2:$Q$428, $O$2:$O$428&gt;=4.1), $Q124), 0.01)"),0.01)</f>
        <v>0.01</v>
      </c>
    </row>
    <row r="125" ht="14.25" customHeight="1">
      <c r="A125" s="14" t="s">
        <v>930</v>
      </c>
      <c r="B125" s="14" t="s">
        <v>226</v>
      </c>
      <c r="C125" s="14">
        <v>27.0</v>
      </c>
      <c r="D125" s="14" t="s">
        <v>803</v>
      </c>
      <c r="E125" s="14" t="s">
        <v>108</v>
      </c>
      <c r="F125" s="14">
        <v>42.0</v>
      </c>
      <c r="G125" s="14">
        <v>249.0</v>
      </c>
      <c r="H125" s="14">
        <v>5.9</v>
      </c>
      <c r="I125" s="14">
        <v>3.0</v>
      </c>
      <c r="J125" s="20">
        <v>2.054</v>
      </c>
      <c r="K125" s="20">
        <f t="shared" si="1"/>
        <v>6.955736224</v>
      </c>
      <c r="L125" s="15"/>
      <c r="M125" s="20">
        <v>2.054</v>
      </c>
      <c r="N125" s="14">
        <v>0.52</v>
      </c>
      <c r="P125" s="14">
        <v>1.0</v>
      </c>
      <c r="Q125" s="20">
        <f t="shared" si="4"/>
        <v>0.1287</v>
      </c>
      <c r="R125" s="20">
        <f t="shared" si="3"/>
        <v>2.354085995</v>
      </c>
      <c r="T125" s="20">
        <f>IFERROR(__xludf.DUMMYFUNCTION("iferror(PERCENTRANK.INC(FILTER($Q$2:$Q$428, $O$2:$O$428&lt;3.75), $Q125), 1)"),0.178)</f>
        <v>0.178</v>
      </c>
      <c r="U125" s="20">
        <f>IFERROR(__xludf.DUMMYFUNCTION("iferror(PERCENTRANK.INC(FILTER($Q$2:$Q$428, $O$2:$O$428&lt;4.25), $Q125), 1)"),0.155)</f>
        <v>0.155</v>
      </c>
      <c r="V125" s="20">
        <f>IFERROR(__xludf.DUMMYFUNCTION("iferror(PERCENTRANK.INC(FILTER($Q$2:$Q$428, $O$2:$O$428&gt;=4.1), $Q125), 0.01)"),0.01)</f>
        <v>0.01</v>
      </c>
    </row>
    <row r="126" ht="14.25" customHeight="1">
      <c r="A126" s="14" t="s">
        <v>931</v>
      </c>
      <c r="B126" s="14" t="s">
        <v>230</v>
      </c>
      <c r="C126" s="14">
        <v>4.0</v>
      </c>
      <c r="D126" s="14" t="s">
        <v>803</v>
      </c>
      <c r="E126" s="14" t="s">
        <v>172</v>
      </c>
      <c r="F126" s="14">
        <v>66.0</v>
      </c>
      <c r="G126" s="14">
        <v>496.0</v>
      </c>
      <c r="H126" s="14">
        <v>7.5</v>
      </c>
      <c r="I126" s="14">
        <v>1.0</v>
      </c>
      <c r="J126" s="20">
        <v>2.708</v>
      </c>
      <c r="K126" s="20">
        <f t="shared" si="1"/>
        <v>16.80216802</v>
      </c>
      <c r="L126" s="15"/>
      <c r="M126" s="20">
        <v>2.708</v>
      </c>
      <c r="N126" s="14">
        <v>0.13</v>
      </c>
      <c r="P126" s="14">
        <v>0.9</v>
      </c>
      <c r="Q126" s="20">
        <f t="shared" si="4"/>
        <v>0.12836</v>
      </c>
      <c r="R126" s="20">
        <f t="shared" si="3"/>
        <v>2.347866964</v>
      </c>
      <c r="T126" s="20">
        <f>IFERROR(__xludf.DUMMYFUNCTION("iferror(PERCENTRANK.INC(FILTER($Q$2:$Q$428, $O$2:$O$428&lt;3.75), $Q126), 1)"),0.167)</f>
        <v>0.167</v>
      </c>
      <c r="U126" s="20">
        <f>IFERROR(__xludf.DUMMYFUNCTION("iferror(PERCENTRANK.INC(FILTER($Q$2:$Q$428, $O$2:$O$428&lt;4.25), $Q126), 1)"),0.146)</f>
        <v>0.146</v>
      </c>
      <c r="V126" s="20">
        <f>IFERROR(__xludf.DUMMYFUNCTION("iferror(PERCENTRANK.INC(FILTER($Q$2:$Q$428, $O$2:$O$428&gt;=4.1), $Q126), 0.01)"),0.01)</f>
        <v>0.01</v>
      </c>
    </row>
    <row r="127" ht="14.25" customHeight="1">
      <c r="A127" s="39" t="s">
        <v>932</v>
      </c>
      <c r="B127" s="39" t="s">
        <v>293</v>
      </c>
      <c r="C127" s="40">
        <v>9.0</v>
      </c>
      <c r="D127" s="39" t="s">
        <v>803</v>
      </c>
      <c r="E127" s="39" t="s">
        <v>117</v>
      </c>
      <c r="F127" s="40">
        <v>35.0</v>
      </c>
      <c r="G127" s="40">
        <v>188.0</v>
      </c>
      <c r="H127" s="40">
        <v>5.4</v>
      </c>
      <c r="I127" s="40">
        <v>2.0</v>
      </c>
      <c r="J127" s="41">
        <v>1.69</v>
      </c>
      <c r="K127" s="20">
        <f t="shared" si="1"/>
        <v>1.475459199</v>
      </c>
      <c r="L127" s="42">
        <v>1.69</v>
      </c>
      <c r="M127" s="38">
        <v>1.69</v>
      </c>
      <c r="N127" s="16">
        <v>0.0</v>
      </c>
      <c r="O127" s="16">
        <v>4.05</v>
      </c>
      <c r="P127" s="16">
        <v>0.95</v>
      </c>
      <c r="Q127" s="20">
        <f t="shared" si="4"/>
        <v>3.725275</v>
      </c>
      <c r="R127" s="20">
        <f t="shared" si="3"/>
        <v>68.1399977</v>
      </c>
      <c r="T127" s="20">
        <f>IFERROR(__xludf.DUMMYFUNCTION("iferror(PERCENTRANK.INC(FILTER($Q$2:$Q$428, $O$2:$O$428&lt;3.75), $Q127), 1)"),0.988)</f>
        <v>0.988</v>
      </c>
      <c r="U127" s="20">
        <f>IFERROR(__xludf.DUMMYFUNCTION("iferror(PERCENTRANK.INC(FILTER($Q$2:$Q$428, $O$2:$O$428&lt;4.25), $Q127), 1)"),0.883)</f>
        <v>0.883</v>
      </c>
      <c r="V127" s="20">
        <f>IFERROR(__xludf.DUMMYFUNCTION("iferror(PERCENTRANK.INC(FILTER($Q$2:$Q$428, $O$2:$O$428&gt;=4.1), $Q127), 0.01)"),0.025)</f>
        <v>0.025</v>
      </c>
    </row>
    <row r="128" ht="14.25" customHeight="1">
      <c r="A128" s="39" t="s">
        <v>933</v>
      </c>
      <c r="B128" s="39" t="s">
        <v>626</v>
      </c>
      <c r="C128" s="40">
        <v>28.0</v>
      </c>
      <c r="D128" s="39" t="s">
        <v>803</v>
      </c>
      <c r="E128" s="39" t="s">
        <v>172</v>
      </c>
      <c r="F128" s="40">
        <v>79.0</v>
      </c>
      <c r="G128" s="40">
        <v>330.0</v>
      </c>
      <c r="H128" s="40">
        <v>4.2</v>
      </c>
      <c r="I128" s="40">
        <v>2.0</v>
      </c>
      <c r="J128" s="41">
        <v>2.046</v>
      </c>
      <c r="K128" s="20">
        <f t="shared" si="1"/>
        <v>6.835290575</v>
      </c>
      <c r="L128" s="15"/>
      <c r="M128" s="38">
        <v>2.05</v>
      </c>
      <c r="N128" s="16">
        <v>0.0</v>
      </c>
      <c r="O128" s="16">
        <v>4.0</v>
      </c>
      <c r="P128" s="16">
        <v>0.9</v>
      </c>
      <c r="Q128" s="20">
        <f t="shared" si="4"/>
        <v>3.69225</v>
      </c>
      <c r="R128" s="20">
        <f t="shared" si="3"/>
        <v>67.53592862</v>
      </c>
      <c r="T128" s="20">
        <f>IFERROR(__xludf.DUMMYFUNCTION("iferror(PERCENTRANK.INC(FILTER($Q$2:$Q$428, $O$2:$O$428&lt;3.75), $Q128), 1)"),0.986)</f>
        <v>0.986</v>
      </c>
      <c r="U128" s="20">
        <f>IFERROR(__xludf.DUMMYFUNCTION("iferror(PERCENTRANK.INC(FILTER($Q$2:$Q$428, $O$2:$O$428&lt;4.25), $Q128), 1)"),0.874)</f>
        <v>0.874</v>
      </c>
      <c r="V128" s="20">
        <f>IFERROR(__xludf.DUMMYFUNCTION("iferror(PERCENTRANK.INC(FILTER($Q$2:$Q$428, $O$2:$O$428&gt;=4.1), $Q128), 0.01)"),0.024)</f>
        <v>0.024</v>
      </c>
    </row>
    <row r="129" ht="14.25" customHeight="1">
      <c r="A129" s="14" t="s">
        <v>934</v>
      </c>
      <c r="B129" s="14" t="s">
        <v>935</v>
      </c>
      <c r="C129" s="14">
        <v>21.0</v>
      </c>
      <c r="D129" s="14" t="s">
        <v>803</v>
      </c>
      <c r="E129" s="14" t="s">
        <v>108</v>
      </c>
      <c r="F129" s="14">
        <v>48.0</v>
      </c>
      <c r="G129" s="14">
        <v>252.0</v>
      </c>
      <c r="H129" s="14">
        <v>5.3</v>
      </c>
      <c r="I129" s="14">
        <v>3.0</v>
      </c>
      <c r="J129" s="20">
        <v>2.0</v>
      </c>
      <c r="K129" s="20">
        <f t="shared" si="1"/>
        <v>6.142728094</v>
      </c>
      <c r="L129" s="15"/>
      <c r="M129" s="20">
        <v>2.0</v>
      </c>
      <c r="N129" s="14">
        <v>0.55</v>
      </c>
      <c r="P129" s="14">
        <v>1.0</v>
      </c>
      <c r="Q129" s="20">
        <f t="shared" si="4"/>
        <v>0.1275</v>
      </c>
      <c r="R129" s="20">
        <f t="shared" si="3"/>
        <v>2.332136475</v>
      </c>
      <c r="T129" s="20">
        <f>IFERROR(__xludf.DUMMYFUNCTION("iferror(PERCENTRANK.INC(FILTER($Q$2:$Q$428, $O$2:$O$428&lt;3.75), $Q129), 1)"),0.156)</f>
        <v>0.156</v>
      </c>
      <c r="U129" s="20">
        <f>IFERROR(__xludf.DUMMYFUNCTION("iferror(PERCENTRANK.INC(FILTER($Q$2:$Q$428, $O$2:$O$428&lt;4.25), $Q129), 1)"),0.136)</f>
        <v>0.136</v>
      </c>
      <c r="V129" s="20">
        <f>IFERROR(__xludf.DUMMYFUNCTION("iferror(PERCENTRANK.INC(FILTER($Q$2:$Q$428, $O$2:$O$428&gt;=4.1), $Q129), 0.01)"),0.01)</f>
        <v>0.01</v>
      </c>
    </row>
    <row r="130" ht="14.25" customHeight="1">
      <c r="A130" s="14" t="s">
        <v>936</v>
      </c>
      <c r="B130" s="14" t="s">
        <v>555</v>
      </c>
      <c r="C130" s="14">
        <v>20.0</v>
      </c>
      <c r="D130" s="14" t="s">
        <v>803</v>
      </c>
      <c r="E130" s="14" t="s">
        <v>117</v>
      </c>
      <c r="F130" s="14">
        <v>44.0</v>
      </c>
      <c r="G130" s="14">
        <v>296.0</v>
      </c>
      <c r="H130" s="14">
        <v>6.7</v>
      </c>
      <c r="I130" s="14">
        <v>1.0</v>
      </c>
      <c r="J130" s="20">
        <v>2.048</v>
      </c>
      <c r="K130" s="20">
        <f t="shared" si="1"/>
        <v>6.865401987</v>
      </c>
      <c r="L130" s="15"/>
      <c r="M130" s="20">
        <v>2.048</v>
      </c>
      <c r="N130" s="14">
        <v>0.6</v>
      </c>
      <c r="P130" s="14">
        <v>0.95</v>
      </c>
      <c r="Q130" s="20">
        <f t="shared" si="4"/>
        <v>0.12728</v>
      </c>
      <c r="R130" s="20">
        <f t="shared" si="3"/>
        <v>2.328112396</v>
      </c>
      <c r="T130" s="20">
        <f>IFERROR(__xludf.DUMMYFUNCTION("iferror(PERCENTRANK.INC(FILTER($Q$2:$Q$428, $O$2:$O$428&lt;3.75), $Q130), 1)"),0.144)</f>
        <v>0.144</v>
      </c>
      <c r="U130" s="20">
        <f>IFERROR(__xludf.DUMMYFUNCTION("iferror(PERCENTRANK.INC(FILTER($Q$2:$Q$428, $O$2:$O$428&lt;4.25), $Q130), 1)"),0.126)</f>
        <v>0.126</v>
      </c>
      <c r="V130" s="20">
        <f>IFERROR(__xludf.DUMMYFUNCTION("iferror(PERCENTRANK.INC(FILTER($Q$2:$Q$428, $O$2:$O$428&gt;=4.1), $Q130), 0.01)"),0.01)</f>
        <v>0.01</v>
      </c>
    </row>
    <row r="131" ht="14.25" customHeight="1">
      <c r="A131" s="14" t="s">
        <v>937</v>
      </c>
      <c r="B131" s="14" t="s">
        <v>527</v>
      </c>
      <c r="C131" s="14">
        <v>26.0</v>
      </c>
      <c r="D131" s="14" t="s">
        <v>803</v>
      </c>
      <c r="E131" s="14" t="s">
        <v>132</v>
      </c>
      <c r="F131" s="14">
        <v>86.0</v>
      </c>
      <c r="G131" s="14">
        <v>450.0</v>
      </c>
      <c r="H131" s="14">
        <v>5.2</v>
      </c>
      <c r="I131" s="14">
        <v>1.0</v>
      </c>
      <c r="J131" s="20">
        <v>2.3680000000000003</v>
      </c>
      <c r="K131" s="20">
        <f t="shared" si="1"/>
        <v>11.68322794</v>
      </c>
      <c r="L131" s="15"/>
      <c r="M131" s="20">
        <v>2.3680000000000003</v>
      </c>
      <c r="N131" s="14">
        <v>0.24</v>
      </c>
      <c r="P131" s="14">
        <v>0.95</v>
      </c>
      <c r="Q131" s="20">
        <f t="shared" si="4"/>
        <v>0.12448</v>
      </c>
      <c r="R131" s="20">
        <f t="shared" si="3"/>
        <v>2.27689685</v>
      </c>
      <c r="T131" s="20">
        <f>IFERROR(__xludf.DUMMYFUNCTION("iferror(PERCENTRANK.INC(FILTER($Q$2:$Q$428, $O$2:$O$428&lt;3.75), $Q131), 1)"),0.133)</f>
        <v>0.133</v>
      </c>
      <c r="U131" s="20">
        <f>IFERROR(__xludf.DUMMYFUNCTION("iferror(PERCENTRANK.INC(FILTER($Q$2:$Q$428, $O$2:$O$428&lt;4.25), $Q131), 1)"),0.117)</f>
        <v>0.117</v>
      </c>
      <c r="V131" s="20">
        <f>IFERROR(__xludf.DUMMYFUNCTION("iferror(PERCENTRANK.INC(FILTER($Q$2:$Q$428, $O$2:$O$428&gt;=4.1), $Q131), 0.01)"),0.01)</f>
        <v>0.01</v>
      </c>
    </row>
    <row r="132" ht="14.25" customHeight="1">
      <c r="A132" s="14" t="s">
        <v>938</v>
      </c>
      <c r="B132" s="14" t="s">
        <v>419</v>
      </c>
      <c r="C132" s="14">
        <v>22.0</v>
      </c>
      <c r="D132" s="14" t="s">
        <v>803</v>
      </c>
      <c r="E132" s="14" t="s">
        <v>117</v>
      </c>
      <c r="F132" s="14">
        <v>63.0</v>
      </c>
      <c r="G132" s="14">
        <v>339.0</v>
      </c>
      <c r="H132" s="14">
        <v>5.4</v>
      </c>
      <c r="I132" s="14">
        <v>2.0</v>
      </c>
      <c r="J132" s="20">
        <v>2.16</v>
      </c>
      <c r="K132" s="20">
        <f t="shared" si="1"/>
        <v>8.551641072</v>
      </c>
      <c r="L132" s="15"/>
      <c r="M132" s="20">
        <v>2.16</v>
      </c>
      <c r="N132" s="14">
        <v>0.43</v>
      </c>
      <c r="P132" s="14">
        <v>0.95</v>
      </c>
      <c r="Q132" s="20">
        <f t="shared" si="4"/>
        <v>0.1241</v>
      </c>
      <c r="R132" s="20">
        <f t="shared" si="3"/>
        <v>2.269946169</v>
      </c>
      <c r="T132" s="20">
        <f>IFERROR(__xludf.DUMMYFUNCTION("iferror(PERCENTRANK.INC(FILTER($Q$2:$Q$428, $O$2:$O$428&lt;3.75), $Q132), 1)"),0.122)</f>
        <v>0.122</v>
      </c>
      <c r="U132" s="20">
        <f>IFERROR(__xludf.DUMMYFUNCTION("iferror(PERCENTRANK.INC(FILTER($Q$2:$Q$428, $O$2:$O$428&lt;4.25), $Q132), 1)"),0.107)</f>
        <v>0.107</v>
      </c>
      <c r="V132" s="20">
        <f>IFERROR(__xludf.DUMMYFUNCTION("iferror(PERCENTRANK.INC(FILTER($Q$2:$Q$428, $O$2:$O$428&gt;=4.1), $Q132), 0.01)"),0.01)</f>
        <v>0.01</v>
      </c>
    </row>
    <row r="133" ht="14.25" customHeight="1">
      <c r="A133" s="14" t="s">
        <v>939</v>
      </c>
      <c r="B133" s="14" t="s">
        <v>193</v>
      </c>
      <c r="C133" s="14">
        <v>1.0</v>
      </c>
      <c r="D133" s="14" t="s">
        <v>803</v>
      </c>
      <c r="E133" s="14" t="s">
        <v>108</v>
      </c>
      <c r="F133" s="14">
        <v>47.0</v>
      </c>
      <c r="G133" s="14">
        <v>264.0</v>
      </c>
      <c r="H133" s="14">
        <v>5.6</v>
      </c>
      <c r="I133" s="14">
        <v>2.0</v>
      </c>
      <c r="J133" s="20">
        <v>1.9459999999999997</v>
      </c>
      <c r="K133" s="20">
        <f t="shared" si="1"/>
        <v>5.329719964</v>
      </c>
      <c r="L133" s="15"/>
      <c r="M133" s="20">
        <v>1.9459999999999997</v>
      </c>
      <c r="N133" s="14">
        <v>0.53</v>
      </c>
      <c r="P133" s="14">
        <v>1.0</v>
      </c>
      <c r="Q133" s="20">
        <f t="shared" si="4"/>
        <v>0.1238</v>
      </c>
      <c r="R133" s="20">
        <f t="shared" si="3"/>
        <v>2.264458789</v>
      </c>
      <c r="T133" s="20">
        <f>IFERROR(__xludf.DUMMYFUNCTION("iferror(PERCENTRANK.INC(FILTER($Q$2:$Q$428, $O$2:$O$428&lt;3.75), $Q133), 1)"),0.111)</f>
        <v>0.111</v>
      </c>
      <c r="U133" s="20">
        <f>IFERROR(__xludf.DUMMYFUNCTION("iferror(PERCENTRANK.INC(FILTER($Q$2:$Q$428, $O$2:$O$428&lt;4.25), $Q133), 1)"),0.097)</f>
        <v>0.097</v>
      </c>
      <c r="V133" s="20">
        <f>IFERROR(__xludf.DUMMYFUNCTION("iferror(PERCENTRANK.INC(FILTER($Q$2:$Q$428, $O$2:$O$428&gt;=4.1), $Q133), 0.01)"),0.01)</f>
        <v>0.01</v>
      </c>
    </row>
    <row r="134" ht="14.25" customHeight="1">
      <c r="A134" s="14" t="s">
        <v>940</v>
      </c>
      <c r="B134" s="14" t="s">
        <v>525</v>
      </c>
      <c r="C134" s="14">
        <v>21.0</v>
      </c>
      <c r="D134" s="14" t="s">
        <v>803</v>
      </c>
      <c r="E134" s="14" t="s">
        <v>132</v>
      </c>
      <c r="F134" s="14">
        <v>44.0</v>
      </c>
      <c r="G134" s="14">
        <v>248.0</v>
      </c>
      <c r="H134" s="14">
        <v>5.6</v>
      </c>
      <c r="I134" s="14">
        <v>1.0</v>
      </c>
      <c r="J134" s="20">
        <v>1.776</v>
      </c>
      <c r="K134" s="20">
        <f t="shared" si="1"/>
        <v>2.770249925</v>
      </c>
      <c r="L134" s="15"/>
      <c r="M134" s="20">
        <v>1.776</v>
      </c>
      <c r="N134" s="14">
        <v>0.73</v>
      </c>
      <c r="P134" s="14">
        <v>0.95</v>
      </c>
      <c r="Q134" s="20">
        <f t="shared" si="4"/>
        <v>0.12086</v>
      </c>
      <c r="R134" s="20">
        <f t="shared" si="3"/>
        <v>2.210682465</v>
      </c>
      <c r="T134" s="20">
        <f>IFERROR(__xludf.DUMMYFUNCTION("iferror(PERCENTRANK.INC(FILTER($Q$2:$Q$428, $O$2:$O$428&lt;3.75), $Q134), 1)"),0.1)</f>
        <v>0.1</v>
      </c>
      <c r="U134" s="20">
        <f>IFERROR(__xludf.DUMMYFUNCTION("iferror(PERCENTRANK.INC(FILTER($Q$2:$Q$428, $O$2:$O$428&lt;4.25), $Q134), 1)"),0.087)</f>
        <v>0.087</v>
      </c>
      <c r="V134" s="20">
        <f>IFERROR(__xludf.DUMMYFUNCTION("iferror(PERCENTRANK.INC(FILTER($Q$2:$Q$428, $O$2:$O$428&gt;=4.1), $Q134), 0.01)"),0.01)</f>
        <v>0.01</v>
      </c>
    </row>
    <row r="135" ht="14.25" customHeight="1">
      <c r="A135" s="14" t="s">
        <v>941</v>
      </c>
      <c r="B135" s="14" t="s">
        <v>703</v>
      </c>
      <c r="C135" s="14">
        <v>3.0</v>
      </c>
      <c r="D135" s="14" t="s">
        <v>803</v>
      </c>
      <c r="E135" s="14" t="s">
        <v>179</v>
      </c>
      <c r="F135" s="14">
        <v>69.0</v>
      </c>
      <c r="G135" s="14">
        <v>336.0</v>
      </c>
      <c r="H135" s="14">
        <v>4.9</v>
      </c>
      <c r="I135" s="14">
        <v>3.0</v>
      </c>
      <c r="J135" s="20">
        <v>2.23</v>
      </c>
      <c r="K135" s="20">
        <f t="shared" si="1"/>
        <v>9.6055405</v>
      </c>
      <c r="L135" s="15"/>
      <c r="M135" s="20">
        <v>2.23</v>
      </c>
      <c r="N135" s="14">
        <v>0.41</v>
      </c>
      <c r="P135" s="14">
        <v>0.9</v>
      </c>
      <c r="Q135" s="20">
        <f t="shared" si="4"/>
        <v>0.12085</v>
      </c>
      <c r="R135" s="20">
        <f t="shared" si="3"/>
        <v>2.210499553</v>
      </c>
      <c r="T135" s="20">
        <f>IFERROR(__xludf.DUMMYFUNCTION("iferror(PERCENTRANK.INC(FILTER($Q$2:$Q$428, $O$2:$O$428&lt;3.75), $Q135), 1)"),0.089)</f>
        <v>0.089</v>
      </c>
      <c r="U135" s="20">
        <f>IFERROR(__xludf.DUMMYFUNCTION("iferror(PERCENTRANK.INC(FILTER($Q$2:$Q$428, $O$2:$O$428&lt;4.25), $Q135), 1)"),0.078)</f>
        <v>0.078</v>
      </c>
      <c r="V135" s="20">
        <f>IFERROR(__xludf.DUMMYFUNCTION("iferror(PERCENTRANK.INC(FILTER($Q$2:$Q$428, $O$2:$O$428&gt;=4.1), $Q135), 0.01)"),0.01)</f>
        <v>0.01</v>
      </c>
    </row>
    <row r="136" ht="14.25" customHeight="1">
      <c r="A136" s="14" t="s">
        <v>942</v>
      </c>
      <c r="B136" s="14" t="s">
        <v>234</v>
      </c>
      <c r="C136" s="14">
        <v>2.0</v>
      </c>
      <c r="D136" s="14" t="s">
        <v>803</v>
      </c>
      <c r="E136" s="14" t="s">
        <v>182</v>
      </c>
      <c r="F136" s="14">
        <v>61.0</v>
      </c>
      <c r="G136" s="14">
        <v>249.0</v>
      </c>
      <c r="H136" s="14">
        <v>4.1</v>
      </c>
      <c r="I136" s="14">
        <v>6.0</v>
      </c>
      <c r="J136" s="20">
        <v>2.24</v>
      </c>
      <c r="K136" s="20">
        <f t="shared" si="1"/>
        <v>9.756097561</v>
      </c>
      <c r="L136" s="15"/>
      <c r="M136" s="20">
        <v>2.24</v>
      </c>
      <c r="N136" s="14">
        <v>0.17</v>
      </c>
      <c r="P136" s="14">
        <v>1.0</v>
      </c>
      <c r="Q136" s="20">
        <f t="shared" si="4"/>
        <v>0.1205</v>
      </c>
      <c r="R136" s="20">
        <f t="shared" si="3"/>
        <v>2.20409761</v>
      </c>
      <c r="T136" s="20">
        <f>IFERROR(__xludf.DUMMYFUNCTION("iferror(PERCENTRANK.INC(FILTER($Q$2:$Q$428, $O$2:$O$428&lt;3.75), $Q136), 1)"),0.078)</f>
        <v>0.078</v>
      </c>
      <c r="U136" s="20">
        <f>IFERROR(__xludf.DUMMYFUNCTION("iferror(PERCENTRANK.INC(FILTER($Q$2:$Q$428, $O$2:$O$428&lt;4.25), $Q136), 1)"),0.068)</f>
        <v>0.068</v>
      </c>
      <c r="V136" s="20">
        <f>IFERROR(__xludf.DUMMYFUNCTION("iferror(PERCENTRANK.INC(FILTER($Q$2:$Q$428, $O$2:$O$428&gt;=4.1), $Q136), 0.01)"),0.01)</f>
        <v>0.01</v>
      </c>
    </row>
    <row r="137" ht="14.25" customHeight="1">
      <c r="A137" s="14" t="s">
        <v>943</v>
      </c>
      <c r="B137" s="14" t="s">
        <v>449</v>
      </c>
      <c r="C137" s="14">
        <v>1.0</v>
      </c>
      <c r="D137" s="14" t="s">
        <v>803</v>
      </c>
      <c r="E137" s="14" t="s">
        <v>172</v>
      </c>
      <c r="F137" s="14">
        <v>62.0</v>
      </c>
      <c r="G137" s="14">
        <v>260.0</v>
      </c>
      <c r="H137" s="14">
        <v>4.2</v>
      </c>
      <c r="I137" s="14">
        <v>3.0</v>
      </c>
      <c r="J137" s="20">
        <v>1.9239999999999997</v>
      </c>
      <c r="K137" s="20">
        <f t="shared" si="1"/>
        <v>4.998494429</v>
      </c>
      <c r="L137" s="15"/>
      <c r="M137" s="20">
        <v>1.9239999999999997</v>
      </c>
      <c r="N137" s="14">
        <v>0.49</v>
      </c>
      <c r="O137" s="20">
        <v>3.35</v>
      </c>
      <c r="P137" s="14">
        <v>0.9</v>
      </c>
      <c r="Q137" s="20">
        <f t="shared" si="4"/>
        <v>3.12608</v>
      </c>
      <c r="R137" s="20">
        <f t="shared" si="3"/>
        <v>57.17996228</v>
      </c>
      <c r="T137" s="20">
        <f>IFERROR(__xludf.DUMMYFUNCTION("iferror(PERCENTRANK.INC(FILTER($Q$2:$Q$428, $O$2:$O$428&lt;3.75), $Q137), 1)"),0.9)</f>
        <v>0.9</v>
      </c>
      <c r="U137" s="20">
        <f>IFERROR(__xludf.DUMMYFUNCTION("iferror(PERCENTRANK.INC(FILTER($Q$2:$Q$428, $O$2:$O$428&lt;4.25), $Q137), 1)"),0.786)</f>
        <v>0.786</v>
      </c>
      <c r="V137" s="20">
        <f>IFERROR(__xludf.DUMMYFUNCTION("iferror(PERCENTRANK.INC(FILTER($Q$2:$Q$428, $O$2:$O$428&gt;=4.1), $Q137), 0.01)"),0.02)</f>
        <v>0.02</v>
      </c>
    </row>
    <row r="138" ht="14.25" customHeight="1">
      <c r="A138" s="14" t="s">
        <v>944</v>
      </c>
      <c r="B138" s="14" t="s">
        <v>277</v>
      </c>
      <c r="C138" s="14">
        <v>0.0</v>
      </c>
      <c r="D138" s="14" t="s">
        <v>803</v>
      </c>
      <c r="E138" s="14" t="s">
        <v>132</v>
      </c>
      <c r="F138" s="14">
        <v>58.0</v>
      </c>
      <c r="G138" s="14">
        <v>293.0</v>
      </c>
      <c r="H138" s="14">
        <v>5.0</v>
      </c>
      <c r="I138" s="14">
        <v>3.0</v>
      </c>
      <c r="J138" s="20">
        <v>2.094</v>
      </c>
      <c r="K138" s="20">
        <f t="shared" si="1"/>
        <v>7.557964469</v>
      </c>
      <c r="L138" s="15"/>
      <c r="M138" s="20">
        <v>2.094</v>
      </c>
      <c r="N138" s="14">
        <v>0.09</v>
      </c>
      <c r="P138" s="14">
        <v>0.95</v>
      </c>
      <c r="Q138" s="20">
        <f t="shared" si="4"/>
        <v>0.103965</v>
      </c>
      <c r="R138" s="20">
        <f t="shared" si="3"/>
        <v>1.901651518</v>
      </c>
      <c r="T138" s="20">
        <f>IFERROR(__xludf.DUMMYFUNCTION("iferror(PERCENTRANK.INC(FILTER($Q$2:$Q$428, $O$2:$O$428&lt;3.75), $Q138), 1)"),0.067)</f>
        <v>0.067</v>
      </c>
      <c r="U138" s="20">
        <f>IFERROR(__xludf.DUMMYFUNCTION("iferror(PERCENTRANK.INC(FILTER($Q$2:$Q$428, $O$2:$O$428&lt;4.25), $Q138), 1)"),0.058)</f>
        <v>0.058</v>
      </c>
      <c r="V138" s="20">
        <f>IFERROR(__xludf.DUMMYFUNCTION("iferror(PERCENTRANK.INC(FILTER($Q$2:$Q$428, $O$2:$O$428&gt;=4.1), $Q138), 0.01)"),0.01)</f>
        <v>0.01</v>
      </c>
    </row>
    <row r="139" ht="14.25" customHeight="1">
      <c r="A139" s="14" t="s">
        <v>945</v>
      </c>
      <c r="B139" s="14" t="s">
        <v>475</v>
      </c>
      <c r="C139" s="14">
        <v>13.0</v>
      </c>
      <c r="D139" s="14" t="s">
        <v>803</v>
      </c>
      <c r="E139" s="14" t="s">
        <v>138</v>
      </c>
      <c r="F139" s="14">
        <v>65.0</v>
      </c>
      <c r="G139" s="14">
        <v>336.0</v>
      </c>
      <c r="H139" s="14">
        <v>5.2</v>
      </c>
      <c r="I139" s="14">
        <v>1.0</v>
      </c>
      <c r="J139" s="20">
        <v>2.0140000000000002</v>
      </c>
      <c r="K139" s="20">
        <f t="shared" si="1"/>
        <v>6.35350798</v>
      </c>
      <c r="L139" s="15"/>
      <c r="M139" s="20">
        <v>2.0140000000000002</v>
      </c>
      <c r="N139" s="14">
        <v>0.26</v>
      </c>
      <c r="P139" s="14">
        <v>0.9</v>
      </c>
      <c r="Q139" s="20">
        <f t="shared" si="4"/>
        <v>0.10363</v>
      </c>
      <c r="R139" s="20">
        <f t="shared" si="3"/>
        <v>1.895523944</v>
      </c>
      <c r="T139" s="20">
        <f>IFERROR(__xludf.DUMMYFUNCTION("iferror(PERCENTRANK.INC(FILTER($Q$2:$Q$428, $O$2:$O$428&lt;3.75), $Q139), 1)"),0.056)</f>
        <v>0.056</v>
      </c>
      <c r="U139" s="20">
        <f>IFERROR(__xludf.DUMMYFUNCTION("iferror(PERCENTRANK.INC(FILTER($Q$2:$Q$428, $O$2:$O$428&lt;4.25), $Q139), 1)"),0.049)</f>
        <v>0.049</v>
      </c>
      <c r="V139" s="20">
        <f>IFERROR(__xludf.DUMMYFUNCTION("iferror(PERCENTRANK.INC(FILTER($Q$2:$Q$428, $O$2:$O$428&gt;=4.1), $Q139), 0.01)"),0.01)</f>
        <v>0.01</v>
      </c>
    </row>
    <row r="140" ht="14.25" customHeight="1">
      <c r="A140" s="14" t="s">
        <v>946</v>
      </c>
      <c r="B140" s="14" t="s">
        <v>236</v>
      </c>
      <c r="C140" s="14">
        <v>20.0</v>
      </c>
      <c r="D140" s="14" t="s">
        <v>803</v>
      </c>
      <c r="E140" s="14" t="s">
        <v>132</v>
      </c>
      <c r="F140" s="14">
        <v>45.0</v>
      </c>
      <c r="G140" s="14">
        <v>285.0</v>
      </c>
      <c r="H140" s="14">
        <v>6.3</v>
      </c>
      <c r="I140" s="14">
        <v>1.0</v>
      </c>
      <c r="J140" s="20">
        <v>1.9680000000000002</v>
      </c>
      <c r="K140" s="20">
        <f t="shared" si="1"/>
        <v>5.660945498</v>
      </c>
      <c r="L140" s="15"/>
      <c r="M140" s="20">
        <v>1.9680000000000002</v>
      </c>
      <c r="N140" s="14">
        <v>0.08</v>
      </c>
      <c r="P140" s="14">
        <v>0.95</v>
      </c>
      <c r="Q140" s="20">
        <f t="shared" si="4"/>
        <v>0.09748</v>
      </c>
      <c r="R140" s="20">
        <f t="shared" si="3"/>
        <v>1.783032655</v>
      </c>
      <c r="T140" s="20">
        <f>IFERROR(__xludf.DUMMYFUNCTION("iferror(PERCENTRANK.INC(FILTER($Q$2:$Q$428, $O$2:$O$428&lt;3.75), $Q140), 1)"),0.044)</f>
        <v>0.044</v>
      </c>
      <c r="U140" s="20">
        <f>IFERROR(__xludf.DUMMYFUNCTION("iferror(PERCENTRANK.INC(FILTER($Q$2:$Q$428, $O$2:$O$428&lt;4.25), $Q140), 1)"),0.039)</f>
        <v>0.039</v>
      </c>
      <c r="V140" s="20">
        <f>IFERROR(__xludf.DUMMYFUNCTION("iferror(PERCENTRANK.INC(FILTER($Q$2:$Q$428, $O$2:$O$428&gt;=4.1), $Q140), 0.01)"),0.01)</f>
        <v>0.01</v>
      </c>
    </row>
    <row r="141" ht="14.25" customHeight="1">
      <c r="A141" s="14" t="s">
        <v>947</v>
      </c>
      <c r="B141" s="14" t="s">
        <v>658</v>
      </c>
      <c r="C141" s="14">
        <v>20.0</v>
      </c>
      <c r="D141" s="14" t="s">
        <v>803</v>
      </c>
      <c r="E141" s="14" t="s">
        <v>135</v>
      </c>
      <c r="F141" s="14">
        <v>51.0</v>
      </c>
      <c r="G141" s="14">
        <v>241.0</v>
      </c>
      <c r="H141" s="14">
        <v>4.7</v>
      </c>
      <c r="I141" s="14">
        <v>1.0</v>
      </c>
      <c r="J141" s="20">
        <v>1.66</v>
      </c>
      <c r="K141" s="20">
        <f t="shared" si="1"/>
        <v>1.023788016</v>
      </c>
      <c r="L141" s="15"/>
      <c r="M141" s="20">
        <v>1.66</v>
      </c>
      <c r="N141" s="14">
        <v>0.24</v>
      </c>
      <c r="P141" s="14">
        <v>1.0</v>
      </c>
      <c r="Q141" s="20">
        <f t="shared" si="4"/>
        <v>0.095</v>
      </c>
      <c r="R141" s="20">
        <f t="shared" si="3"/>
        <v>1.737670315</v>
      </c>
      <c r="T141" s="20">
        <f>IFERROR(__xludf.DUMMYFUNCTION("iferror(PERCENTRANK.INC(FILTER($Q$2:$Q$428, $O$2:$O$428&lt;3.75), $Q141), 1)"),0.033)</f>
        <v>0.033</v>
      </c>
      <c r="U141" s="20">
        <f>IFERROR(__xludf.DUMMYFUNCTION("iferror(PERCENTRANK.INC(FILTER($Q$2:$Q$428, $O$2:$O$428&lt;4.25), $Q141), 1)"),0.029)</f>
        <v>0.029</v>
      </c>
      <c r="V141" s="20">
        <f>IFERROR(__xludf.DUMMYFUNCTION("iferror(PERCENTRANK.INC(FILTER($Q$2:$Q$428, $O$2:$O$428&gt;=4.1), $Q141), 0.01)"),0.01)</f>
        <v>0.01</v>
      </c>
    </row>
    <row r="142" ht="14.25" customHeight="1">
      <c r="A142" s="14" t="s">
        <v>948</v>
      </c>
      <c r="B142" s="14" t="s">
        <v>417</v>
      </c>
      <c r="C142" s="14">
        <v>0.0</v>
      </c>
      <c r="D142" s="14" t="s">
        <v>803</v>
      </c>
      <c r="E142" s="14" t="s">
        <v>108</v>
      </c>
      <c r="F142" s="14">
        <v>64.0</v>
      </c>
      <c r="G142" s="14">
        <v>260.0</v>
      </c>
      <c r="H142" s="14">
        <v>4.1</v>
      </c>
      <c r="I142" s="14">
        <v>2.0</v>
      </c>
      <c r="J142" s="20">
        <v>1.8</v>
      </c>
      <c r="K142" s="20">
        <f t="shared" si="1"/>
        <v>3.131586871</v>
      </c>
      <c r="L142" s="15"/>
      <c r="M142" s="20">
        <v>1.8</v>
      </c>
      <c r="N142" s="14">
        <v>0.09</v>
      </c>
      <c r="P142" s="14">
        <v>1.0</v>
      </c>
      <c r="Q142" s="20">
        <f t="shared" si="4"/>
        <v>0.0945</v>
      </c>
      <c r="R142" s="20">
        <f t="shared" si="3"/>
        <v>1.728524681</v>
      </c>
      <c r="T142" s="20">
        <f>IFERROR(__xludf.DUMMYFUNCTION("iferror(PERCENTRANK.INC(FILTER($Q$2:$Q$428, $O$2:$O$428&lt;3.75), $Q142), 1)"),0.022)</f>
        <v>0.022</v>
      </c>
      <c r="U142" s="20">
        <f>IFERROR(__xludf.DUMMYFUNCTION("iferror(PERCENTRANK.INC(FILTER($Q$2:$Q$428, $O$2:$O$428&lt;4.25), $Q142), 1)"),0.019)</f>
        <v>0.019</v>
      </c>
      <c r="V142" s="20">
        <f>IFERROR(__xludf.DUMMYFUNCTION("iferror(PERCENTRANK.INC(FILTER($Q$2:$Q$428, $O$2:$O$428&gt;=4.1), $Q142), 0.01)"),0.01)</f>
        <v>0.01</v>
      </c>
    </row>
    <row r="143" ht="14.25" customHeight="1">
      <c r="A143" s="14" t="s">
        <v>949</v>
      </c>
      <c r="B143" s="14" t="s">
        <v>240</v>
      </c>
      <c r="C143" s="14">
        <v>24.0</v>
      </c>
      <c r="D143" s="14" t="s">
        <v>803</v>
      </c>
      <c r="E143" s="14" t="s">
        <v>108</v>
      </c>
      <c r="F143" s="14">
        <v>53.0</v>
      </c>
      <c r="G143" s="14">
        <v>245.0</v>
      </c>
      <c r="H143" s="14">
        <v>4.6</v>
      </c>
      <c r="I143" s="14">
        <v>2.0</v>
      </c>
      <c r="J143" s="20">
        <v>1.7839999999999998</v>
      </c>
      <c r="K143" s="20">
        <f t="shared" si="1"/>
        <v>2.890695574</v>
      </c>
      <c r="L143" s="15"/>
      <c r="M143" s="20">
        <v>1.7839999999999998</v>
      </c>
      <c r="N143" s="14">
        <v>0.02</v>
      </c>
      <c r="P143" s="14">
        <v>1.0</v>
      </c>
      <c r="Q143" s="20">
        <f t="shared" si="4"/>
        <v>0.0902</v>
      </c>
      <c r="R143" s="20">
        <f t="shared" si="3"/>
        <v>1.649872236</v>
      </c>
      <c r="T143" s="20">
        <f>IFERROR(__xludf.DUMMYFUNCTION("iferror(PERCENTRANK.INC(FILTER($Q$2:$Q$428, $O$2:$O$428&lt;3.75), $Q143), 1)"),0.011)</f>
        <v>0.011</v>
      </c>
      <c r="U143" s="20">
        <f>IFERROR(__xludf.DUMMYFUNCTION("iferror(PERCENTRANK.INC(FILTER($Q$2:$Q$428, $O$2:$O$428&lt;4.25), $Q143), 1)"),0.01)</f>
        <v>0.01</v>
      </c>
      <c r="V143" s="20">
        <f>IFERROR(__xludf.DUMMYFUNCTION("iferror(PERCENTRANK.INC(FILTER($Q$2:$Q$428, $O$2:$O$428&gt;=4.1), $Q143), 0.01)"),0.01)</f>
        <v>0.01</v>
      </c>
    </row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autoFilter ref="$A$1:$Z$143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2.5"/>
    <col customWidth="1" min="3" max="4" width="4.5"/>
    <col customWidth="1" min="5" max="5" width="13.13"/>
    <col customWidth="1" min="6" max="6" width="7.5"/>
    <col customWidth="1" min="7" max="7" width="4.38"/>
    <col customWidth="1" min="8" max="8" width="8.0"/>
    <col customWidth="1" min="9" max="9" width="5.0"/>
    <col customWidth="1" min="10" max="10" width="7.0"/>
    <col customWidth="1" min="11" max="11" width="11.5"/>
    <col customWidth="1" min="12" max="12" width="22.5"/>
    <col customWidth="1" min="13" max="13" width="9.13"/>
    <col customWidth="1" min="14" max="14" width="11.5"/>
    <col customWidth="1" min="15" max="15" width="13.5"/>
    <col customWidth="1" min="16" max="16" width="10.5"/>
    <col customWidth="1" min="17" max="17" width="16.5"/>
    <col customWidth="1" min="18" max="18" width="29.38"/>
    <col customWidth="1" min="19" max="19" width="19.88"/>
    <col customWidth="1" min="20" max="20" width="31.0"/>
    <col customWidth="1" min="21" max="21" width="19.88"/>
    <col customWidth="1" min="22" max="26" width="8.63"/>
  </cols>
  <sheetData>
    <row r="1" ht="14.25" customHeight="1">
      <c r="A1" s="14" t="s">
        <v>71</v>
      </c>
      <c r="B1" s="16" t="s">
        <v>72</v>
      </c>
      <c r="C1" s="14" t="s">
        <v>73</v>
      </c>
      <c r="D1" s="14" t="s">
        <v>74</v>
      </c>
      <c r="E1" s="14" t="s">
        <v>75</v>
      </c>
      <c r="F1" s="14" t="s">
        <v>950</v>
      </c>
      <c r="G1" s="14" t="s">
        <v>951</v>
      </c>
      <c r="H1" s="14" t="s">
        <v>952</v>
      </c>
      <c r="I1" s="14" t="s">
        <v>953</v>
      </c>
      <c r="J1" s="14" t="s">
        <v>954</v>
      </c>
      <c r="K1" s="14" t="s">
        <v>86</v>
      </c>
      <c r="L1" s="14" t="s">
        <v>87</v>
      </c>
      <c r="M1" s="15"/>
      <c r="N1" s="20" t="s">
        <v>86</v>
      </c>
      <c r="O1" s="14" t="s">
        <v>88</v>
      </c>
      <c r="P1" s="14" t="s">
        <v>89</v>
      </c>
      <c r="Q1" s="14" t="s">
        <v>955</v>
      </c>
      <c r="R1" s="14" t="s">
        <v>956</v>
      </c>
      <c r="S1" s="14" t="s">
        <v>92</v>
      </c>
      <c r="T1" s="14" t="s">
        <v>93</v>
      </c>
      <c r="U1" s="14" t="s">
        <v>957</v>
      </c>
      <c r="W1" s="16" t="s">
        <v>94</v>
      </c>
      <c r="X1" s="16" t="s">
        <v>95</v>
      </c>
      <c r="Y1" s="16" t="s">
        <v>96</v>
      </c>
    </row>
    <row r="2" ht="14.25" customHeight="1">
      <c r="A2" s="16" t="s">
        <v>958</v>
      </c>
      <c r="B2" s="16" t="s">
        <v>680</v>
      </c>
      <c r="C2" s="16">
        <v>12.0</v>
      </c>
      <c r="D2" s="16" t="s">
        <v>959</v>
      </c>
      <c r="E2" s="16" t="s">
        <v>108</v>
      </c>
      <c r="F2" s="16">
        <v>2.0</v>
      </c>
      <c r="G2" s="16">
        <v>1.0</v>
      </c>
      <c r="H2" s="16">
        <v>5.0</v>
      </c>
      <c r="I2" s="16">
        <v>5.0</v>
      </c>
      <c r="J2" s="16">
        <v>0.0</v>
      </c>
      <c r="K2" s="36">
        <v>2.01</v>
      </c>
      <c r="L2" s="36">
        <v>1.75</v>
      </c>
      <c r="M2" s="15"/>
      <c r="N2" s="38">
        <v>1.75</v>
      </c>
      <c r="O2" s="38">
        <v>0.0</v>
      </c>
      <c r="P2" s="16">
        <v>3.97</v>
      </c>
      <c r="Q2" s="16">
        <v>0.0</v>
      </c>
      <c r="R2" s="20">
        <f t="array" ref="R2">XLOOKUP(E2, 'Conference Match'!$A$2:$A$40,'Conference Match'!$C$2:$C$40)</f>
        <v>1</v>
      </c>
      <c r="S2" s="20">
        <f t="shared" ref="S2:S268" si="1">IFERROR((P2*0.5+O2*0.2+R2*N2*0.2+Q2*0.1), 0)</f>
        <v>2.335</v>
      </c>
      <c r="T2" s="20">
        <f t="shared" ref="T2:T268" si="2">100*(S2-MIN($S$3:$S$511))/(MAX($S$3:$S$511) - MIN($S$3:$S$511))</f>
        <v>12.32381117</v>
      </c>
      <c r="U2" s="20">
        <f t="shared" ref="U2:U268" si="3">T2-L2</f>
        <v>10.57381117</v>
      </c>
      <c r="W2" s="20">
        <f>IFERROR(__xludf.DUMMYFUNCTION("iferror(PERCENTRANK.INC(FILTER($S$3:$S$435, $P$3:$P$435&lt;3.75), $S2), 1)"),0.51)</f>
        <v>0.51</v>
      </c>
      <c r="X2" s="20">
        <f>IFERROR(__xludf.DUMMYFUNCTION("iferror(PERCENTRANK.INC(FILTER($S$3:$S$435, $P$3:$P$435&lt;4.5), $S2), 1)"),0.341)</f>
        <v>0.341</v>
      </c>
      <c r="Y2" s="20">
        <f>IFERROR(__xludf.DUMMYFUNCTION("iferror(PERCENTRANK.INC(FILTER($S$3:$S$435, $P$3:$P$435&gt;=4.1), $S2), 0.01)"),0.01)</f>
        <v>0.01</v>
      </c>
    </row>
    <row r="3" ht="14.25" customHeight="1">
      <c r="A3" s="14" t="s">
        <v>960</v>
      </c>
      <c r="B3" s="14" t="s">
        <v>347</v>
      </c>
      <c r="C3" s="14">
        <v>1.0</v>
      </c>
      <c r="D3" s="14" t="s">
        <v>959</v>
      </c>
      <c r="E3" s="14" t="s">
        <v>117</v>
      </c>
      <c r="F3" s="14">
        <v>90.0</v>
      </c>
      <c r="G3" s="14">
        <v>50.0</v>
      </c>
      <c r="H3" s="14">
        <v>723.0</v>
      </c>
      <c r="I3" s="14">
        <v>14.5</v>
      </c>
      <c r="J3" s="14">
        <v>5.0</v>
      </c>
      <c r="K3" s="20">
        <v>7.14602304950312</v>
      </c>
      <c r="L3" s="20">
        <v>61.940393688157975</v>
      </c>
      <c r="M3" s="15"/>
      <c r="N3" s="20">
        <v>7.14602304950312</v>
      </c>
      <c r="O3" s="38">
        <v>10.0</v>
      </c>
      <c r="R3" s="20">
        <f t="array" ref="R3">XLOOKUP(E3, 'Conference Match'!$A$2:$A$40,'Conference Match'!$C$2:$C$40)</f>
        <v>0.95</v>
      </c>
      <c r="S3" s="20">
        <f t="shared" si="1"/>
        <v>3.357744379</v>
      </c>
      <c r="T3" s="20">
        <f t="shared" si="2"/>
        <v>22.51246352</v>
      </c>
      <c r="U3" s="20">
        <f t="shared" si="3"/>
        <v>-39.42793017</v>
      </c>
      <c r="W3" s="20">
        <f>IFERROR(__xludf.DUMMYFUNCTION("iferror(PERCENTRANK.INC(FILTER($S$3:$S$435, $P$3:$P$435&lt;3.75), $S3), 1)"),0.769)</f>
        <v>0.769</v>
      </c>
      <c r="X3" s="20">
        <f>IFERROR(__xludf.DUMMYFUNCTION("iferror(PERCENTRANK.INC(FILTER($S$3:$S$435, $P$3:$P$435&lt;4.5), $S3), 1)"),0.568)</f>
        <v>0.568</v>
      </c>
      <c r="Y3" s="20">
        <f>IFERROR(__xludf.DUMMYFUNCTION("iferror(PERCENTRANK.INC(FILTER($S$3:$S$435, $P$3:$P$435&gt;=4.1), $S3), 0.01)"),0.036)</f>
        <v>0.036</v>
      </c>
    </row>
    <row r="4" ht="14.25" customHeight="1">
      <c r="A4" s="14" t="s">
        <v>961</v>
      </c>
      <c r="B4" s="14" t="s">
        <v>178</v>
      </c>
      <c r="C4" s="16">
        <v>14.0</v>
      </c>
      <c r="D4" s="14" t="s">
        <v>959</v>
      </c>
      <c r="E4" s="14" t="s">
        <v>179</v>
      </c>
      <c r="F4" s="14">
        <v>74.0</v>
      </c>
      <c r="G4" s="14">
        <v>56.0</v>
      </c>
      <c r="H4" s="14">
        <v>860.0</v>
      </c>
      <c r="I4" s="14">
        <v>15.4</v>
      </c>
      <c r="J4" s="14">
        <v>9.0</v>
      </c>
      <c r="K4" s="20">
        <v>8.51247219108906</v>
      </c>
      <c r="L4" s="20">
        <v>66.27408079900574</v>
      </c>
      <c r="M4" s="15"/>
      <c r="N4" s="20">
        <v>8.51247219108906</v>
      </c>
      <c r="O4" s="16">
        <v>10.0</v>
      </c>
      <c r="P4" s="43">
        <v>4.89</v>
      </c>
      <c r="Q4" s="43">
        <v>-7.5</v>
      </c>
      <c r="R4" s="20">
        <f t="array" ref="R4">XLOOKUP(E4, 'Conference Match'!$A$2:$A$40,'Conference Match'!$C$2:$C$40)</f>
        <v>0.9</v>
      </c>
      <c r="S4" s="20">
        <f t="shared" si="1"/>
        <v>5.227244994</v>
      </c>
      <c r="T4" s="20">
        <f t="shared" si="2"/>
        <v>41.1365618</v>
      </c>
      <c r="U4" s="20">
        <f t="shared" si="3"/>
        <v>-25.137519</v>
      </c>
      <c r="W4" s="20">
        <f>IFERROR(__xludf.DUMMYFUNCTION("iferror(PERCENTRANK.INC(FILTER($S$3:$S$435, $P$3:$P$435&lt;3.75), $S4), 1)"),1.0)</f>
        <v>1</v>
      </c>
      <c r="X4" s="20">
        <f>IFERROR(__xludf.DUMMYFUNCTION("iferror(PERCENTRANK.INC(FILTER($S$3:$S$435, $P$3:$P$435&lt;4.5), $S4), 1)"),0.991)</f>
        <v>0.991</v>
      </c>
      <c r="Y4" s="20">
        <f>IFERROR(__xludf.DUMMYFUNCTION("iferror(PERCENTRANK.INC(FILTER($S$3:$S$435, $P$3:$P$435&gt;=4.1), $S4), 0.01)"),0.818)</f>
        <v>0.818</v>
      </c>
    </row>
    <row r="5" ht="14.25" customHeight="1">
      <c r="A5" s="14" t="s">
        <v>962</v>
      </c>
      <c r="B5" s="14" t="s">
        <v>503</v>
      </c>
      <c r="C5" s="14" t="s">
        <v>959</v>
      </c>
      <c r="D5" s="14" t="s">
        <v>959</v>
      </c>
      <c r="E5" s="14" t="s">
        <v>189</v>
      </c>
      <c r="F5" s="14">
        <v>81.0</v>
      </c>
      <c r="G5" s="14">
        <v>52.0</v>
      </c>
      <c r="H5" s="14">
        <v>811.0</v>
      </c>
      <c r="I5" s="14">
        <v>15.6</v>
      </c>
      <c r="J5" s="14">
        <v>5.0</v>
      </c>
      <c r="K5" s="20">
        <v>7.604080131604217</v>
      </c>
      <c r="L5" s="20">
        <v>58.01180456359862</v>
      </c>
      <c r="M5" s="15"/>
      <c r="N5" s="20">
        <v>7.604080131604217</v>
      </c>
      <c r="O5" s="14">
        <v>9.17</v>
      </c>
      <c r="P5" s="14">
        <v>3.69</v>
      </c>
      <c r="Q5" s="14">
        <v>-2.0</v>
      </c>
      <c r="R5" s="20">
        <f t="array" ref="R5">XLOOKUP(E5, 'Conference Match'!$A$2:$A$40,'Conference Match'!$C$2:$C$40)</f>
        <v>0.9</v>
      </c>
      <c r="S5" s="20">
        <f t="shared" si="1"/>
        <v>4.847734424</v>
      </c>
      <c r="T5" s="20">
        <f t="shared" si="2"/>
        <v>37.35585046</v>
      </c>
      <c r="U5" s="20">
        <f t="shared" si="3"/>
        <v>-20.6559541</v>
      </c>
      <c r="W5" s="20">
        <f>IFERROR(__xludf.DUMMYFUNCTION("iferror(PERCENTRANK.INC(FILTER($S$3:$S$435, $P$3:$P$435&lt;3.75), $S5), 1)"),0.993)</f>
        <v>0.993</v>
      </c>
      <c r="X5" s="20">
        <f>IFERROR(__xludf.DUMMYFUNCTION("iferror(PERCENTRANK.INC(FILTER($S$3:$S$435, $P$3:$P$435&lt;4.5), $S5), 1)"),0.955)</f>
        <v>0.955</v>
      </c>
      <c r="Y5" s="20">
        <f>IFERROR(__xludf.DUMMYFUNCTION("iferror(PERCENTRANK.INC(FILTER($S$3:$S$435, $P$3:$P$435&gt;=4.1), $S5), 0.01)"),0.672)</f>
        <v>0.672</v>
      </c>
    </row>
    <row r="6" ht="14.25" customHeight="1">
      <c r="A6" s="17" t="s">
        <v>963</v>
      </c>
      <c r="B6" s="17" t="s">
        <v>154</v>
      </c>
      <c r="C6" s="16">
        <v>86.0</v>
      </c>
      <c r="D6" s="17" t="s">
        <v>959</v>
      </c>
      <c r="E6" s="17" t="s">
        <v>155</v>
      </c>
      <c r="F6" s="18">
        <v>52.0</v>
      </c>
      <c r="G6" s="18">
        <v>30.0</v>
      </c>
      <c r="H6" s="18">
        <v>421.0</v>
      </c>
      <c r="I6" s="18">
        <v>14.0</v>
      </c>
      <c r="J6" s="18">
        <v>3.0</v>
      </c>
      <c r="K6" s="18">
        <v>6.44</v>
      </c>
      <c r="L6" s="22">
        <v>47.46</v>
      </c>
      <c r="M6" s="15"/>
      <c r="N6" s="38">
        <v>6.44</v>
      </c>
      <c r="O6" s="16">
        <v>8.97</v>
      </c>
      <c r="P6" s="16">
        <v>4.13</v>
      </c>
      <c r="Q6" s="16">
        <v>0.0</v>
      </c>
      <c r="R6" s="20">
        <f t="array" ref="R6">XLOOKUP(E6, 'Conference Match'!$A$2:$A$40,'Conference Match'!$C$2:$C$40)</f>
        <v>0.9</v>
      </c>
      <c r="S6" s="20">
        <f t="shared" si="1"/>
        <v>5.0182</v>
      </c>
      <c r="T6" s="20">
        <f t="shared" si="2"/>
        <v>39.05404067</v>
      </c>
      <c r="U6" s="20">
        <f t="shared" si="3"/>
        <v>-8.405959326</v>
      </c>
      <c r="W6" s="20">
        <f>IFERROR(__xludf.DUMMYFUNCTION("iferror(PERCENTRANK.INC(FILTER($S$3:$S$435, $P$3:$P$435&lt;3.75), $S6), 1)"),1.0)</f>
        <v>1</v>
      </c>
      <c r="X6" s="20">
        <f>IFERROR(__xludf.DUMMYFUNCTION("iferror(PERCENTRANK.INC(FILTER($S$3:$S$435, $P$3:$P$435&lt;4.5), $S6), 1)"),0.977)</f>
        <v>0.977</v>
      </c>
      <c r="Y6" s="20">
        <f>IFERROR(__xludf.DUMMYFUNCTION("iferror(PERCENTRANK.INC(FILTER($S$3:$S$435, $P$3:$P$435&gt;=4.1), $S6), 0.01)"),0.714)</f>
        <v>0.714</v>
      </c>
    </row>
    <row r="7" ht="14.25" customHeight="1">
      <c r="A7" s="14" t="s">
        <v>964</v>
      </c>
      <c r="B7" s="14" t="s">
        <v>439</v>
      </c>
      <c r="C7" s="14">
        <v>7.0</v>
      </c>
      <c r="D7" s="14" t="s">
        <v>959</v>
      </c>
      <c r="E7" s="14" t="s">
        <v>147</v>
      </c>
      <c r="F7" s="14">
        <v>78.0</v>
      </c>
      <c r="G7" s="14">
        <v>58.0</v>
      </c>
      <c r="H7" s="14">
        <v>828.0</v>
      </c>
      <c r="I7" s="14">
        <v>14.3</v>
      </c>
      <c r="J7" s="14">
        <v>6.0</v>
      </c>
      <c r="K7" s="20">
        <v>7.551742645799355</v>
      </c>
      <c r="L7" s="20">
        <v>66.78946617339079</v>
      </c>
      <c r="M7" s="15"/>
      <c r="N7" s="20">
        <v>7.551742645799355</v>
      </c>
      <c r="O7" s="14">
        <v>8.66</v>
      </c>
      <c r="P7" s="20">
        <v>4.91</v>
      </c>
      <c r="Q7" s="20">
        <v>5.5</v>
      </c>
      <c r="R7" s="20">
        <f t="array" ref="R7">XLOOKUP(E7, 'Conference Match'!$A$2:$A$40,'Conference Match'!$C$2:$C$40)</f>
        <v>0.95</v>
      </c>
      <c r="S7" s="20">
        <f t="shared" si="1"/>
        <v>6.171831103</v>
      </c>
      <c r="T7" s="20">
        <f t="shared" si="2"/>
        <v>50.54659588</v>
      </c>
      <c r="U7" s="20">
        <f t="shared" si="3"/>
        <v>-16.24287029</v>
      </c>
      <c r="W7" s="20">
        <f>IFERROR(__xludf.DUMMYFUNCTION("iferror(PERCENTRANK.INC(FILTER($S$3:$S$435, $P$3:$P$435&lt;3.75), $S7), 1)"),1.0)</f>
        <v>1</v>
      </c>
      <c r="X7" s="20">
        <f>IFERROR(__xludf.DUMMYFUNCTION("iferror(PERCENTRANK.INC(FILTER($S$3:$S$435, $P$3:$P$435&lt;4.5), $S7), 1)"),1.0)</f>
        <v>1</v>
      </c>
      <c r="Y7" s="20">
        <f>IFERROR(__xludf.DUMMYFUNCTION("iferror(PERCENTRANK.INC(FILTER($S$3:$S$435, $P$3:$P$435&gt;=4.1), $S7), 0.01)"),0.974)</f>
        <v>0.974</v>
      </c>
    </row>
    <row r="8" ht="14.25" customHeight="1">
      <c r="A8" s="14" t="s">
        <v>965</v>
      </c>
      <c r="B8" s="14" t="s">
        <v>305</v>
      </c>
      <c r="C8" s="14">
        <v>10.0</v>
      </c>
      <c r="D8" s="14" t="s">
        <v>959</v>
      </c>
      <c r="E8" s="14" t="s">
        <v>132</v>
      </c>
      <c r="F8" s="14">
        <v>107.0</v>
      </c>
      <c r="G8" s="14">
        <v>57.0</v>
      </c>
      <c r="H8" s="14">
        <v>883.0</v>
      </c>
      <c r="I8" s="14">
        <v>15.5</v>
      </c>
      <c r="J8" s="14">
        <v>8.0</v>
      </c>
      <c r="K8" s="20">
        <v>8.072157144446749</v>
      </c>
      <c r="L8" s="20">
        <v>73.00934721769893</v>
      </c>
      <c r="M8" s="15"/>
      <c r="N8" s="20">
        <v>8.072157144446749</v>
      </c>
      <c r="O8" s="14">
        <v>8.64</v>
      </c>
      <c r="P8" s="44">
        <v>4.36</v>
      </c>
      <c r="Q8" s="44">
        <v>2.5</v>
      </c>
      <c r="R8" s="20">
        <f t="array" ref="R8">XLOOKUP(E8, 'Conference Match'!$A$2:$A$40,'Conference Match'!$C$2:$C$40)</f>
        <v>0.95</v>
      </c>
      <c r="S8" s="20">
        <f t="shared" si="1"/>
        <v>5.691709857</v>
      </c>
      <c r="T8" s="20">
        <f t="shared" si="2"/>
        <v>45.76359384</v>
      </c>
      <c r="U8" s="20">
        <f t="shared" si="3"/>
        <v>-27.24575337</v>
      </c>
      <c r="W8" s="20">
        <f>IFERROR(__xludf.DUMMYFUNCTION("iferror(PERCENTRANK.INC(FILTER($S$3:$S$435, $P$3:$P$435&lt;3.75), $S8), 1)"),1.0)</f>
        <v>1</v>
      </c>
      <c r="X8" s="20">
        <f>IFERROR(__xludf.DUMMYFUNCTION("iferror(PERCENTRANK.INC(FILTER($S$3:$S$435, $P$3:$P$435&lt;4.5), $S8), 1)"),1.0)</f>
        <v>1</v>
      </c>
      <c r="Y8" s="20">
        <f>IFERROR(__xludf.DUMMYFUNCTION("iferror(PERCENTRANK.INC(FILTER($S$3:$S$435, $P$3:$P$435&gt;=4.1), $S8), 0.01)"),0.948)</f>
        <v>0.948</v>
      </c>
    </row>
    <row r="9" ht="14.25" customHeight="1">
      <c r="A9" s="14" t="s">
        <v>966</v>
      </c>
      <c r="B9" s="14" t="s">
        <v>224</v>
      </c>
      <c r="C9" s="16">
        <v>1.0</v>
      </c>
      <c r="D9" s="14" t="s">
        <v>959</v>
      </c>
      <c r="E9" s="14" t="s">
        <v>179</v>
      </c>
      <c r="F9" s="14">
        <v>78.0</v>
      </c>
      <c r="G9" s="14">
        <v>47.0</v>
      </c>
      <c r="H9" s="14">
        <v>873.0</v>
      </c>
      <c r="I9" s="14">
        <v>18.6</v>
      </c>
      <c r="J9" s="14">
        <v>4.0</v>
      </c>
      <c r="K9" s="20">
        <v>8.249178543235253</v>
      </c>
      <c r="L9" s="20">
        <v>63.879294509449394</v>
      </c>
      <c r="M9" s="15"/>
      <c r="N9" s="20">
        <v>8.249178543235253</v>
      </c>
      <c r="O9" s="14">
        <v>8.55</v>
      </c>
      <c r="P9" s="14">
        <v>4.41</v>
      </c>
      <c r="Q9" s="14">
        <v>-2.0</v>
      </c>
      <c r="R9" s="20">
        <f t="array" ref="R9">XLOOKUP(E9, 'Conference Match'!$A$2:$A$40,'Conference Match'!$C$2:$C$40)</f>
        <v>0.9</v>
      </c>
      <c r="S9" s="20">
        <f t="shared" si="1"/>
        <v>5.199852138</v>
      </c>
      <c r="T9" s="20">
        <f t="shared" si="2"/>
        <v>40.86367221</v>
      </c>
      <c r="U9" s="20">
        <f t="shared" si="3"/>
        <v>-23.0156223</v>
      </c>
      <c r="W9" s="20">
        <f>IFERROR(__xludf.DUMMYFUNCTION("iferror(PERCENTRANK.INC(FILTER($S$3:$S$435, $P$3:$P$435&lt;3.75), $S9), 1)"),1.0)</f>
        <v>1</v>
      </c>
      <c r="X9" s="20">
        <f>IFERROR(__xludf.DUMMYFUNCTION("iferror(PERCENTRANK.INC(FILTER($S$3:$S$435, $P$3:$P$435&lt;4.5), $S9), 1)"),0.991)</f>
        <v>0.991</v>
      </c>
      <c r="Y9" s="20">
        <f>IFERROR(__xludf.DUMMYFUNCTION("iferror(PERCENTRANK.INC(FILTER($S$3:$S$435, $P$3:$P$435&gt;=4.1), $S9), 0.01)"),0.805)</f>
        <v>0.805</v>
      </c>
    </row>
    <row r="10" ht="14.25" customHeight="1">
      <c r="A10" s="14" t="s">
        <v>967</v>
      </c>
      <c r="B10" s="14" t="s">
        <v>371</v>
      </c>
      <c r="C10" s="16">
        <v>84.0</v>
      </c>
      <c r="D10" s="14" t="s">
        <v>959</v>
      </c>
      <c r="E10" s="14" t="s">
        <v>127</v>
      </c>
      <c r="F10" s="14">
        <v>61.0</v>
      </c>
      <c r="G10" s="14">
        <v>46.0</v>
      </c>
      <c r="H10" s="14">
        <v>730.0</v>
      </c>
      <c r="I10" s="14">
        <v>15.9</v>
      </c>
      <c r="J10" s="14">
        <v>6.0</v>
      </c>
      <c r="K10" s="20">
        <v>8.004742936405126</v>
      </c>
      <c r="L10" s="20">
        <v>61.656031454348266</v>
      </c>
      <c r="M10" s="15"/>
      <c r="N10" s="20">
        <v>8.004742936405126</v>
      </c>
      <c r="O10" s="14">
        <v>8.48</v>
      </c>
      <c r="P10" s="14">
        <v>4.53</v>
      </c>
      <c r="Q10" s="14">
        <v>-5.0</v>
      </c>
      <c r="R10" s="20">
        <f t="array" ref="R10">XLOOKUP(E10, 'Conference Match'!$A$2:$A$40,'Conference Match'!$C$2:$C$40)</f>
        <v>0.9</v>
      </c>
      <c r="S10" s="20">
        <f t="shared" si="1"/>
        <v>4.901853729</v>
      </c>
      <c r="T10" s="20">
        <f t="shared" si="2"/>
        <v>37.89499083</v>
      </c>
      <c r="U10" s="20">
        <f t="shared" si="3"/>
        <v>-23.76104062</v>
      </c>
      <c r="W10" s="20">
        <f>IFERROR(__xludf.DUMMYFUNCTION("iferror(PERCENTRANK.INC(FILTER($S$3:$S$435, $P$3:$P$435&lt;3.75), $S10), 1)"),0.996)</f>
        <v>0.996</v>
      </c>
      <c r="X10" s="20">
        <f>IFERROR(__xludf.DUMMYFUNCTION("iferror(PERCENTRANK.INC(FILTER($S$3:$S$435, $P$3:$P$435&lt;4.5), $S10), 1)"),0.964)</f>
        <v>0.964</v>
      </c>
      <c r="Y10" s="20">
        <f>IFERROR(__xludf.DUMMYFUNCTION("iferror(PERCENTRANK.INC(FILTER($S$3:$S$435, $P$3:$P$435&gt;=4.1), $S10), 0.01)"),0.701)</f>
        <v>0.701</v>
      </c>
    </row>
    <row r="11" ht="14.25" customHeight="1">
      <c r="A11" s="14" t="s">
        <v>968</v>
      </c>
      <c r="B11" s="14" t="s">
        <v>347</v>
      </c>
      <c r="C11" s="14">
        <v>5.0</v>
      </c>
      <c r="D11" s="14" t="s">
        <v>959</v>
      </c>
      <c r="E11" s="14" t="s">
        <v>117</v>
      </c>
      <c r="F11" s="14">
        <v>60.0</v>
      </c>
      <c r="G11" s="14">
        <v>41.0</v>
      </c>
      <c r="H11" s="14">
        <v>390.0</v>
      </c>
      <c r="I11" s="14">
        <v>9.5</v>
      </c>
      <c r="J11" s="14">
        <v>3.0</v>
      </c>
      <c r="K11" s="20">
        <v>5.234639185793993</v>
      </c>
      <c r="L11" s="20">
        <v>39.09594893656015</v>
      </c>
      <c r="M11" s="15"/>
      <c r="N11" s="20">
        <v>5.234639185793993</v>
      </c>
      <c r="O11" s="20">
        <v>8.2</v>
      </c>
      <c r="P11" s="20">
        <v>3.97</v>
      </c>
      <c r="Q11" s="20">
        <v>-7.0</v>
      </c>
      <c r="R11" s="20">
        <f t="array" ref="R11">XLOOKUP(E11, 'Conference Match'!$A$2:$A$40,'Conference Match'!$C$2:$C$40)</f>
        <v>0.95</v>
      </c>
      <c r="S11" s="20">
        <f t="shared" si="1"/>
        <v>3.919581445</v>
      </c>
      <c r="T11" s="20">
        <f t="shared" si="2"/>
        <v>28.10952439</v>
      </c>
      <c r="U11" s="20">
        <f t="shared" si="3"/>
        <v>-10.98642455</v>
      </c>
      <c r="W11" s="20">
        <f>IFERROR(__xludf.DUMMYFUNCTION("iferror(PERCENTRANK.INC(FILTER($S$3:$S$435, $P$3:$P$435&lt;3.75), $S11), 1)"),0.947)</f>
        <v>0.947</v>
      </c>
      <c r="X11" s="20">
        <f>IFERROR(__xludf.DUMMYFUNCTION("iferror(PERCENTRANK.INC(FILTER($S$3:$S$435, $P$3:$P$435&lt;4.5), $S11), 1)"),0.805)</f>
        <v>0.805</v>
      </c>
      <c r="Y11" s="20">
        <f>IFERROR(__xludf.DUMMYFUNCTION("iferror(PERCENTRANK.INC(FILTER($S$3:$S$435, $P$3:$P$435&gt;=4.1), $S11), 0.01)"),0.201)</f>
        <v>0.201</v>
      </c>
    </row>
    <row r="12" ht="14.25" customHeight="1">
      <c r="A12" s="14" t="s">
        <v>969</v>
      </c>
      <c r="B12" s="14" t="s">
        <v>375</v>
      </c>
      <c r="C12" s="16">
        <v>1.0</v>
      </c>
      <c r="D12" s="14" t="s">
        <v>959</v>
      </c>
      <c r="E12" s="14" t="s">
        <v>105</v>
      </c>
      <c r="F12" s="14">
        <v>63.0</v>
      </c>
      <c r="G12" s="14">
        <v>38.0</v>
      </c>
      <c r="H12" s="14">
        <v>481.0</v>
      </c>
      <c r="I12" s="14">
        <v>12.7</v>
      </c>
      <c r="J12" s="14">
        <v>5.0</v>
      </c>
      <c r="K12" s="20">
        <v>6.544894793461599</v>
      </c>
      <c r="L12" s="20">
        <v>48.37798868327229</v>
      </c>
      <c r="M12" s="15"/>
      <c r="N12" s="20">
        <v>6.544894793461599</v>
      </c>
      <c r="O12" s="14">
        <v>7.65</v>
      </c>
      <c r="P12" s="14">
        <v>4.81</v>
      </c>
      <c r="Q12" s="14">
        <v>2.0</v>
      </c>
      <c r="R12" s="20">
        <f t="array" ref="R12">XLOOKUP(E12, 'Conference Match'!$A$2:$A$40,'Conference Match'!$C$2:$C$40)</f>
        <v>0.9</v>
      </c>
      <c r="S12" s="20">
        <f t="shared" si="1"/>
        <v>5.313081063</v>
      </c>
      <c r="T12" s="20">
        <f t="shared" si="2"/>
        <v>41.99166682</v>
      </c>
      <c r="U12" s="20">
        <f t="shared" si="3"/>
        <v>-6.386321859</v>
      </c>
      <c r="W12" s="20">
        <f>IFERROR(__xludf.DUMMYFUNCTION("iferror(PERCENTRANK.INC(FILTER($S$3:$S$435, $P$3:$P$435&lt;3.75), $S12), 1)"),1.0)</f>
        <v>1</v>
      </c>
      <c r="X12" s="20">
        <f>IFERROR(__xludf.DUMMYFUNCTION("iferror(PERCENTRANK.INC(FILTER($S$3:$S$435, $P$3:$P$435&lt;4.5), $S12), 1)"),0.993)</f>
        <v>0.993</v>
      </c>
      <c r="Y12" s="20">
        <f>IFERROR(__xludf.DUMMYFUNCTION("iferror(PERCENTRANK.INC(FILTER($S$3:$S$435, $P$3:$P$435&gt;=4.1), $S12), 0.01)"),0.844)</f>
        <v>0.844</v>
      </c>
    </row>
    <row r="13" ht="14.25" customHeight="1">
      <c r="A13" s="14" t="s">
        <v>970</v>
      </c>
      <c r="B13" s="14" t="s">
        <v>309</v>
      </c>
      <c r="C13" s="14" t="s">
        <v>959</v>
      </c>
      <c r="D13" s="14" t="s">
        <v>959</v>
      </c>
      <c r="E13" s="14" t="s">
        <v>179</v>
      </c>
      <c r="F13" s="14">
        <v>59.0</v>
      </c>
      <c r="G13" s="14">
        <v>35.0</v>
      </c>
      <c r="H13" s="14">
        <v>601.0</v>
      </c>
      <c r="I13" s="14">
        <v>17.2</v>
      </c>
      <c r="J13" s="14">
        <v>5.0</v>
      </c>
      <c r="K13" s="20">
        <v>7.899969749320108</v>
      </c>
      <c r="L13" s="20">
        <v>60.703067362773815</v>
      </c>
      <c r="M13" s="15"/>
      <c r="N13" s="20">
        <v>7.899969749320108</v>
      </c>
      <c r="O13" s="14">
        <v>7.57</v>
      </c>
      <c r="P13" s="14">
        <v>3.97</v>
      </c>
      <c r="Q13" s="14">
        <v>0.0</v>
      </c>
      <c r="R13" s="20">
        <f t="array" ref="R13">XLOOKUP(E13, 'Conference Match'!$A$2:$A$40,'Conference Match'!$C$2:$C$40)</f>
        <v>0.9</v>
      </c>
      <c r="S13" s="20">
        <f t="shared" si="1"/>
        <v>4.920994555</v>
      </c>
      <c r="T13" s="20">
        <f t="shared" si="2"/>
        <v>38.08567311</v>
      </c>
      <c r="U13" s="20">
        <f t="shared" si="3"/>
        <v>-22.61739426</v>
      </c>
      <c r="W13" s="20">
        <f>IFERROR(__xludf.DUMMYFUNCTION("iferror(PERCENTRANK.INC(FILTER($S$3:$S$435, $P$3:$P$435&lt;3.75), $S13), 1)"),0.997)</f>
        <v>0.997</v>
      </c>
      <c r="X13" s="20">
        <f>IFERROR(__xludf.DUMMYFUNCTION("iferror(PERCENTRANK.INC(FILTER($S$3:$S$435, $P$3:$P$435&lt;4.5), $S13), 1)"),0.968)</f>
        <v>0.968</v>
      </c>
      <c r="Y13" s="20">
        <f>IFERROR(__xludf.DUMMYFUNCTION("iferror(PERCENTRANK.INC(FILTER($S$3:$S$435, $P$3:$P$435&gt;=4.1), $S13), 0.01)"),0.703)</f>
        <v>0.703</v>
      </c>
    </row>
    <row r="14" ht="14.25" customHeight="1">
      <c r="A14" s="14" t="s">
        <v>971</v>
      </c>
      <c r="B14" s="14" t="s">
        <v>384</v>
      </c>
      <c r="C14" s="14" t="s">
        <v>959</v>
      </c>
      <c r="D14" s="14" t="s">
        <v>959</v>
      </c>
      <c r="E14" s="14" t="s">
        <v>124</v>
      </c>
      <c r="F14" s="14">
        <v>82.0</v>
      </c>
      <c r="G14" s="14">
        <v>55.0</v>
      </c>
      <c r="H14" s="14">
        <v>698.0</v>
      </c>
      <c r="I14" s="14">
        <v>12.7</v>
      </c>
      <c r="J14" s="14">
        <v>3.0</v>
      </c>
      <c r="K14" s="20">
        <v>6.340496651753199</v>
      </c>
      <c r="L14" s="20">
        <v>46.51888622727283</v>
      </c>
      <c r="M14" s="15"/>
      <c r="N14" s="20">
        <v>6.340496651753199</v>
      </c>
      <c r="O14" s="14">
        <v>7.57</v>
      </c>
      <c r="P14" s="14">
        <v>3.69</v>
      </c>
      <c r="Q14" s="14">
        <v>-6.0</v>
      </c>
      <c r="R14" s="20">
        <f t="array" ref="R14">XLOOKUP(E14, 'Conference Match'!$A$2:$A$40,'Conference Match'!$C$2:$C$40)</f>
        <v>0.9</v>
      </c>
      <c r="S14" s="20">
        <f t="shared" si="1"/>
        <v>3.900289397</v>
      </c>
      <c r="T14" s="20">
        <f t="shared" si="2"/>
        <v>27.91733563</v>
      </c>
      <c r="U14" s="20">
        <f t="shared" si="3"/>
        <v>-18.6015506</v>
      </c>
      <c r="W14" s="20">
        <f>IFERROR(__xludf.DUMMYFUNCTION("iferror(PERCENTRANK.INC(FILTER($S$3:$S$435, $P$3:$P$435&lt;3.75), $S14), 1)"),0.946)</f>
        <v>0.946</v>
      </c>
      <c r="X14" s="20">
        <f>IFERROR(__xludf.DUMMYFUNCTION("iferror(PERCENTRANK.INC(FILTER($S$3:$S$435, $P$3:$P$435&lt;4.5), $S14), 1)"),0.8)</f>
        <v>0.8</v>
      </c>
      <c r="Y14" s="20">
        <f>IFERROR(__xludf.DUMMYFUNCTION("iferror(PERCENTRANK.INC(FILTER($S$3:$S$435, $P$3:$P$435&gt;=4.1), $S14), 0.01)"),0.196)</f>
        <v>0.196</v>
      </c>
    </row>
    <row r="15" ht="14.25" customHeight="1">
      <c r="A15" s="14" t="s">
        <v>972</v>
      </c>
      <c r="B15" s="14" t="s">
        <v>267</v>
      </c>
      <c r="C15" s="14">
        <v>11.0</v>
      </c>
      <c r="D15" s="14" t="s">
        <v>959</v>
      </c>
      <c r="E15" s="14" t="s">
        <v>117</v>
      </c>
      <c r="F15" s="14">
        <v>72.0</v>
      </c>
      <c r="G15" s="14">
        <v>51.0</v>
      </c>
      <c r="H15" s="14">
        <v>743.0</v>
      </c>
      <c r="I15" s="14">
        <v>14.6</v>
      </c>
      <c r="J15" s="14">
        <v>6.0</v>
      </c>
      <c r="K15" s="20">
        <v>7.560688582179714</v>
      </c>
      <c r="L15" s="20">
        <v>66.89638606178822</v>
      </c>
      <c r="M15" s="15"/>
      <c r="N15" s="20">
        <v>7.560688582179714</v>
      </c>
      <c r="O15" s="14">
        <v>7.55</v>
      </c>
      <c r="P15" s="20">
        <v>4.4</v>
      </c>
      <c r="Q15" s="20">
        <v>-7.0</v>
      </c>
      <c r="R15" s="20">
        <f t="array" ref="R15">XLOOKUP(E15, 'Conference Match'!$A$2:$A$40,'Conference Match'!$C$2:$C$40)</f>
        <v>0.95</v>
      </c>
      <c r="S15" s="20">
        <f t="shared" si="1"/>
        <v>4.446530831</v>
      </c>
      <c r="T15" s="20">
        <f t="shared" si="2"/>
        <v>33.35903169</v>
      </c>
      <c r="U15" s="20">
        <f t="shared" si="3"/>
        <v>-33.53735437</v>
      </c>
      <c r="W15" s="20">
        <f>IFERROR(__xludf.DUMMYFUNCTION("iferror(PERCENTRANK.INC(FILTER($S$3:$S$435, $P$3:$P$435&lt;3.75), $S15), 1)"),0.975)</f>
        <v>0.975</v>
      </c>
      <c r="X15" s="20">
        <f>IFERROR(__xludf.DUMMYFUNCTION("iferror(PERCENTRANK.INC(FILTER($S$3:$S$435, $P$3:$P$435&lt;4.5), $S15), 1)"),0.9)</f>
        <v>0.9</v>
      </c>
      <c r="Y15" s="20">
        <f>IFERROR(__xludf.DUMMYFUNCTION("iferror(PERCENTRANK.INC(FILTER($S$3:$S$435, $P$3:$P$435&gt;=4.1), $S15), 0.01)"),0.403)</f>
        <v>0.403</v>
      </c>
    </row>
    <row r="16" ht="14.25" customHeight="1">
      <c r="A16" s="14" t="s">
        <v>973</v>
      </c>
      <c r="B16" s="14" t="s">
        <v>116</v>
      </c>
      <c r="C16" s="14">
        <v>2.0</v>
      </c>
      <c r="D16" s="14" t="s">
        <v>959</v>
      </c>
      <c r="E16" s="14" t="s">
        <v>117</v>
      </c>
      <c r="F16" s="14">
        <v>44.0</v>
      </c>
      <c r="G16" s="14">
        <v>24.0</v>
      </c>
      <c r="H16" s="14">
        <v>540.0</v>
      </c>
      <c r="I16" s="14">
        <v>22.5</v>
      </c>
      <c r="J16" s="14">
        <v>4.0</v>
      </c>
      <c r="K16" s="20">
        <v>9.120968235055976</v>
      </c>
      <c r="L16" s="20">
        <v>85.5445095517531</v>
      </c>
      <c r="M16" s="15"/>
      <c r="N16" s="20">
        <v>9.120968235055976</v>
      </c>
      <c r="O16" s="14">
        <v>7.26</v>
      </c>
      <c r="P16" s="20">
        <v>3.26</v>
      </c>
      <c r="Q16" s="14">
        <v>-2.0</v>
      </c>
      <c r="R16" s="20">
        <f t="array" ref="R16">XLOOKUP(E16, 'Conference Match'!$A$2:$A$40,'Conference Match'!$C$2:$C$40)</f>
        <v>0.95</v>
      </c>
      <c r="S16" s="20">
        <f t="shared" si="1"/>
        <v>4.614983965</v>
      </c>
      <c r="T16" s="20">
        <f t="shared" si="2"/>
        <v>35.03717381</v>
      </c>
      <c r="U16" s="20">
        <f t="shared" si="3"/>
        <v>-50.50733574</v>
      </c>
      <c r="W16" s="20">
        <f>IFERROR(__xludf.DUMMYFUNCTION("iferror(PERCENTRANK.INC(FILTER($S$3:$S$435, $P$3:$P$435&lt;3.75), $S16), 1)"),0.98)</f>
        <v>0.98</v>
      </c>
      <c r="X16" s="20">
        <f>IFERROR(__xludf.DUMMYFUNCTION("iferror(PERCENTRANK.INC(FILTER($S$3:$S$435, $P$3:$P$435&lt;4.5), $S16), 1)"),0.941)</f>
        <v>0.941</v>
      </c>
      <c r="Y16" s="20">
        <f>IFERROR(__xludf.DUMMYFUNCTION("iferror(PERCENTRANK.INC(FILTER($S$3:$S$435, $P$3:$P$435&gt;=4.1), $S16), 0.01)"),0.555)</f>
        <v>0.555</v>
      </c>
    </row>
    <row r="17" ht="14.25" customHeight="1">
      <c r="A17" s="14" t="s">
        <v>974</v>
      </c>
      <c r="B17" s="14" t="s">
        <v>319</v>
      </c>
      <c r="C17" s="14" t="s">
        <v>959</v>
      </c>
      <c r="D17" s="14" t="s">
        <v>959</v>
      </c>
      <c r="E17" s="14" t="s">
        <v>127</v>
      </c>
      <c r="F17" s="14">
        <v>56.0</v>
      </c>
      <c r="G17" s="14">
        <v>35.0</v>
      </c>
      <c r="H17" s="14">
        <v>624.0</v>
      </c>
      <c r="I17" s="14">
        <v>17.8</v>
      </c>
      <c r="J17" s="14">
        <v>6.0</v>
      </c>
      <c r="K17" s="20">
        <v>8.335603658027807</v>
      </c>
      <c r="L17" s="20">
        <v>64.66537378506284</v>
      </c>
      <c r="M17" s="15"/>
      <c r="N17" s="20">
        <v>8.335603658027807</v>
      </c>
      <c r="O17" s="14">
        <v>6.78</v>
      </c>
      <c r="P17" s="14">
        <v>4.41</v>
      </c>
      <c r="Q17" s="14">
        <v>-2.0</v>
      </c>
      <c r="R17" s="20">
        <f t="array" ref="R17">XLOOKUP(E17, 'Conference Match'!$A$2:$A$40,'Conference Match'!$C$2:$C$40)</f>
        <v>0.9</v>
      </c>
      <c r="S17" s="20">
        <f t="shared" si="1"/>
        <v>4.861408658</v>
      </c>
      <c r="T17" s="20">
        <f t="shared" si="2"/>
        <v>37.49207416</v>
      </c>
      <c r="U17" s="20">
        <f t="shared" si="3"/>
        <v>-27.17329962</v>
      </c>
      <c r="W17" s="20">
        <f>IFERROR(__xludf.DUMMYFUNCTION("iferror(PERCENTRANK.INC(FILTER($S$3:$S$435, $P$3:$P$435&lt;3.75), $S17), 1)"),0.994)</f>
        <v>0.994</v>
      </c>
      <c r="X17" s="20">
        <f>IFERROR(__xludf.DUMMYFUNCTION("iferror(PERCENTRANK.INC(FILTER($S$3:$S$435, $P$3:$P$435&lt;4.5), $S17), 1)"),0.959)</f>
        <v>0.959</v>
      </c>
      <c r="Y17" s="20">
        <f>IFERROR(__xludf.DUMMYFUNCTION("iferror(PERCENTRANK.INC(FILTER($S$3:$S$435, $P$3:$P$435&gt;=4.1), $S17), 0.01)"),0.675)</f>
        <v>0.675</v>
      </c>
    </row>
    <row r="18" ht="14.25" customHeight="1">
      <c r="A18" s="14" t="s">
        <v>975</v>
      </c>
      <c r="B18" s="14" t="s">
        <v>357</v>
      </c>
      <c r="C18" s="16">
        <v>20.0</v>
      </c>
      <c r="D18" s="14" t="s">
        <v>959</v>
      </c>
      <c r="E18" s="14" t="s">
        <v>121</v>
      </c>
      <c r="F18" s="14">
        <v>58.0</v>
      </c>
      <c r="G18" s="14">
        <v>34.0</v>
      </c>
      <c r="H18" s="14">
        <v>639.0</v>
      </c>
      <c r="I18" s="14">
        <v>18.8</v>
      </c>
      <c r="J18" s="14">
        <v>7.0</v>
      </c>
      <c r="K18" s="20">
        <v>8.775413967435968</v>
      </c>
      <c r="L18" s="20">
        <v>68.66566664272045</v>
      </c>
      <c r="M18" s="15"/>
      <c r="N18" s="20">
        <v>8.775413967435968</v>
      </c>
      <c r="O18" s="14">
        <v>6.76</v>
      </c>
      <c r="P18" s="14">
        <v>3.66</v>
      </c>
      <c r="Q18" s="14">
        <v>0.0</v>
      </c>
      <c r="R18" s="20">
        <f t="array" ref="R18">XLOOKUP(E18, 'Conference Match'!$A$2:$A$40,'Conference Match'!$C$2:$C$40)</f>
        <v>0.9</v>
      </c>
      <c r="S18" s="20">
        <f t="shared" si="1"/>
        <v>4.761574514</v>
      </c>
      <c r="T18" s="20">
        <f t="shared" si="2"/>
        <v>36.49751931</v>
      </c>
      <c r="U18" s="20">
        <f t="shared" si="3"/>
        <v>-32.16814734</v>
      </c>
      <c r="W18" s="20">
        <f>IFERROR(__xludf.DUMMYFUNCTION("iferror(PERCENTRANK.INC(FILTER($S$3:$S$435, $P$3:$P$435&lt;3.75), $S18), 1)"),0.986)</f>
        <v>0.986</v>
      </c>
      <c r="X18" s="20">
        <f>IFERROR(__xludf.DUMMYFUNCTION("iferror(PERCENTRANK.INC(FILTER($S$3:$S$435, $P$3:$P$435&lt;4.5), $S18), 1)"),0.95)</f>
        <v>0.95</v>
      </c>
      <c r="Y18" s="20">
        <f>IFERROR(__xludf.DUMMYFUNCTION("iferror(PERCENTRANK.INC(FILTER($S$3:$S$435, $P$3:$P$435&gt;=4.1), $S18), 0.01)"),0.644)</f>
        <v>0.644</v>
      </c>
    </row>
    <row r="19" ht="14.25" customHeight="1">
      <c r="A19" s="14" t="s">
        <v>976</v>
      </c>
      <c r="B19" s="14" t="s">
        <v>357</v>
      </c>
      <c r="C19" s="14" t="s">
        <v>959</v>
      </c>
      <c r="D19" s="14" t="s">
        <v>959</v>
      </c>
      <c r="E19" s="14" t="s">
        <v>121</v>
      </c>
      <c r="F19" s="14">
        <v>59.0</v>
      </c>
      <c r="G19" s="14">
        <v>34.0</v>
      </c>
      <c r="H19" s="14">
        <v>481.0</v>
      </c>
      <c r="I19" s="14">
        <v>14.2</v>
      </c>
      <c r="J19" s="14">
        <v>2.0</v>
      </c>
      <c r="K19" s="20">
        <v>6.34234263067604</v>
      </c>
      <c r="L19" s="20">
        <v>46.535676320962</v>
      </c>
      <c r="M19" s="15"/>
      <c r="N19" s="20">
        <v>6.34234263067604</v>
      </c>
      <c r="O19" s="14">
        <v>6.67</v>
      </c>
      <c r="P19" s="20">
        <v>3.9</v>
      </c>
      <c r="Q19" s="20">
        <v>-6.5</v>
      </c>
      <c r="R19" s="20">
        <f t="array" ref="R19">XLOOKUP(E19, 'Conference Match'!$A$2:$A$40,'Conference Match'!$C$2:$C$40)</f>
        <v>0.9</v>
      </c>
      <c r="S19" s="20">
        <f t="shared" si="1"/>
        <v>3.775621674</v>
      </c>
      <c r="T19" s="20">
        <f t="shared" si="2"/>
        <v>26.67538689</v>
      </c>
      <c r="U19" s="20">
        <f t="shared" si="3"/>
        <v>-19.86028944</v>
      </c>
      <c r="W19" s="20">
        <f>IFERROR(__xludf.DUMMYFUNCTION("iferror(PERCENTRANK.INC(FILTER($S$3:$S$435, $P$3:$P$435&lt;3.75), $S19), 1)"),0.899)</f>
        <v>0.899</v>
      </c>
      <c r="X19" s="20">
        <f>IFERROR(__xludf.DUMMYFUNCTION("iferror(PERCENTRANK.INC(FILTER($S$3:$S$435, $P$3:$P$435&lt;4.5), $S19), 1)"),0.732)</f>
        <v>0.732</v>
      </c>
      <c r="Y19" s="20">
        <f>IFERROR(__xludf.DUMMYFUNCTION("iferror(PERCENTRANK.INC(FILTER($S$3:$S$435, $P$3:$P$435&gt;=4.1), $S19), 0.01)"),0.165)</f>
        <v>0.165</v>
      </c>
    </row>
    <row r="20" ht="14.25" customHeight="1">
      <c r="A20" s="14" t="s">
        <v>977</v>
      </c>
      <c r="B20" s="14" t="s">
        <v>315</v>
      </c>
      <c r="C20" s="16">
        <v>2.0</v>
      </c>
      <c r="D20" s="14" t="s">
        <v>959</v>
      </c>
      <c r="E20" s="14" t="s">
        <v>179</v>
      </c>
      <c r="F20" s="14">
        <v>35.0</v>
      </c>
      <c r="G20" s="14">
        <v>19.0</v>
      </c>
      <c r="H20" s="14">
        <v>453.0</v>
      </c>
      <c r="I20" s="14">
        <v>23.8</v>
      </c>
      <c r="J20" s="14">
        <v>3.0</v>
      </c>
      <c r="K20" s="20">
        <v>9.234231628459638</v>
      </c>
      <c r="L20" s="20">
        <v>72.83884078870626</v>
      </c>
      <c r="M20" s="15"/>
      <c r="N20" s="20">
        <v>9.234231628459638</v>
      </c>
      <c r="O20" s="14">
        <v>6.66</v>
      </c>
      <c r="P20" s="45">
        <v>5.4</v>
      </c>
      <c r="Q20" s="45">
        <v>1.0</v>
      </c>
      <c r="R20" s="20">
        <f t="array" ref="R20">XLOOKUP(E20, 'Conference Match'!$A$2:$A$40,'Conference Match'!$C$2:$C$40)</f>
        <v>0.9</v>
      </c>
      <c r="S20" s="20">
        <f t="shared" si="1"/>
        <v>5.794161693</v>
      </c>
      <c r="T20" s="20">
        <f t="shared" si="2"/>
        <v>46.78422633</v>
      </c>
      <c r="U20" s="20">
        <f t="shared" si="3"/>
        <v>-26.05461446</v>
      </c>
      <c r="W20" s="20">
        <f>IFERROR(__xludf.DUMMYFUNCTION("iferror(PERCENTRANK.INC(FILTER($S$3:$S$435, $P$3:$P$435&lt;3.75), $S20), 1)"),1.0)</f>
        <v>1</v>
      </c>
      <c r="X20" s="20">
        <f>IFERROR(__xludf.DUMMYFUNCTION("iferror(PERCENTRANK.INC(FILTER($S$3:$S$435, $P$3:$P$435&lt;4.5), $S20), 1)"),1.0)</f>
        <v>1</v>
      </c>
      <c r="Y20" s="20">
        <f>IFERROR(__xludf.DUMMYFUNCTION("iferror(PERCENTRANK.INC(FILTER($S$3:$S$435, $P$3:$P$435&gt;=4.1), $S20), 0.01)"),0.961)</f>
        <v>0.961</v>
      </c>
    </row>
    <row r="21" ht="14.25" customHeight="1">
      <c r="A21" s="14" t="s">
        <v>978</v>
      </c>
      <c r="B21" s="14" t="s">
        <v>140</v>
      </c>
      <c r="C21" s="16">
        <v>17.0</v>
      </c>
      <c r="D21" s="14" t="s">
        <v>959</v>
      </c>
      <c r="E21" s="14" t="s">
        <v>102</v>
      </c>
      <c r="F21" s="14">
        <v>67.0</v>
      </c>
      <c r="G21" s="14">
        <v>48.0</v>
      </c>
      <c r="H21" s="14">
        <v>733.0</v>
      </c>
      <c r="I21" s="14">
        <v>15.3</v>
      </c>
      <c r="J21" s="14">
        <v>9.0</v>
      </c>
      <c r="K21" s="20">
        <v>8.374962025169847</v>
      </c>
      <c r="L21" s="20">
        <v>65.02335765128744</v>
      </c>
      <c r="M21" s="15"/>
      <c r="N21" s="20">
        <v>8.374962025169847</v>
      </c>
      <c r="O21" s="14">
        <v>6.61</v>
      </c>
      <c r="P21" s="20">
        <v>4.69</v>
      </c>
      <c r="Q21" s="20">
        <v>-5.0</v>
      </c>
      <c r="R21" s="20">
        <f t="array" ref="R21">XLOOKUP(E21, 'Conference Match'!$A$2:$A$40,'Conference Match'!$C$2:$C$40)</f>
        <v>0.9</v>
      </c>
      <c r="S21" s="20">
        <f t="shared" si="1"/>
        <v>4.674493165</v>
      </c>
      <c r="T21" s="20">
        <f t="shared" si="2"/>
        <v>35.6300087</v>
      </c>
      <c r="U21" s="20">
        <f t="shared" si="3"/>
        <v>-29.39334895</v>
      </c>
      <c r="W21" s="20">
        <f>IFERROR(__xludf.DUMMYFUNCTION("iferror(PERCENTRANK.INC(FILTER($S$3:$S$435, $P$3:$P$435&lt;3.75), $S21), 1)"),0.982)</f>
        <v>0.982</v>
      </c>
      <c r="X21" s="20">
        <f>IFERROR(__xludf.DUMMYFUNCTION("iferror(PERCENTRANK.INC(FILTER($S$3:$S$435, $P$3:$P$435&lt;4.5), $S21), 1)"),0.947)</f>
        <v>0.947</v>
      </c>
      <c r="Y21" s="20">
        <f>IFERROR(__xludf.DUMMYFUNCTION("iferror(PERCENTRANK.INC(FILTER($S$3:$S$435, $P$3:$P$435&gt;=4.1), $S21), 0.01)"),0.597)</f>
        <v>0.597</v>
      </c>
    </row>
    <row r="22" ht="14.25" customHeight="1">
      <c r="A22" s="14" t="s">
        <v>979</v>
      </c>
      <c r="B22" s="14" t="s">
        <v>277</v>
      </c>
      <c r="C22" s="14">
        <v>9.0</v>
      </c>
      <c r="D22" s="14" t="s">
        <v>959</v>
      </c>
      <c r="E22" s="14" t="s">
        <v>132</v>
      </c>
      <c r="F22" s="14">
        <v>46.0</v>
      </c>
      <c r="G22" s="14">
        <v>30.0</v>
      </c>
      <c r="H22" s="14">
        <v>476.0</v>
      </c>
      <c r="I22" s="14">
        <v>15.9</v>
      </c>
      <c r="J22" s="14">
        <v>5.0</v>
      </c>
      <c r="K22" s="20">
        <v>7.520377747555042</v>
      </c>
      <c r="L22" s="20">
        <v>66.414599722603</v>
      </c>
      <c r="M22" s="15"/>
      <c r="N22" s="20">
        <v>7.520377747555042</v>
      </c>
      <c r="O22" s="14">
        <v>6.43</v>
      </c>
      <c r="P22" s="20">
        <v>4.76</v>
      </c>
      <c r="Q22" s="20">
        <v>5.5</v>
      </c>
      <c r="R22" s="20">
        <f t="array" ref="R22">XLOOKUP(E22, 'Conference Match'!$A$2:$A$40,'Conference Match'!$C$2:$C$40)</f>
        <v>0.95</v>
      </c>
      <c r="S22" s="20">
        <f t="shared" si="1"/>
        <v>5.644871772</v>
      </c>
      <c r="T22" s="20">
        <f t="shared" si="2"/>
        <v>45.2969895</v>
      </c>
      <c r="U22" s="20">
        <f t="shared" si="3"/>
        <v>-21.11761022</v>
      </c>
      <c r="W22" s="20">
        <f>IFERROR(__xludf.DUMMYFUNCTION("iferror(PERCENTRANK.INC(FILTER($S$3:$S$435, $P$3:$P$435&lt;3.75), $S22), 1)"),1.0)</f>
        <v>1</v>
      </c>
      <c r="X22" s="20">
        <f>IFERROR(__xludf.DUMMYFUNCTION("iferror(PERCENTRANK.INC(FILTER($S$3:$S$435, $P$3:$P$435&lt;4.5), $S22), 1)"),0.999)</f>
        <v>0.999</v>
      </c>
      <c r="Y22" s="20">
        <f>IFERROR(__xludf.DUMMYFUNCTION("iferror(PERCENTRANK.INC(FILTER($S$3:$S$435, $P$3:$P$435&gt;=4.1), $S22), 0.01)"),0.935)</f>
        <v>0.935</v>
      </c>
    </row>
    <row r="23" ht="14.25" customHeight="1">
      <c r="A23" s="14" t="s">
        <v>980</v>
      </c>
      <c r="B23" s="14" t="s">
        <v>277</v>
      </c>
      <c r="C23" s="14">
        <v>5.0</v>
      </c>
      <c r="D23" s="14" t="s">
        <v>959</v>
      </c>
      <c r="E23" s="14" t="s">
        <v>132</v>
      </c>
      <c r="F23" s="14">
        <v>82.0</v>
      </c>
      <c r="G23" s="14">
        <v>50.0</v>
      </c>
      <c r="H23" s="14">
        <v>499.0</v>
      </c>
      <c r="I23" s="14">
        <v>10.0</v>
      </c>
      <c r="J23" s="14">
        <v>6.0</v>
      </c>
      <c r="K23" s="20">
        <v>6.007569822484907</v>
      </c>
      <c r="L23" s="20">
        <v>48.33384801165142</v>
      </c>
      <c r="M23" s="15"/>
      <c r="N23" s="20">
        <v>6.007569822484907</v>
      </c>
      <c r="O23" s="14">
        <v>6.43</v>
      </c>
      <c r="P23" s="20">
        <v>4.4</v>
      </c>
      <c r="Q23" s="20">
        <v>5.5</v>
      </c>
      <c r="R23" s="20">
        <f t="array" ref="R23">XLOOKUP(E23, 'Conference Match'!$A$2:$A$40,'Conference Match'!$C$2:$C$40)</f>
        <v>0.95</v>
      </c>
      <c r="S23" s="20">
        <f t="shared" si="1"/>
        <v>5.177438266</v>
      </c>
      <c r="T23" s="20">
        <f t="shared" si="2"/>
        <v>40.64038362</v>
      </c>
      <c r="U23" s="20">
        <f t="shared" si="3"/>
        <v>-7.693464388</v>
      </c>
      <c r="W23" s="20">
        <f>IFERROR(__xludf.DUMMYFUNCTION("iferror(PERCENTRANK.INC(FILTER($S$3:$S$435, $P$3:$P$435&lt;3.75), $S23), 1)"),1.0)</f>
        <v>1</v>
      </c>
      <c r="X23" s="20">
        <f>IFERROR(__xludf.DUMMYFUNCTION("iferror(PERCENTRANK.INC(FILTER($S$3:$S$435, $P$3:$P$435&lt;4.5), $S23), 1)"),0.986)</f>
        <v>0.986</v>
      </c>
      <c r="Y23" s="20">
        <f>IFERROR(__xludf.DUMMYFUNCTION("iferror(PERCENTRANK.INC(FILTER($S$3:$S$435, $P$3:$P$435&gt;=4.1), $S23), 0.01)"),0.779)</f>
        <v>0.779</v>
      </c>
    </row>
    <row r="24" ht="14.25" customHeight="1">
      <c r="A24" s="14" t="s">
        <v>981</v>
      </c>
      <c r="B24" s="14" t="s">
        <v>255</v>
      </c>
      <c r="C24" s="14" t="s">
        <v>959</v>
      </c>
      <c r="D24" s="14" t="s">
        <v>959</v>
      </c>
      <c r="E24" s="14" t="s">
        <v>124</v>
      </c>
      <c r="F24" s="14">
        <v>47.0</v>
      </c>
      <c r="G24" s="14">
        <v>26.0</v>
      </c>
      <c r="H24" s="14">
        <v>487.0</v>
      </c>
      <c r="I24" s="14">
        <v>18.7</v>
      </c>
      <c r="J24" s="14">
        <v>5.0</v>
      </c>
      <c r="K24" s="20">
        <v>8.204388438924145</v>
      </c>
      <c r="L24" s="20">
        <v>63.47190630017669</v>
      </c>
      <c r="M24" s="15"/>
      <c r="N24" s="20">
        <v>8.204388438924145</v>
      </c>
      <c r="O24" s="14">
        <v>6.41</v>
      </c>
      <c r="P24" s="14">
        <v>3.31</v>
      </c>
      <c r="Q24" s="14">
        <v>-0.5</v>
      </c>
      <c r="R24" s="20">
        <f t="array" ref="R24">XLOOKUP(E24, 'Conference Match'!$A$2:$A$40,'Conference Match'!$C$2:$C$40)</f>
        <v>0.9</v>
      </c>
      <c r="S24" s="20">
        <f t="shared" si="1"/>
        <v>4.363789919</v>
      </c>
      <c r="T24" s="20">
        <f t="shared" si="2"/>
        <v>32.53476084</v>
      </c>
      <c r="U24" s="20">
        <f t="shared" si="3"/>
        <v>-30.93714546</v>
      </c>
      <c r="W24" s="20">
        <f>IFERROR(__xludf.DUMMYFUNCTION("iferror(PERCENTRANK.INC(FILTER($S$3:$S$435, $P$3:$P$435&lt;3.75), $S24), 1)"),0.973)</f>
        <v>0.973</v>
      </c>
      <c r="X24" s="20">
        <f>IFERROR(__xludf.DUMMYFUNCTION("iferror(PERCENTRANK.INC(FILTER($S$3:$S$435, $P$3:$P$435&lt;4.5), $S24), 1)"),0.886)</f>
        <v>0.886</v>
      </c>
      <c r="Y24" s="20">
        <f>IFERROR(__xludf.DUMMYFUNCTION("iferror(PERCENTRANK.INC(FILTER($S$3:$S$435, $P$3:$P$435&gt;=4.1), $S24), 0.01)"),0.358)</f>
        <v>0.358</v>
      </c>
    </row>
    <row r="25" ht="14.25" customHeight="1">
      <c r="A25" s="14" t="s">
        <v>982</v>
      </c>
      <c r="B25" s="14" t="s">
        <v>531</v>
      </c>
      <c r="C25" s="14" t="s">
        <v>959</v>
      </c>
      <c r="D25" s="14" t="s">
        <v>959</v>
      </c>
      <c r="E25" s="14" t="s">
        <v>114</v>
      </c>
      <c r="F25" s="14">
        <v>34.0</v>
      </c>
      <c r="G25" s="14">
        <v>26.0</v>
      </c>
      <c r="H25" s="14">
        <v>535.0</v>
      </c>
      <c r="I25" s="14">
        <v>20.6</v>
      </c>
      <c r="J25" s="14">
        <v>5.0</v>
      </c>
      <c r="K25" s="20">
        <v>9.159077703874237</v>
      </c>
      <c r="L25" s="20">
        <v>72.15527857719631</v>
      </c>
      <c r="M25" s="15"/>
      <c r="N25" s="20">
        <v>9.159077703874237</v>
      </c>
      <c r="O25" s="14">
        <v>6.38</v>
      </c>
      <c r="P25" s="20">
        <v>4.03</v>
      </c>
      <c r="Q25" s="20">
        <v>-4.5</v>
      </c>
      <c r="R25" s="20">
        <f t="array" ref="R25">XLOOKUP(E25, 'Conference Match'!$A$2:$A$40,'Conference Match'!$C$2:$C$40)</f>
        <v>0.9</v>
      </c>
      <c r="S25" s="20">
        <f t="shared" si="1"/>
        <v>4.489633987</v>
      </c>
      <c r="T25" s="20">
        <f t="shared" si="2"/>
        <v>33.7884284</v>
      </c>
      <c r="U25" s="20">
        <f t="shared" si="3"/>
        <v>-38.36685017</v>
      </c>
      <c r="W25" s="20">
        <f>IFERROR(__xludf.DUMMYFUNCTION("iferror(PERCENTRANK.INC(FILTER($S$3:$S$435, $P$3:$P$435&lt;3.75), $S25), 1)"),0.976)</f>
        <v>0.976</v>
      </c>
      <c r="X25" s="20">
        <f>IFERROR(__xludf.DUMMYFUNCTION("iferror(PERCENTRANK.INC(FILTER($S$3:$S$435, $P$3:$P$435&lt;4.5), $S25), 1)"),0.909)</f>
        <v>0.909</v>
      </c>
      <c r="Y25" s="20">
        <f>IFERROR(__xludf.DUMMYFUNCTION("iferror(PERCENTRANK.INC(FILTER($S$3:$S$435, $P$3:$P$435&gt;=4.1), $S25), 0.01)"),0.46)</f>
        <v>0.46</v>
      </c>
    </row>
    <row r="26" ht="14.25" customHeight="1">
      <c r="A26" s="14" t="s">
        <v>983</v>
      </c>
      <c r="B26" s="14" t="s">
        <v>146</v>
      </c>
      <c r="C26" s="14">
        <v>2.0</v>
      </c>
      <c r="D26" s="14" t="s">
        <v>959</v>
      </c>
      <c r="E26" s="14" t="s">
        <v>147</v>
      </c>
      <c r="F26" s="14">
        <v>56.0</v>
      </c>
      <c r="G26" s="14">
        <v>36.0</v>
      </c>
      <c r="H26" s="14">
        <v>358.0</v>
      </c>
      <c r="I26" s="14">
        <v>9.9</v>
      </c>
      <c r="J26" s="14">
        <v>0.0</v>
      </c>
      <c r="K26" s="20">
        <v>4.6900679437420925</v>
      </c>
      <c r="L26" s="20">
        <v>32.58735174236681</v>
      </c>
      <c r="M26" s="15"/>
      <c r="N26" s="20">
        <v>4.6900679437420925</v>
      </c>
      <c r="O26" s="20">
        <v>6.34</v>
      </c>
      <c r="P26" s="20">
        <v>3.83</v>
      </c>
      <c r="Q26" s="20">
        <v>-2.0</v>
      </c>
      <c r="R26" s="20">
        <f t="array" ref="R26">XLOOKUP(E26, 'Conference Match'!$A$2:$A$40,'Conference Match'!$C$2:$C$40)</f>
        <v>0.95</v>
      </c>
      <c r="S26" s="20">
        <f t="shared" si="1"/>
        <v>3.874112909</v>
      </c>
      <c r="T26" s="20">
        <f t="shared" si="2"/>
        <v>27.65656359</v>
      </c>
      <c r="U26" s="20">
        <f t="shared" si="3"/>
        <v>-4.930788151</v>
      </c>
      <c r="W26" s="20">
        <f>IFERROR(__xludf.DUMMYFUNCTION("iferror(PERCENTRANK.INC(FILTER($S$3:$S$435, $P$3:$P$435&lt;3.75), $S26), 1)"),0.94)</f>
        <v>0.94</v>
      </c>
      <c r="X26" s="20">
        <f>IFERROR(__xludf.DUMMYFUNCTION("iferror(PERCENTRANK.INC(FILTER($S$3:$S$435, $P$3:$P$435&lt;4.5), $S26), 1)"),0.786)</f>
        <v>0.786</v>
      </c>
      <c r="Y26" s="20">
        <f>IFERROR(__xludf.DUMMYFUNCTION("iferror(PERCENTRANK.INC(FILTER($S$3:$S$435, $P$3:$P$435&gt;=4.1), $S26), 0.01)"),0.192)</f>
        <v>0.192</v>
      </c>
    </row>
    <row r="27" ht="14.25" customHeight="1">
      <c r="A27" s="14" t="s">
        <v>984</v>
      </c>
      <c r="B27" s="14" t="s">
        <v>104</v>
      </c>
      <c r="C27" s="14" t="s">
        <v>959</v>
      </c>
      <c r="D27" s="14" t="s">
        <v>959</v>
      </c>
      <c r="E27" s="14" t="s">
        <v>105</v>
      </c>
      <c r="F27" s="14">
        <v>52.0</v>
      </c>
      <c r="G27" s="14">
        <v>32.0</v>
      </c>
      <c r="H27" s="14">
        <v>513.0</v>
      </c>
      <c r="I27" s="14">
        <v>16.0</v>
      </c>
      <c r="J27" s="14">
        <v>5.0</v>
      </c>
      <c r="K27" s="20">
        <v>7.529986785127859</v>
      </c>
      <c r="L27" s="20">
        <v>57.33788883591099</v>
      </c>
      <c r="M27" s="15"/>
      <c r="N27" s="20">
        <v>7.529986785127859</v>
      </c>
      <c r="O27" s="14">
        <v>6.15</v>
      </c>
      <c r="P27" s="20">
        <v>3.44</v>
      </c>
      <c r="Q27" s="20">
        <v>-5.5</v>
      </c>
      <c r="R27" s="20">
        <f t="array" ref="R27">XLOOKUP(E27, 'Conference Match'!$A$2:$A$40,'Conference Match'!$C$2:$C$40)</f>
        <v>0.9</v>
      </c>
      <c r="S27" s="20">
        <f t="shared" si="1"/>
        <v>3.755397621</v>
      </c>
      <c r="T27" s="20">
        <f t="shared" si="2"/>
        <v>26.47391344</v>
      </c>
      <c r="U27" s="20">
        <f t="shared" si="3"/>
        <v>-30.8639754</v>
      </c>
      <c r="W27" s="20">
        <f>IFERROR(__xludf.DUMMYFUNCTION("iferror(PERCENTRANK.INC(FILTER($S$3:$S$435, $P$3:$P$435&lt;3.75), $S27), 1)"),0.884)</f>
        <v>0.884</v>
      </c>
      <c r="X27" s="20">
        <f>IFERROR(__xludf.DUMMYFUNCTION("iferror(PERCENTRANK.INC(FILTER($S$3:$S$435, $P$3:$P$435&lt;4.5), $S27), 1)"),0.714)</f>
        <v>0.714</v>
      </c>
      <c r="Y27" s="20">
        <f>IFERROR(__xludf.DUMMYFUNCTION("iferror(PERCENTRANK.INC(FILTER($S$3:$S$435, $P$3:$P$435&gt;=4.1), $S27), 0.01)"),0.154)</f>
        <v>0.154</v>
      </c>
    </row>
    <row r="28" ht="14.25" customHeight="1">
      <c r="A28" s="14" t="s">
        <v>985</v>
      </c>
      <c r="B28" s="14" t="s">
        <v>271</v>
      </c>
      <c r="C28" s="16">
        <v>4.0</v>
      </c>
      <c r="D28" s="14" t="s">
        <v>959</v>
      </c>
      <c r="E28" s="14" t="s">
        <v>172</v>
      </c>
      <c r="F28" s="14">
        <v>53.0</v>
      </c>
      <c r="G28" s="14">
        <v>26.0</v>
      </c>
      <c r="H28" s="14">
        <v>474.0</v>
      </c>
      <c r="I28" s="14">
        <v>18.2</v>
      </c>
      <c r="J28" s="14">
        <v>5.0</v>
      </c>
      <c r="K28" s="20">
        <v>7.963125548372967</v>
      </c>
      <c r="L28" s="20">
        <v>61.27750067292242</v>
      </c>
      <c r="M28" s="15"/>
      <c r="N28" s="20">
        <v>7.963125548372967</v>
      </c>
      <c r="O28" s="14">
        <v>6.13</v>
      </c>
      <c r="P28" s="20">
        <v>4.17</v>
      </c>
      <c r="Q28" s="20">
        <v>-1.5</v>
      </c>
      <c r="R28" s="20">
        <f t="array" ref="R28">XLOOKUP(E28, 'Conference Match'!$A$2:$A$40,'Conference Match'!$C$2:$C$40)</f>
        <v>0.9</v>
      </c>
      <c r="S28" s="20">
        <f t="shared" si="1"/>
        <v>4.594362599</v>
      </c>
      <c r="T28" s="20">
        <f t="shared" si="2"/>
        <v>34.8317423</v>
      </c>
      <c r="U28" s="20">
        <f t="shared" si="3"/>
        <v>-26.44575838</v>
      </c>
      <c r="W28" s="20">
        <f>IFERROR(__xludf.DUMMYFUNCTION("iferror(PERCENTRANK.INC(FILTER($S$3:$S$435, $P$3:$P$435&lt;3.75), $S28), 1)"),0.979)</f>
        <v>0.979</v>
      </c>
      <c r="X28" s="20">
        <f>IFERROR(__xludf.DUMMYFUNCTION("iferror(PERCENTRANK.INC(FILTER($S$3:$S$435, $P$3:$P$435&lt;4.5), $S28), 1)"),0.923)</f>
        <v>0.923</v>
      </c>
      <c r="Y28" s="20">
        <f>IFERROR(__xludf.DUMMYFUNCTION("iferror(PERCENTRANK.INC(FILTER($S$3:$S$435, $P$3:$P$435&gt;=4.1), $S28), 0.01)"),0.532)</f>
        <v>0.532</v>
      </c>
    </row>
    <row r="29" ht="14.25" customHeight="1">
      <c r="A29" s="14" t="s">
        <v>986</v>
      </c>
      <c r="B29" s="14" t="s">
        <v>287</v>
      </c>
      <c r="C29" s="14">
        <v>13.0</v>
      </c>
      <c r="D29" s="14" t="s">
        <v>959</v>
      </c>
      <c r="E29" s="14" t="s">
        <v>117</v>
      </c>
      <c r="F29" s="14">
        <v>40.0</v>
      </c>
      <c r="G29" s="14">
        <v>27.0</v>
      </c>
      <c r="H29" s="14">
        <v>437.0</v>
      </c>
      <c r="I29" s="14">
        <v>16.2</v>
      </c>
      <c r="J29" s="14">
        <v>5.0</v>
      </c>
      <c r="K29" s="20">
        <v>7.611000223346507</v>
      </c>
      <c r="L29" s="20">
        <v>67.49769986840718</v>
      </c>
      <c r="M29" s="15"/>
      <c r="N29" s="20">
        <v>7.611000223346507</v>
      </c>
      <c r="O29" s="14">
        <v>6.13</v>
      </c>
      <c r="P29" s="20">
        <v>4.24</v>
      </c>
      <c r="Q29" s="20">
        <v>-3.0</v>
      </c>
      <c r="R29" s="20">
        <f t="array" ref="R29">XLOOKUP(E29, 'Conference Match'!$A$2:$A$40,'Conference Match'!$C$2:$C$40)</f>
        <v>0.95</v>
      </c>
      <c r="S29" s="20">
        <f t="shared" si="1"/>
        <v>4.492090042</v>
      </c>
      <c r="T29" s="20">
        <f t="shared" si="2"/>
        <v>33.81289581</v>
      </c>
      <c r="U29" s="20">
        <f t="shared" si="3"/>
        <v>-33.68480406</v>
      </c>
      <c r="W29" s="20">
        <f>IFERROR(__xludf.DUMMYFUNCTION("iferror(PERCENTRANK.INC(FILTER($S$3:$S$435, $P$3:$P$435&lt;3.75), $S29), 1)"),0.976)</f>
        <v>0.976</v>
      </c>
      <c r="X29" s="20">
        <f>IFERROR(__xludf.DUMMYFUNCTION("iferror(PERCENTRANK.INC(FILTER($S$3:$S$435, $P$3:$P$435&lt;4.5), $S29), 1)"),0.914)</f>
        <v>0.914</v>
      </c>
      <c r="Y29" s="20">
        <f>IFERROR(__xludf.DUMMYFUNCTION("iferror(PERCENTRANK.INC(FILTER($S$3:$S$435, $P$3:$P$435&gt;=4.1), $S29), 0.01)"),0.468)</f>
        <v>0.468</v>
      </c>
    </row>
    <row r="30" ht="14.25" customHeight="1">
      <c r="A30" s="14" t="s">
        <v>987</v>
      </c>
      <c r="B30" s="14" t="s">
        <v>116</v>
      </c>
      <c r="C30" s="14">
        <v>7.0</v>
      </c>
      <c r="D30" s="14" t="s">
        <v>959</v>
      </c>
      <c r="E30" s="14" t="s">
        <v>117</v>
      </c>
      <c r="F30" s="14">
        <v>61.0</v>
      </c>
      <c r="G30" s="14">
        <v>38.0</v>
      </c>
      <c r="H30" s="14">
        <v>518.0</v>
      </c>
      <c r="I30" s="14">
        <v>13.6</v>
      </c>
      <c r="J30" s="14">
        <v>6.0</v>
      </c>
      <c r="K30" s="20">
        <v>7.049415067552667</v>
      </c>
      <c r="L30" s="20">
        <v>60.78575607290272</v>
      </c>
      <c r="M30" s="15"/>
      <c r="N30" s="20">
        <v>7.049415067552667</v>
      </c>
      <c r="O30" s="14">
        <v>6.06</v>
      </c>
      <c r="P30" s="20">
        <v>3.84</v>
      </c>
      <c r="Q30" s="20">
        <v>-2.0</v>
      </c>
      <c r="R30" s="20">
        <f t="array" ref="R30">XLOOKUP(E30, 'Conference Match'!$A$2:$A$40,'Conference Match'!$C$2:$C$40)</f>
        <v>0.95</v>
      </c>
      <c r="S30" s="20">
        <f t="shared" si="1"/>
        <v>4.271388863</v>
      </c>
      <c r="T30" s="20">
        <f t="shared" si="2"/>
        <v>31.61425494</v>
      </c>
      <c r="U30" s="20">
        <f t="shared" si="3"/>
        <v>-29.17150114</v>
      </c>
      <c r="W30" s="20">
        <f>IFERROR(__xludf.DUMMYFUNCTION("iferror(PERCENTRANK.INC(FILTER($S$3:$S$435, $P$3:$P$435&lt;3.75), $S30), 1)"),0.969)</f>
        <v>0.969</v>
      </c>
      <c r="X30" s="20">
        <f>IFERROR(__xludf.DUMMYFUNCTION("iferror(PERCENTRANK.INC(FILTER($S$3:$S$435, $P$3:$P$435&lt;4.5), $S30), 1)"),0.877)</f>
        <v>0.877</v>
      </c>
      <c r="Y30" s="20">
        <f>IFERROR(__xludf.DUMMYFUNCTION("iferror(PERCENTRANK.INC(FILTER($S$3:$S$435, $P$3:$P$435&gt;=4.1), $S30), 0.01)"),0.323)</f>
        <v>0.323</v>
      </c>
    </row>
    <row r="31" ht="14.25" customHeight="1">
      <c r="A31" s="17" t="s">
        <v>988</v>
      </c>
      <c r="B31" s="17" t="s">
        <v>329</v>
      </c>
      <c r="C31" s="18">
        <v>1.0</v>
      </c>
      <c r="D31" s="17" t="s">
        <v>959</v>
      </c>
      <c r="E31" s="17" t="s">
        <v>99</v>
      </c>
      <c r="F31" s="18">
        <v>57.0</v>
      </c>
      <c r="G31" s="18">
        <v>36.0</v>
      </c>
      <c r="H31" s="18">
        <v>577.0</v>
      </c>
      <c r="I31" s="18">
        <v>16.0</v>
      </c>
      <c r="J31" s="18">
        <v>4.0</v>
      </c>
      <c r="K31" s="22">
        <v>7.39</v>
      </c>
      <c r="L31" s="22">
        <v>53.1</v>
      </c>
      <c r="M31" s="15"/>
      <c r="N31" s="38">
        <v>7.39</v>
      </c>
      <c r="O31" s="16">
        <v>10.0</v>
      </c>
      <c r="P31" s="16">
        <v>4.91</v>
      </c>
      <c r="Q31" s="16">
        <v>5.5</v>
      </c>
      <c r="R31" s="20">
        <f t="array" ref="R31">XLOOKUP(E31, 'Conference Match'!$A$2:$A$40,'Conference Match'!$C$2:$C$40)</f>
        <v>1</v>
      </c>
      <c r="S31" s="20">
        <f t="shared" si="1"/>
        <v>6.483</v>
      </c>
      <c r="T31" s="20">
        <f t="shared" si="2"/>
        <v>53.6464826</v>
      </c>
      <c r="U31" s="20">
        <f t="shared" si="3"/>
        <v>0.5464826008</v>
      </c>
      <c r="W31" s="20">
        <f>IFERROR(__xludf.DUMMYFUNCTION("iferror(PERCENTRANK.INC(FILTER($S$3:$S$435, $P$3:$P$435&lt;3.75), $S31), 1)"),1.0)</f>
        <v>1</v>
      </c>
      <c r="X31" s="20">
        <f>IFERROR(__xludf.DUMMYFUNCTION("iferror(PERCENTRANK.INC(FILTER($S$3:$S$435, $P$3:$P$435&lt;4.5), $S31), 1)"),1.0)</f>
        <v>1</v>
      </c>
      <c r="Y31" s="20">
        <f>IFERROR(__xludf.DUMMYFUNCTION("iferror(PERCENTRANK.INC(FILTER($S$3:$S$435, $P$3:$P$435&gt;=4.1), $S31), 0.01)"),0.987)</f>
        <v>0.987</v>
      </c>
    </row>
    <row r="32" ht="14.25" customHeight="1">
      <c r="A32" s="14" t="s">
        <v>989</v>
      </c>
      <c r="B32" s="14" t="s">
        <v>149</v>
      </c>
      <c r="C32" s="14" t="s">
        <v>959</v>
      </c>
      <c r="D32" s="14" t="s">
        <v>959</v>
      </c>
      <c r="E32" s="14" t="s">
        <v>114</v>
      </c>
      <c r="F32" s="14">
        <v>44.0</v>
      </c>
      <c r="G32" s="14">
        <v>29.0</v>
      </c>
      <c r="H32" s="14">
        <v>439.0</v>
      </c>
      <c r="I32" s="14">
        <v>15.1</v>
      </c>
      <c r="J32" s="14">
        <v>6.0</v>
      </c>
      <c r="K32" s="20">
        <v>7.469831871419612</v>
      </c>
      <c r="L32" s="20">
        <v>56.790750066053754</v>
      </c>
      <c r="M32" s="15"/>
      <c r="N32" s="20">
        <v>7.469831871419612</v>
      </c>
      <c r="O32" s="14">
        <v>6.01</v>
      </c>
      <c r="R32" s="20">
        <f t="array" ref="R32">XLOOKUP(E32, 'Conference Match'!$A$2:$A$40,'Conference Match'!$C$2:$C$40)</f>
        <v>0.9</v>
      </c>
      <c r="S32" s="20">
        <f t="shared" si="1"/>
        <v>2.546569737</v>
      </c>
      <c r="T32" s="20">
        <f t="shared" si="2"/>
        <v>14.43148396</v>
      </c>
      <c r="U32" s="20">
        <f t="shared" si="3"/>
        <v>-42.35926611</v>
      </c>
      <c r="W32" s="20">
        <f>IFERROR(__xludf.DUMMYFUNCTION("iferror(PERCENTRANK.INC(FILTER($S$3:$S$435, $P$3:$P$435&lt;3.75), $S32), 1)"),0.531)</f>
        <v>0.531</v>
      </c>
      <c r="X32" s="20">
        <f>IFERROR(__xludf.DUMMYFUNCTION("iferror(PERCENTRANK.INC(FILTER($S$3:$S$435, $P$3:$P$435&lt;4.5), $S32), 1)"),0.355)</f>
        <v>0.355</v>
      </c>
      <c r="Y32" s="20">
        <f>IFERROR(__xludf.DUMMYFUNCTION("iferror(PERCENTRANK.INC(FILTER($S$3:$S$435, $P$3:$P$435&gt;=4.1), $S32), 0.01)"),0.01)</f>
        <v>0.01</v>
      </c>
    </row>
    <row r="33" ht="14.25" customHeight="1">
      <c r="A33" s="14" t="s">
        <v>990</v>
      </c>
      <c r="B33" s="14" t="s">
        <v>379</v>
      </c>
      <c r="C33" s="14" t="s">
        <v>959</v>
      </c>
      <c r="D33" s="14" t="s">
        <v>959</v>
      </c>
      <c r="E33" s="14" t="s">
        <v>138</v>
      </c>
      <c r="F33" s="14">
        <v>70.0</v>
      </c>
      <c r="G33" s="14">
        <v>44.0</v>
      </c>
      <c r="H33" s="14">
        <v>648.0</v>
      </c>
      <c r="I33" s="14">
        <v>14.7</v>
      </c>
      <c r="J33" s="14">
        <v>6.0</v>
      </c>
      <c r="K33" s="20">
        <v>7.449795099821603</v>
      </c>
      <c r="L33" s="20">
        <v>56.608505692514875</v>
      </c>
      <c r="M33" s="15"/>
      <c r="N33" s="20">
        <v>7.449795099821603</v>
      </c>
      <c r="O33" s="14">
        <v>5.97</v>
      </c>
      <c r="P33" s="20">
        <v>3.19</v>
      </c>
      <c r="Q33" s="20">
        <v>-1.5</v>
      </c>
      <c r="R33" s="20">
        <f t="array" ref="R33">XLOOKUP(E33, 'Conference Match'!$A$2:$A$40,'Conference Match'!$C$2:$C$40)</f>
        <v>0.9</v>
      </c>
      <c r="S33" s="20">
        <f t="shared" si="1"/>
        <v>3.979963118</v>
      </c>
      <c r="T33" s="20">
        <f t="shared" si="2"/>
        <v>28.71105091</v>
      </c>
      <c r="U33" s="20">
        <f t="shared" si="3"/>
        <v>-27.89745478</v>
      </c>
      <c r="W33" s="20">
        <f>IFERROR(__xludf.DUMMYFUNCTION("iferror(PERCENTRANK.INC(FILTER($S$3:$S$435, $P$3:$P$435&lt;3.75), $S33), 1)"),0.952)</f>
        <v>0.952</v>
      </c>
      <c r="X33" s="20">
        <f>IFERROR(__xludf.DUMMYFUNCTION("iferror(PERCENTRANK.INC(FILTER($S$3:$S$435, $P$3:$P$435&lt;4.5), $S33), 1)"),0.814)</f>
        <v>0.814</v>
      </c>
      <c r="Y33" s="20">
        <f>IFERROR(__xludf.DUMMYFUNCTION("iferror(PERCENTRANK.INC(FILTER($S$3:$S$435, $P$3:$P$435&gt;=4.1), $S33), 0.01)"),0.215)</f>
        <v>0.215</v>
      </c>
    </row>
    <row r="34" ht="14.25" customHeight="1">
      <c r="A34" s="14" t="s">
        <v>991</v>
      </c>
      <c r="B34" s="14" t="s">
        <v>230</v>
      </c>
      <c r="C34" s="14" t="s">
        <v>959</v>
      </c>
      <c r="D34" s="14" t="s">
        <v>959</v>
      </c>
      <c r="E34" s="14" t="s">
        <v>172</v>
      </c>
      <c r="F34" s="14">
        <v>62.0</v>
      </c>
      <c r="G34" s="14">
        <v>43.0</v>
      </c>
      <c r="H34" s="14">
        <v>657.0</v>
      </c>
      <c r="I34" s="14">
        <v>15.3</v>
      </c>
      <c r="J34" s="14">
        <v>3.0</v>
      </c>
      <c r="K34" s="20">
        <v>7.108161670366069</v>
      </c>
      <c r="L34" s="20">
        <v>53.501180242079016</v>
      </c>
      <c r="M34" s="15"/>
      <c r="N34" s="20">
        <v>7.108161670366069</v>
      </c>
      <c r="O34" s="14">
        <v>5.97</v>
      </c>
      <c r="P34" s="20">
        <v>2.81</v>
      </c>
      <c r="Q34" s="20">
        <v>-4.0</v>
      </c>
      <c r="R34" s="20">
        <f t="array" ref="R34">XLOOKUP(E34, 'Conference Match'!$A$2:$A$40,'Conference Match'!$C$2:$C$40)</f>
        <v>0.9</v>
      </c>
      <c r="S34" s="20">
        <f t="shared" si="1"/>
        <v>3.478469101</v>
      </c>
      <c r="T34" s="20">
        <f t="shared" si="2"/>
        <v>23.71513179</v>
      </c>
      <c r="U34" s="20">
        <f t="shared" si="3"/>
        <v>-29.78604845</v>
      </c>
      <c r="W34" s="20">
        <f>IFERROR(__xludf.DUMMYFUNCTION("iferror(PERCENTRANK.INC(FILTER($S$3:$S$435, $P$3:$P$435&lt;3.75), $S34), 1)"),0.81)</f>
        <v>0.81</v>
      </c>
      <c r="X34" s="20">
        <f>IFERROR(__xludf.DUMMYFUNCTION("iferror(PERCENTRANK.INC(FILTER($S$3:$S$435, $P$3:$P$435&lt;4.5), $S34), 1)"),0.614)</f>
        <v>0.614</v>
      </c>
      <c r="Y34" s="20">
        <f>IFERROR(__xludf.DUMMYFUNCTION("iferror(PERCENTRANK.INC(FILTER($S$3:$S$435, $P$3:$P$435&gt;=4.1), $S34), 0.01)"),0.05)</f>
        <v>0.05</v>
      </c>
    </row>
    <row r="35" ht="14.25" customHeight="1">
      <c r="A35" s="14" t="s">
        <v>992</v>
      </c>
      <c r="B35" s="14" t="s">
        <v>163</v>
      </c>
      <c r="C35" s="14">
        <v>10.0</v>
      </c>
      <c r="D35" s="14" t="s">
        <v>959</v>
      </c>
      <c r="E35" s="14" t="s">
        <v>158</v>
      </c>
      <c r="F35" s="14">
        <v>51.0</v>
      </c>
      <c r="G35" s="14">
        <v>37.0</v>
      </c>
      <c r="H35" s="14">
        <v>596.0</v>
      </c>
      <c r="I35" s="14">
        <v>16.1</v>
      </c>
      <c r="J35" s="14">
        <v>7.0</v>
      </c>
      <c r="K35" s="20">
        <v>8.1579353015035</v>
      </c>
      <c r="L35" s="20">
        <v>74.03454911826024</v>
      </c>
      <c r="M35" s="15"/>
      <c r="N35" s="20">
        <v>8.1579353015035</v>
      </c>
      <c r="O35" s="14">
        <v>5.94</v>
      </c>
      <c r="P35" s="20">
        <v>4.2</v>
      </c>
      <c r="Q35" s="14">
        <v>-3.5</v>
      </c>
      <c r="R35" s="20">
        <f t="array" ref="R35">XLOOKUP(E35, 'Conference Match'!$A$2:$A$40,'Conference Match'!$C$2:$C$40)</f>
        <v>0.95</v>
      </c>
      <c r="S35" s="20">
        <f t="shared" si="1"/>
        <v>4.488007707</v>
      </c>
      <c r="T35" s="20">
        <f t="shared" si="2"/>
        <v>33.77222729</v>
      </c>
      <c r="U35" s="20">
        <f t="shared" si="3"/>
        <v>-40.26232183</v>
      </c>
      <c r="W35" s="20">
        <f>IFERROR(__xludf.DUMMYFUNCTION("iferror(PERCENTRANK.INC(FILTER($S$3:$S$435, $P$3:$P$435&lt;3.75), $S35), 1)"),0.976)</f>
        <v>0.976</v>
      </c>
      <c r="X35" s="20">
        <f>IFERROR(__xludf.DUMMYFUNCTION("iferror(PERCENTRANK.INC(FILTER($S$3:$S$435, $P$3:$P$435&lt;4.5), $S35), 1)"),0.905)</f>
        <v>0.905</v>
      </c>
      <c r="Y35" s="20">
        <f>IFERROR(__xludf.DUMMYFUNCTION("iferror(PERCENTRANK.INC(FILTER($S$3:$S$435, $P$3:$P$435&gt;=4.1), $S35), 0.01)"),0.455)</f>
        <v>0.455</v>
      </c>
    </row>
    <row r="36" ht="14.25" customHeight="1">
      <c r="A36" s="14" t="s">
        <v>993</v>
      </c>
      <c r="B36" s="14" t="s">
        <v>129</v>
      </c>
      <c r="C36" s="16">
        <v>3.0</v>
      </c>
      <c r="D36" s="14" t="s">
        <v>959</v>
      </c>
      <c r="E36" s="14" t="s">
        <v>124</v>
      </c>
      <c r="F36" s="14">
        <v>52.0</v>
      </c>
      <c r="G36" s="14">
        <v>34.0</v>
      </c>
      <c r="H36" s="14">
        <v>518.0</v>
      </c>
      <c r="I36" s="14">
        <v>15.2</v>
      </c>
      <c r="J36" s="14">
        <v>8.0</v>
      </c>
      <c r="K36" s="20">
        <v>7.949217554358627</v>
      </c>
      <c r="L36" s="20">
        <v>61.151000570651576</v>
      </c>
      <c r="M36" s="15"/>
      <c r="N36" s="20">
        <v>7.949217554358627</v>
      </c>
      <c r="O36" s="14">
        <v>5.9</v>
      </c>
      <c r="P36" s="20">
        <v>3.97</v>
      </c>
      <c r="Q36" s="20">
        <v>0.0</v>
      </c>
      <c r="R36" s="20">
        <f t="array" ref="R36">XLOOKUP(E36, 'Conference Match'!$A$2:$A$40,'Conference Match'!$C$2:$C$40)</f>
        <v>0.9</v>
      </c>
      <c r="S36" s="20">
        <f t="shared" si="1"/>
        <v>4.59585916</v>
      </c>
      <c r="T36" s="20">
        <f t="shared" si="2"/>
        <v>34.84665114</v>
      </c>
      <c r="U36" s="20">
        <f t="shared" si="3"/>
        <v>-26.30434943</v>
      </c>
      <c r="W36" s="20">
        <f>IFERROR(__xludf.DUMMYFUNCTION("iferror(PERCENTRANK.INC(FILTER($S$3:$S$435, $P$3:$P$435&lt;3.75), $S36), 1)"),0.979)</f>
        <v>0.979</v>
      </c>
      <c r="X36" s="20">
        <f>IFERROR(__xludf.DUMMYFUNCTION("iferror(PERCENTRANK.INC(FILTER($S$3:$S$435, $P$3:$P$435&lt;4.5), $S36), 1)"),0.927)</f>
        <v>0.927</v>
      </c>
      <c r="Y36" s="20">
        <f>IFERROR(__xludf.DUMMYFUNCTION("iferror(PERCENTRANK.INC(FILTER($S$3:$S$435, $P$3:$P$435&gt;=4.1), $S36), 0.01)"),0.535)</f>
        <v>0.535</v>
      </c>
    </row>
    <row r="37" ht="14.25" customHeight="1">
      <c r="A37" s="14" t="s">
        <v>994</v>
      </c>
      <c r="B37" s="14" t="s">
        <v>379</v>
      </c>
      <c r="C37" s="14" t="s">
        <v>959</v>
      </c>
      <c r="D37" s="14" t="s">
        <v>959</v>
      </c>
      <c r="E37" s="14" t="s">
        <v>138</v>
      </c>
      <c r="F37" s="14">
        <v>52.0</v>
      </c>
      <c r="G37" s="14">
        <v>37.0</v>
      </c>
      <c r="H37" s="14">
        <v>489.0</v>
      </c>
      <c r="I37" s="14">
        <v>13.2</v>
      </c>
      <c r="J37" s="14">
        <v>2.0</v>
      </c>
      <c r="K37" s="20">
        <v>6.207871400512473</v>
      </c>
      <c r="L37" s="20">
        <v>45.312593800891875</v>
      </c>
      <c r="M37" s="15"/>
      <c r="N37" s="20">
        <v>6.207871400512473</v>
      </c>
      <c r="O37" s="14">
        <v>5.88</v>
      </c>
      <c r="P37" s="20">
        <v>3.53</v>
      </c>
      <c r="Q37" s="20">
        <v>-2.0</v>
      </c>
      <c r="R37" s="20">
        <f t="array" ref="R37">XLOOKUP(E37, 'Conference Match'!$A$2:$A$40,'Conference Match'!$C$2:$C$40)</f>
        <v>0.9</v>
      </c>
      <c r="S37" s="20">
        <f t="shared" si="1"/>
        <v>3.858416852</v>
      </c>
      <c r="T37" s="20">
        <f t="shared" si="2"/>
        <v>27.50019835</v>
      </c>
      <c r="U37" s="20">
        <f t="shared" si="3"/>
        <v>-17.81239545</v>
      </c>
      <c r="W37" s="20">
        <f>IFERROR(__xludf.DUMMYFUNCTION("iferror(PERCENTRANK.INC(FILTER($S$3:$S$435, $P$3:$P$435&lt;3.75), $S37), 1)"),0.925)</f>
        <v>0.925</v>
      </c>
      <c r="X37" s="20">
        <f>IFERROR(__xludf.DUMMYFUNCTION("iferror(PERCENTRANK.INC(FILTER($S$3:$S$435, $P$3:$P$435&lt;4.5), $S37), 1)"),0.768)</f>
        <v>0.768</v>
      </c>
      <c r="Y37" s="20">
        <f>IFERROR(__xludf.DUMMYFUNCTION("iferror(PERCENTRANK.INC(FILTER($S$3:$S$435, $P$3:$P$435&gt;=4.1), $S37), 0.01)"),0.19)</f>
        <v>0.19</v>
      </c>
    </row>
    <row r="38" ht="14.25" customHeight="1">
      <c r="A38" s="14" t="s">
        <v>995</v>
      </c>
      <c r="B38" s="14" t="s">
        <v>410</v>
      </c>
      <c r="C38" s="14">
        <v>0.0</v>
      </c>
      <c r="D38" s="14" t="s">
        <v>959</v>
      </c>
      <c r="E38" s="14" t="s">
        <v>147</v>
      </c>
      <c r="F38" s="14">
        <v>61.0</v>
      </c>
      <c r="G38" s="14">
        <v>44.0</v>
      </c>
      <c r="H38" s="14">
        <v>584.0</v>
      </c>
      <c r="I38" s="14">
        <v>13.3</v>
      </c>
      <c r="J38" s="14">
        <v>7.0</v>
      </c>
      <c r="K38" s="20">
        <v>7.30720195279857</v>
      </c>
      <c r="L38" s="20">
        <v>63.866768929346236</v>
      </c>
      <c r="M38" s="15"/>
      <c r="N38" s="20">
        <v>7.30720195279857</v>
      </c>
      <c r="O38" s="14">
        <v>5.87</v>
      </c>
      <c r="P38" s="20">
        <v>3.97</v>
      </c>
      <c r="Q38" s="20">
        <v>0.0</v>
      </c>
      <c r="R38" s="20">
        <f t="array" ref="R38">XLOOKUP(E38, 'Conference Match'!$A$2:$A$40,'Conference Match'!$C$2:$C$40)</f>
        <v>0.95</v>
      </c>
      <c r="S38" s="20">
        <f t="shared" si="1"/>
        <v>4.547368371</v>
      </c>
      <c r="T38" s="20">
        <f t="shared" si="2"/>
        <v>34.36358245</v>
      </c>
      <c r="U38" s="20">
        <f t="shared" si="3"/>
        <v>-29.50318648</v>
      </c>
      <c r="W38" s="20">
        <f>IFERROR(__xludf.DUMMYFUNCTION("iferror(PERCENTRANK.INC(FILTER($S$3:$S$435, $P$3:$P$435&lt;3.75), $S38), 1)"),0.978)</f>
        <v>0.978</v>
      </c>
      <c r="X38" s="20">
        <f>IFERROR(__xludf.DUMMYFUNCTION("iferror(PERCENTRANK.INC(FILTER($S$3:$S$435, $P$3:$P$435&lt;4.5), $S38), 1)"),0.918)</f>
        <v>0.918</v>
      </c>
      <c r="Y38" s="20">
        <f>IFERROR(__xludf.DUMMYFUNCTION("iferror(PERCENTRANK.INC(FILTER($S$3:$S$435, $P$3:$P$435&gt;=4.1), $S38), 0.01)"),0.476)</f>
        <v>0.476</v>
      </c>
    </row>
    <row r="39" ht="14.25" customHeight="1">
      <c r="A39" s="14" t="s">
        <v>996</v>
      </c>
      <c r="B39" s="14" t="s">
        <v>343</v>
      </c>
      <c r="C39" s="14" t="s">
        <v>959</v>
      </c>
      <c r="D39" s="14" t="s">
        <v>959</v>
      </c>
      <c r="E39" s="14" t="s">
        <v>105</v>
      </c>
      <c r="F39" s="14">
        <v>51.0</v>
      </c>
      <c r="G39" s="14">
        <v>31.0</v>
      </c>
      <c r="H39" s="14">
        <v>560.0</v>
      </c>
      <c r="I39" s="14">
        <v>18.1</v>
      </c>
      <c r="J39" s="14">
        <v>3.0</v>
      </c>
      <c r="K39" s="20">
        <v>7.757935301503499</v>
      </c>
      <c r="L39" s="20">
        <v>59.411193627693116</v>
      </c>
      <c r="M39" s="15"/>
      <c r="N39" s="20">
        <v>7.757935301503499</v>
      </c>
      <c r="O39" s="14">
        <v>5.79</v>
      </c>
      <c r="P39" s="20">
        <v>3.53</v>
      </c>
      <c r="Q39" s="20">
        <v>-2.0</v>
      </c>
      <c r="R39" s="20">
        <f t="array" ref="R39">XLOOKUP(E39, 'Conference Match'!$A$2:$A$40,'Conference Match'!$C$2:$C$40)</f>
        <v>0.9</v>
      </c>
      <c r="S39" s="20">
        <f t="shared" si="1"/>
        <v>4.119428354</v>
      </c>
      <c r="T39" s="20">
        <f t="shared" si="2"/>
        <v>30.10041353</v>
      </c>
      <c r="U39" s="20">
        <f t="shared" si="3"/>
        <v>-29.3107801</v>
      </c>
      <c r="W39" s="20">
        <f>IFERROR(__xludf.DUMMYFUNCTION("iferror(PERCENTRANK.INC(FILTER($S$3:$S$435, $P$3:$P$435&lt;3.75), $S39), 1)"),0.959)</f>
        <v>0.959</v>
      </c>
      <c r="X39" s="20">
        <f>IFERROR(__xludf.DUMMYFUNCTION("iferror(PERCENTRANK.INC(FILTER($S$3:$S$435, $P$3:$P$435&lt;4.5), $S39), 1)"),0.864)</f>
        <v>0.864</v>
      </c>
      <c r="Y39" s="20">
        <f>IFERROR(__xludf.DUMMYFUNCTION("iferror(PERCENTRANK.INC(FILTER($S$3:$S$435, $P$3:$P$435&gt;=4.1), $S39), 0.01)"),0.289)</f>
        <v>0.289</v>
      </c>
    </row>
    <row r="40" ht="14.25" customHeight="1">
      <c r="A40" s="14" t="s">
        <v>997</v>
      </c>
      <c r="B40" s="14" t="s">
        <v>224</v>
      </c>
      <c r="C40" s="16">
        <v>8.0</v>
      </c>
      <c r="D40" s="14" t="s">
        <v>959</v>
      </c>
      <c r="E40" s="14" t="s">
        <v>179</v>
      </c>
      <c r="F40" s="14">
        <v>66.0</v>
      </c>
      <c r="G40" s="14">
        <v>39.0</v>
      </c>
      <c r="H40" s="14">
        <v>620.0</v>
      </c>
      <c r="I40" s="14">
        <v>15.9</v>
      </c>
      <c r="J40" s="14">
        <v>3.0</v>
      </c>
      <c r="K40" s="20">
        <v>7.133763628908049</v>
      </c>
      <c r="L40" s="20">
        <v>53.73404275054396</v>
      </c>
      <c r="M40" s="15"/>
      <c r="N40" s="20">
        <v>7.133763628908049</v>
      </c>
      <c r="O40" s="14">
        <v>5.78</v>
      </c>
      <c r="P40" s="46">
        <v>2.69</v>
      </c>
      <c r="Q40" s="14">
        <v>-2.0</v>
      </c>
      <c r="R40" s="20">
        <f t="array" ref="R40">XLOOKUP(E40, 'Conference Match'!$A$2:$A$40,'Conference Match'!$C$2:$C$40)</f>
        <v>0.9</v>
      </c>
      <c r="S40" s="20">
        <f t="shared" si="1"/>
        <v>3.585077453</v>
      </c>
      <c r="T40" s="20">
        <f t="shared" si="2"/>
        <v>24.77717179</v>
      </c>
      <c r="U40" s="20">
        <f t="shared" si="3"/>
        <v>-28.95687096</v>
      </c>
      <c r="W40" s="20">
        <f>IFERROR(__xludf.DUMMYFUNCTION("iferror(PERCENTRANK.INC(FILTER($S$3:$S$435, $P$3:$P$435&lt;3.75), $S40), 1)"),0.857)</f>
        <v>0.857</v>
      </c>
      <c r="X40" s="20">
        <f>IFERROR(__xludf.DUMMYFUNCTION("iferror(PERCENTRANK.INC(FILTER($S$3:$S$435, $P$3:$P$435&lt;4.5), $S40), 1)"),0.664)</f>
        <v>0.664</v>
      </c>
      <c r="Y40" s="20">
        <f>IFERROR(__xludf.DUMMYFUNCTION("iferror(PERCENTRANK.INC(FILTER($S$3:$S$435, $P$3:$P$435&gt;=4.1), $S40), 0.01)"),0.07)</f>
        <v>0.07</v>
      </c>
    </row>
    <row r="41" ht="14.25" customHeight="1">
      <c r="A41" s="17" t="s">
        <v>998</v>
      </c>
      <c r="B41" s="17" t="s">
        <v>626</v>
      </c>
      <c r="C41" s="16">
        <v>3.0</v>
      </c>
      <c r="D41" s="17" t="s">
        <v>959</v>
      </c>
      <c r="E41" s="17" t="s">
        <v>172</v>
      </c>
      <c r="F41" s="18">
        <v>72.0</v>
      </c>
      <c r="G41" s="18">
        <v>53.0</v>
      </c>
      <c r="H41" s="18">
        <v>486.0</v>
      </c>
      <c r="I41" s="18">
        <v>9.2</v>
      </c>
      <c r="J41" s="18">
        <v>2.0</v>
      </c>
      <c r="K41" s="18">
        <v>5.06</v>
      </c>
      <c r="L41" s="22">
        <v>34.88</v>
      </c>
      <c r="M41" s="15"/>
      <c r="N41" s="22">
        <v>5.06</v>
      </c>
      <c r="O41" s="22">
        <v>5.69</v>
      </c>
      <c r="P41" s="16">
        <v>3.46</v>
      </c>
      <c r="Q41" s="16">
        <v>-8.5</v>
      </c>
      <c r="R41" s="20">
        <f t="array" ref="R41">XLOOKUP(E41, 'Conference Match'!$A$2:$A$40,'Conference Match'!$C$2:$C$40)</f>
        <v>0.9</v>
      </c>
      <c r="S41" s="20">
        <f t="shared" si="1"/>
        <v>2.9288</v>
      </c>
      <c r="T41" s="20">
        <f t="shared" si="2"/>
        <v>18.23928906</v>
      </c>
      <c r="U41" s="20">
        <f t="shared" si="3"/>
        <v>-16.64071094</v>
      </c>
      <c r="W41" s="20">
        <f>IFERROR(__xludf.DUMMYFUNCTION("iferror(PERCENTRANK.INC(FILTER($S$3:$S$435, $P$3:$P$435&lt;3.75), $S41), 1)"),0.619)</f>
        <v>0.619</v>
      </c>
      <c r="X41" s="20">
        <f>IFERROR(__xludf.DUMMYFUNCTION("iferror(PERCENTRANK.INC(FILTER($S$3:$S$435, $P$3:$P$435&lt;4.5), $S41), 1)"),0.423)</f>
        <v>0.423</v>
      </c>
      <c r="Y41" s="20">
        <f>IFERROR(__xludf.DUMMYFUNCTION("iferror(PERCENTRANK.INC(FILTER($S$3:$S$435, $P$3:$P$435&gt;=4.1), $S41), 0.01)"),0.01)</f>
        <v>0.01</v>
      </c>
    </row>
    <row r="42" ht="14.25" customHeight="1">
      <c r="A42" s="14" t="s">
        <v>999</v>
      </c>
      <c r="B42" s="14" t="s">
        <v>377</v>
      </c>
      <c r="C42" s="14" t="s">
        <v>959</v>
      </c>
      <c r="D42" s="14" t="s">
        <v>959</v>
      </c>
      <c r="E42" s="14" t="s">
        <v>138</v>
      </c>
      <c r="F42" s="14">
        <v>40.0</v>
      </c>
      <c r="G42" s="14">
        <v>26.0</v>
      </c>
      <c r="H42" s="14">
        <v>504.0</v>
      </c>
      <c r="I42" s="14">
        <v>19.4</v>
      </c>
      <c r="J42" s="14">
        <v>5.0</v>
      </c>
      <c r="K42" s="20">
        <v>8.572250223346508</v>
      </c>
      <c r="L42" s="20">
        <v>66.81779164517961</v>
      </c>
      <c r="M42" s="15"/>
      <c r="N42" s="20">
        <v>8.572250223346508</v>
      </c>
      <c r="O42" s="14">
        <v>5.63</v>
      </c>
      <c r="P42" s="20">
        <v>3.73</v>
      </c>
      <c r="Q42" s="20">
        <v>4.5</v>
      </c>
      <c r="R42" s="20">
        <f t="array" ref="R42">XLOOKUP(E42, 'Conference Match'!$A$2:$A$40,'Conference Match'!$C$2:$C$40)</f>
        <v>0.9</v>
      </c>
      <c r="S42" s="20">
        <f t="shared" si="1"/>
        <v>4.98400504</v>
      </c>
      <c r="T42" s="20">
        <f t="shared" si="2"/>
        <v>38.71338805</v>
      </c>
      <c r="U42" s="20">
        <f t="shared" si="3"/>
        <v>-28.1044036</v>
      </c>
      <c r="W42" s="20">
        <f>IFERROR(__xludf.DUMMYFUNCTION("iferror(PERCENTRANK.INC(FILTER($S$3:$S$435, $P$3:$P$435&lt;3.75), $S42), 1)"),1.0)</f>
        <v>1</v>
      </c>
      <c r="X42" s="20">
        <f>IFERROR(__xludf.DUMMYFUNCTION("iferror(PERCENTRANK.INC(FILTER($S$3:$S$435, $P$3:$P$435&lt;4.5), $S42), 1)"),0.973)</f>
        <v>0.973</v>
      </c>
      <c r="Y42" s="20">
        <f>IFERROR(__xludf.DUMMYFUNCTION("iferror(PERCENTRANK.INC(FILTER($S$3:$S$435, $P$3:$P$435&gt;=4.1), $S42), 0.01)"),0.71)</f>
        <v>0.71</v>
      </c>
    </row>
    <row r="43" ht="14.25" customHeight="1">
      <c r="A43" s="14" t="s">
        <v>1000</v>
      </c>
      <c r="B43" s="14" t="s">
        <v>176</v>
      </c>
      <c r="C43" s="14" t="s">
        <v>959</v>
      </c>
      <c r="D43" s="14" t="s">
        <v>959</v>
      </c>
      <c r="E43" s="14" t="s">
        <v>114</v>
      </c>
      <c r="F43" s="14">
        <v>37.0</v>
      </c>
      <c r="G43" s="14">
        <v>24.0</v>
      </c>
      <c r="H43" s="14">
        <v>716.0</v>
      </c>
      <c r="I43" s="14">
        <v>29.8</v>
      </c>
      <c r="J43" s="14">
        <v>7.0</v>
      </c>
      <c r="K43" s="20">
        <v>12.220452453201533</v>
      </c>
      <c r="L43" s="20">
        <v>99.99999999999999</v>
      </c>
      <c r="M43" s="15"/>
      <c r="N43" s="20">
        <v>12.220452453201533</v>
      </c>
      <c r="O43" s="14">
        <v>5.53</v>
      </c>
      <c r="P43" s="20">
        <v>4.31</v>
      </c>
      <c r="Q43" s="14">
        <v>-0.5</v>
      </c>
      <c r="R43" s="20">
        <f t="array" ref="R43">XLOOKUP(E43, 'Conference Match'!$A$2:$A$40,'Conference Match'!$C$2:$C$40)</f>
        <v>0.9</v>
      </c>
      <c r="S43" s="20">
        <f t="shared" si="1"/>
        <v>5.410681442</v>
      </c>
      <c r="T43" s="20">
        <f t="shared" si="2"/>
        <v>42.96396875</v>
      </c>
      <c r="U43" s="20">
        <f t="shared" si="3"/>
        <v>-57.03603125</v>
      </c>
      <c r="W43" s="20">
        <f>IFERROR(__xludf.DUMMYFUNCTION("iferror(PERCENTRANK.INC(FILTER($S$3:$S$435, $P$3:$P$435&lt;3.75), $S43), 1)"),1.0)</f>
        <v>1</v>
      </c>
      <c r="X43" s="20">
        <f>IFERROR(__xludf.DUMMYFUNCTION("iferror(PERCENTRANK.INC(FILTER($S$3:$S$435, $P$3:$P$435&lt;4.5), $S43), 1)"),0.995)</f>
        <v>0.995</v>
      </c>
      <c r="Y43" s="20">
        <f>IFERROR(__xludf.DUMMYFUNCTION("iferror(PERCENTRANK.INC(FILTER($S$3:$S$435, $P$3:$P$435&gt;=4.1), $S43), 0.01)"),0.883)</f>
        <v>0.883</v>
      </c>
    </row>
    <row r="44" ht="14.25" customHeight="1">
      <c r="A44" s="14" t="s">
        <v>1001</v>
      </c>
      <c r="B44" s="14" t="s">
        <v>267</v>
      </c>
      <c r="C44" s="14">
        <v>1.0</v>
      </c>
      <c r="D44" s="14" t="s">
        <v>959</v>
      </c>
      <c r="E44" s="14" t="s">
        <v>117</v>
      </c>
      <c r="F44" s="14">
        <v>44.0</v>
      </c>
      <c r="G44" s="14">
        <v>28.0</v>
      </c>
      <c r="H44" s="14">
        <v>516.0</v>
      </c>
      <c r="I44" s="14">
        <v>18.4</v>
      </c>
      <c r="J44" s="14">
        <v>0.0</v>
      </c>
      <c r="K44" s="20">
        <v>7.264150053237794</v>
      </c>
      <c r="L44" s="20">
        <v>63.35222197745403</v>
      </c>
      <c r="M44" s="15"/>
      <c r="N44" s="20">
        <v>7.264150053237794</v>
      </c>
      <c r="O44" s="14">
        <v>5.49</v>
      </c>
      <c r="P44" s="20">
        <v>4.24</v>
      </c>
      <c r="Q44" s="20">
        <v>3.0</v>
      </c>
      <c r="R44" s="20">
        <f t="array" ref="R44">XLOOKUP(E44, 'Conference Match'!$A$2:$A$40,'Conference Match'!$C$2:$C$40)</f>
        <v>0.95</v>
      </c>
      <c r="S44" s="20">
        <f t="shared" si="1"/>
        <v>4.89818851</v>
      </c>
      <c r="T44" s="20">
        <f t="shared" si="2"/>
        <v>37.85847766</v>
      </c>
      <c r="U44" s="20">
        <f t="shared" si="3"/>
        <v>-25.49374431</v>
      </c>
      <c r="W44" s="20">
        <f>IFERROR(__xludf.DUMMYFUNCTION("iferror(PERCENTRANK.INC(FILTER($S$3:$S$435, $P$3:$P$435&lt;3.75), $S44), 1)"),0.996)</f>
        <v>0.996</v>
      </c>
      <c r="X44" s="20">
        <f>IFERROR(__xludf.DUMMYFUNCTION("iferror(PERCENTRANK.INC(FILTER($S$3:$S$435, $P$3:$P$435&lt;4.5), $S44), 1)"),0.964)</f>
        <v>0.964</v>
      </c>
      <c r="Y44" s="20">
        <f>IFERROR(__xludf.DUMMYFUNCTION("iferror(PERCENTRANK.INC(FILTER($S$3:$S$435, $P$3:$P$435&gt;=4.1), $S44), 0.01)"),0.688)</f>
        <v>0.688</v>
      </c>
    </row>
    <row r="45" ht="14.25" customHeight="1">
      <c r="A45" s="14" t="s">
        <v>1002</v>
      </c>
      <c r="B45" s="14" t="s">
        <v>371</v>
      </c>
      <c r="C45" s="14" t="s">
        <v>959</v>
      </c>
      <c r="D45" s="14" t="s">
        <v>959</v>
      </c>
      <c r="E45" s="14" t="s">
        <v>127</v>
      </c>
      <c r="F45" s="14">
        <v>70.0</v>
      </c>
      <c r="G45" s="14">
        <v>43.0</v>
      </c>
      <c r="H45" s="14">
        <v>639.0</v>
      </c>
      <c r="I45" s="14">
        <v>14.9</v>
      </c>
      <c r="J45" s="14">
        <v>6.0</v>
      </c>
      <c r="K45" s="20">
        <v>7.483366528393033</v>
      </c>
      <c r="L45" s="20">
        <v>56.91385448280669</v>
      </c>
      <c r="M45" s="15"/>
      <c r="N45" s="20">
        <v>7.483366528393033</v>
      </c>
      <c r="O45" s="14">
        <v>5.48</v>
      </c>
      <c r="P45" s="20">
        <v>3.47</v>
      </c>
      <c r="Q45" s="20">
        <v>-3.5</v>
      </c>
      <c r="R45" s="20">
        <f t="array" ref="R45">XLOOKUP(E45, 'Conference Match'!$A$2:$A$40,'Conference Match'!$C$2:$C$40)</f>
        <v>0.9</v>
      </c>
      <c r="S45" s="20">
        <f t="shared" si="1"/>
        <v>3.828005975</v>
      </c>
      <c r="T45" s="20">
        <f t="shared" si="2"/>
        <v>27.19724303</v>
      </c>
      <c r="U45" s="20">
        <f t="shared" si="3"/>
        <v>-29.71661145</v>
      </c>
      <c r="W45" s="20">
        <f>IFERROR(__xludf.DUMMYFUNCTION("iferror(PERCENTRANK.INC(FILTER($S$3:$S$435, $P$3:$P$435&lt;3.75), $S45), 1)"),0.905)</f>
        <v>0.905</v>
      </c>
      <c r="X45" s="20">
        <f>IFERROR(__xludf.DUMMYFUNCTION("iferror(PERCENTRANK.INC(FILTER($S$3:$S$435, $P$3:$P$435&lt;4.5), $S45), 1)"),0.75)</f>
        <v>0.75</v>
      </c>
      <c r="Y45" s="20">
        <f>IFERROR(__xludf.DUMMYFUNCTION("iferror(PERCENTRANK.INC(FILTER($S$3:$S$435, $P$3:$P$435&gt;=4.1), $S45), 0.01)"),0.187)</f>
        <v>0.187</v>
      </c>
    </row>
    <row r="46" ht="14.25" customHeight="1">
      <c r="A46" s="14" t="s">
        <v>1003</v>
      </c>
      <c r="B46" s="14" t="s">
        <v>104</v>
      </c>
      <c r="C46" s="14" t="s">
        <v>959</v>
      </c>
      <c r="D46" s="14" t="s">
        <v>959</v>
      </c>
      <c r="E46" s="14" t="s">
        <v>105</v>
      </c>
      <c r="F46" s="14">
        <v>64.0</v>
      </c>
      <c r="G46" s="14">
        <v>43.0</v>
      </c>
      <c r="H46" s="14">
        <v>533.0</v>
      </c>
      <c r="I46" s="14">
        <v>12.4</v>
      </c>
      <c r="J46" s="14">
        <v>3.0</v>
      </c>
      <c r="K46" s="20">
        <v>6.161816794463473</v>
      </c>
      <c r="L46" s="20">
        <v>44.893704321270626</v>
      </c>
      <c r="M46" s="15"/>
      <c r="N46" s="20">
        <v>6.161816794463473</v>
      </c>
      <c r="O46" s="14">
        <v>5.45</v>
      </c>
      <c r="P46" s="20">
        <v>3.44</v>
      </c>
      <c r="Q46" s="20">
        <v>-1.5</v>
      </c>
      <c r="R46" s="20">
        <f t="array" ref="R46">XLOOKUP(E46, 'Conference Match'!$A$2:$A$40,'Conference Match'!$C$2:$C$40)</f>
        <v>0.9</v>
      </c>
      <c r="S46" s="20">
        <f t="shared" si="1"/>
        <v>3.769127023</v>
      </c>
      <c r="T46" s="20">
        <f t="shared" si="2"/>
        <v>26.61068671</v>
      </c>
      <c r="U46" s="20">
        <f t="shared" si="3"/>
        <v>-18.28301761</v>
      </c>
      <c r="W46" s="20">
        <f>IFERROR(__xludf.DUMMYFUNCTION("iferror(PERCENTRANK.INC(FILTER($S$3:$S$435, $P$3:$P$435&lt;3.75), $S46), 1)"),0.898)</f>
        <v>0.898</v>
      </c>
      <c r="X46" s="20">
        <f>IFERROR(__xludf.DUMMYFUNCTION("iferror(PERCENTRANK.INC(FILTER($S$3:$S$435, $P$3:$P$435&lt;4.5), $S46), 1)"),0.727)</f>
        <v>0.727</v>
      </c>
      <c r="Y46" s="20">
        <f>IFERROR(__xludf.DUMMYFUNCTION("iferror(PERCENTRANK.INC(FILTER($S$3:$S$435, $P$3:$P$435&gt;=4.1), $S46), 0.01)"),0.162)</f>
        <v>0.162</v>
      </c>
    </row>
    <row r="47" ht="14.25" customHeight="1">
      <c r="A47" s="14" t="s">
        <v>1004</v>
      </c>
      <c r="B47" s="14" t="s">
        <v>360</v>
      </c>
      <c r="C47" s="14" t="s">
        <v>959</v>
      </c>
      <c r="D47" s="14" t="s">
        <v>959</v>
      </c>
      <c r="E47" s="14" t="s">
        <v>189</v>
      </c>
      <c r="F47" s="14">
        <v>38.0</v>
      </c>
      <c r="G47" s="14">
        <v>23.0</v>
      </c>
      <c r="H47" s="14">
        <v>321.0</v>
      </c>
      <c r="I47" s="14">
        <v>14.0</v>
      </c>
      <c r="J47" s="14">
        <v>3.0</v>
      </c>
      <c r="K47" s="20">
        <v>6.378299207724323</v>
      </c>
      <c r="L47" s="20">
        <v>46.86271921940069</v>
      </c>
      <c r="M47" s="15"/>
      <c r="N47" s="20">
        <v>6.378299207724323</v>
      </c>
      <c r="O47" s="14">
        <v>5.4</v>
      </c>
      <c r="P47" s="14">
        <v>3.76</v>
      </c>
      <c r="Q47" s="14">
        <v>-5.5</v>
      </c>
      <c r="R47" s="20">
        <f t="array" ref="R47">XLOOKUP(E47, 'Conference Match'!$A$2:$A$40,'Conference Match'!$C$2:$C$40)</f>
        <v>0.9</v>
      </c>
      <c r="S47" s="20">
        <f t="shared" si="1"/>
        <v>3.558093857</v>
      </c>
      <c r="T47" s="20">
        <f t="shared" si="2"/>
        <v>24.50835929</v>
      </c>
      <c r="U47" s="20">
        <f t="shared" si="3"/>
        <v>-22.35435993</v>
      </c>
      <c r="W47" s="20">
        <f>IFERROR(__xludf.DUMMYFUNCTION("iferror(PERCENTRANK.INC(FILTER($S$3:$S$435, $P$3:$P$435&lt;3.75), $S47), 1)"),0.853)</f>
        <v>0.853</v>
      </c>
      <c r="X47" s="20">
        <f>IFERROR(__xludf.DUMMYFUNCTION("iferror(PERCENTRANK.INC(FILTER($S$3:$S$435, $P$3:$P$435&lt;4.5), $S47), 1)"),0.659)</f>
        <v>0.659</v>
      </c>
      <c r="Y47" s="20">
        <f>IFERROR(__xludf.DUMMYFUNCTION("iferror(PERCENTRANK.INC(FILTER($S$3:$S$435, $P$3:$P$435&gt;=4.1), $S47), 0.01)"),0.062)</f>
        <v>0.062</v>
      </c>
    </row>
    <row r="48" ht="14.25" customHeight="1">
      <c r="A48" s="14" t="s">
        <v>1005</v>
      </c>
      <c r="B48" s="14" t="s">
        <v>608</v>
      </c>
      <c r="C48" s="14">
        <v>0.0</v>
      </c>
      <c r="D48" s="14" t="s">
        <v>959</v>
      </c>
      <c r="E48" s="14" t="s">
        <v>158</v>
      </c>
      <c r="F48" s="14">
        <v>62.0</v>
      </c>
      <c r="G48" s="14">
        <v>42.0</v>
      </c>
      <c r="H48" s="14">
        <v>563.0</v>
      </c>
      <c r="I48" s="14">
        <v>13.4</v>
      </c>
      <c r="J48" s="14">
        <v>5.0</v>
      </c>
      <c r="K48" s="20">
        <v>6.877516509075746</v>
      </c>
      <c r="L48" s="20">
        <v>58.73126184149022</v>
      </c>
      <c r="M48" s="15"/>
      <c r="N48" s="20">
        <v>6.877516509075746</v>
      </c>
      <c r="O48" s="14">
        <v>5.37</v>
      </c>
      <c r="P48" s="14">
        <v>3.47</v>
      </c>
      <c r="Q48" s="14">
        <v>-3.5</v>
      </c>
      <c r="R48" s="20">
        <f t="array" ref="R48">XLOOKUP(E48, 'Conference Match'!$A$2:$A$40,'Conference Match'!$C$2:$C$40)</f>
        <v>0.95</v>
      </c>
      <c r="S48" s="20">
        <f t="shared" si="1"/>
        <v>3.765728137</v>
      </c>
      <c r="T48" s="20">
        <f t="shared" si="2"/>
        <v>26.57682677</v>
      </c>
      <c r="U48" s="20">
        <f t="shared" si="3"/>
        <v>-32.15443507</v>
      </c>
      <c r="W48" s="20">
        <f>IFERROR(__xludf.DUMMYFUNCTION("iferror(PERCENTRANK.INC(FILTER($S$3:$S$435, $P$3:$P$435&lt;3.75), $S48), 1)"),0.891)</f>
        <v>0.891</v>
      </c>
      <c r="X48" s="20">
        <f>IFERROR(__xludf.DUMMYFUNCTION("iferror(PERCENTRANK.INC(FILTER($S$3:$S$435, $P$3:$P$435&lt;4.5), $S48), 1)"),0.718)</f>
        <v>0.718</v>
      </c>
      <c r="Y48" s="20">
        <f>IFERROR(__xludf.DUMMYFUNCTION("iferror(PERCENTRANK.INC(FILTER($S$3:$S$435, $P$3:$P$435&gt;=4.1), $S48), 0.01)"),0.16)</f>
        <v>0.16</v>
      </c>
    </row>
    <row r="49" ht="14.25" customHeight="1">
      <c r="A49" s="14" t="s">
        <v>1006</v>
      </c>
      <c r="B49" s="14" t="s">
        <v>317</v>
      </c>
      <c r="C49" s="14" t="s">
        <v>959</v>
      </c>
      <c r="D49" s="14" t="s">
        <v>959</v>
      </c>
      <c r="E49" s="14" t="s">
        <v>124</v>
      </c>
      <c r="F49" s="14">
        <v>55.0</v>
      </c>
      <c r="G49" s="14">
        <v>34.0</v>
      </c>
      <c r="H49" s="14">
        <v>408.0</v>
      </c>
      <c r="I49" s="14">
        <v>12.0</v>
      </c>
      <c r="J49" s="14">
        <v>5.0</v>
      </c>
      <c r="K49" s="20">
        <v>6.3052367281209385</v>
      </c>
      <c r="L49" s="20">
        <v>46.19817973711008</v>
      </c>
      <c r="M49" s="15"/>
      <c r="N49" s="20">
        <v>6.3052367281209385</v>
      </c>
      <c r="O49" s="14">
        <v>5.35</v>
      </c>
      <c r="R49" s="20">
        <f t="array" ref="R49">XLOOKUP(E49, 'Conference Match'!$A$2:$A$40,'Conference Match'!$C$2:$C$40)</f>
        <v>0.9</v>
      </c>
      <c r="S49" s="20">
        <f t="shared" si="1"/>
        <v>2.204942611</v>
      </c>
      <c r="T49" s="20">
        <f t="shared" si="2"/>
        <v>11.0281702</v>
      </c>
      <c r="U49" s="20">
        <f t="shared" si="3"/>
        <v>-35.17000954</v>
      </c>
      <c r="W49" s="20">
        <f>IFERROR(__xludf.DUMMYFUNCTION("iferror(PERCENTRANK.INC(FILTER($S$3:$S$435, $P$3:$P$435&lt;3.75), $S49), 1)"),0.503)</f>
        <v>0.503</v>
      </c>
      <c r="X49" s="20">
        <f>IFERROR(__xludf.DUMMYFUNCTION("iferror(PERCENTRANK.INC(FILTER($S$3:$S$435, $P$3:$P$435&lt;4.5), $S49), 1)"),0.336)</f>
        <v>0.336</v>
      </c>
      <c r="Y49" s="20">
        <f>IFERROR(__xludf.DUMMYFUNCTION("iferror(PERCENTRANK.INC(FILTER($S$3:$S$435, $P$3:$P$435&gt;=4.1), $S49), 0.01)"),0.01)</f>
        <v>0.01</v>
      </c>
    </row>
    <row r="50" ht="14.25" customHeight="1">
      <c r="A50" s="14" t="s">
        <v>1007</v>
      </c>
      <c r="B50" s="14" t="s">
        <v>203</v>
      </c>
      <c r="C50" s="14" t="s">
        <v>959</v>
      </c>
      <c r="D50" s="14" t="s">
        <v>959</v>
      </c>
      <c r="E50" s="14" t="s">
        <v>138</v>
      </c>
      <c r="F50" s="14">
        <v>48.0</v>
      </c>
      <c r="G50" s="14">
        <v>33.0</v>
      </c>
      <c r="H50" s="14">
        <v>640.0</v>
      </c>
      <c r="I50" s="14">
        <v>19.4</v>
      </c>
      <c r="J50" s="14">
        <v>8.0</v>
      </c>
      <c r="K50" s="20">
        <v>9.317345437672053</v>
      </c>
      <c r="L50" s="20">
        <v>73.59480209805471</v>
      </c>
      <c r="M50" s="15"/>
      <c r="N50" s="20">
        <v>9.317345437672053</v>
      </c>
      <c r="O50" s="14">
        <v>5.32</v>
      </c>
      <c r="P50" s="20">
        <v>5.19</v>
      </c>
      <c r="Q50" s="20">
        <v>2.5</v>
      </c>
      <c r="R50" s="20">
        <f t="array" ref="R50">XLOOKUP(E50, 'Conference Match'!$A$2:$A$40,'Conference Match'!$C$2:$C$40)</f>
        <v>0.9</v>
      </c>
      <c r="S50" s="20">
        <f t="shared" si="1"/>
        <v>5.586122179</v>
      </c>
      <c r="T50" s="20">
        <f t="shared" si="2"/>
        <v>44.71172187</v>
      </c>
      <c r="U50" s="20">
        <f t="shared" si="3"/>
        <v>-28.88308023</v>
      </c>
      <c r="W50" s="20">
        <f>IFERROR(__xludf.DUMMYFUNCTION("iferror(PERCENTRANK.INC(FILTER($S$3:$S$435, $P$3:$P$435&lt;3.75), $S50), 1)"),1.0)</f>
        <v>1</v>
      </c>
      <c r="X50" s="20">
        <f>IFERROR(__xludf.DUMMYFUNCTION("iferror(PERCENTRANK.INC(FILTER($S$3:$S$435, $P$3:$P$435&lt;4.5), $S50), 1)"),0.998)</f>
        <v>0.998</v>
      </c>
      <c r="Y50" s="20">
        <f>IFERROR(__xludf.DUMMYFUNCTION("iferror(PERCENTRANK.INC(FILTER($S$3:$S$435, $P$3:$P$435&gt;=4.1), $S50), 0.01)"),0.909)</f>
        <v>0.909</v>
      </c>
    </row>
    <row r="51" ht="14.25" customHeight="1">
      <c r="A51" s="14" t="s">
        <v>1008</v>
      </c>
      <c r="B51" s="14" t="s">
        <v>686</v>
      </c>
      <c r="C51" s="14">
        <v>8.0</v>
      </c>
      <c r="D51" s="14" t="s">
        <v>959</v>
      </c>
      <c r="E51" s="14" t="s">
        <v>147</v>
      </c>
      <c r="F51" s="14">
        <v>47.0</v>
      </c>
      <c r="G51" s="14">
        <v>23.0</v>
      </c>
      <c r="H51" s="14">
        <v>636.0</v>
      </c>
      <c r="I51" s="14">
        <v>27.6</v>
      </c>
      <c r="J51" s="14">
        <v>3.0</v>
      </c>
      <c r="K51" s="20">
        <v>10.33045226871138</v>
      </c>
      <c r="L51" s="20">
        <v>100.0</v>
      </c>
      <c r="M51" s="15"/>
      <c r="N51" s="20">
        <v>10.33045226871138</v>
      </c>
      <c r="O51" s="14">
        <v>5.27</v>
      </c>
      <c r="P51" s="20">
        <v>4.24</v>
      </c>
      <c r="Q51" s="14">
        <v>0.0</v>
      </c>
      <c r="R51" s="20">
        <f t="array" ref="R51">XLOOKUP(E51, 'Conference Match'!$A$2:$A$40,'Conference Match'!$C$2:$C$40)</f>
        <v>0.95</v>
      </c>
      <c r="S51" s="20">
        <f t="shared" si="1"/>
        <v>5.136785931</v>
      </c>
      <c r="T51" s="20">
        <f t="shared" si="2"/>
        <v>40.23540216</v>
      </c>
      <c r="U51" s="20">
        <f t="shared" si="3"/>
        <v>-59.76459784</v>
      </c>
      <c r="W51" s="20">
        <f>IFERROR(__xludf.DUMMYFUNCTION("iferror(PERCENTRANK.INC(FILTER($S$3:$S$435, $P$3:$P$435&lt;3.75), $S51), 1)"),1.0)</f>
        <v>1</v>
      </c>
      <c r="X51" s="20">
        <f>IFERROR(__xludf.DUMMYFUNCTION("iferror(PERCENTRANK.INC(FILTER($S$3:$S$435, $P$3:$P$435&lt;4.5), $S51), 1)"),0.982)</f>
        <v>0.982</v>
      </c>
      <c r="Y51" s="20">
        <f>IFERROR(__xludf.DUMMYFUNCTION("iferror(PERCENTRANK.INC(FILTER($S$3:$S$435, $P$3:$P$435&gt;=4.1), $S51), 0.01)"),0.753)</f>
        <v>0.753</v>
      </c>
    </row>
    <row r="52" ht="14.25" customHeight="1">
      <c r="A52" s="14" t="s">
        <v>1009</v>
      </c>
      <c r="B52" s="14" t="s">
        <v>255</v>
      </c>
      <c r="C52" s="16">
        <v>12.0</v>
      </c>
      <c r="D52" s="14" t="s">
        <v>959</v>
      </c>
      <c r="E52" s="14" t="s">
        <v>124</v>
      </c>
      <c r="F52" s="14">
        <v>56.0</v>
      </c>
      <c r="G52" s="14">
        <v>40.0</v>
      </c>
      <c r="H52" s="14">
        <v>455.0</v>
      </c>
      <c r="I52" s="14">
        <v>11.4</v>
      </c>
      <c r="J52" s="14">
        <v>7.0</v>
      </c>
      <c r="K52" s="20">
        <v>6.656139372313522</v>
      </c>
      <c r="L52" s="20">
        <v>49.38981329200717</v>
      </c>
      <c r="M52" s="15"/>
      <c r="N52" s="20">
        <v>6.656139372313522</v>
      </c>
      <c r="O52" s="14">
        <v>5.15</v>
      </c>
      <c r="P52" s="14">
        <v>4.53</v>
      </c>
      <c r="Q52" s="14">
        <v>1.0</v>
      </c>
      <c r="R52" s="20">
        <f t="array" ref="R52">XLOOKUP(E52, 'Conference Match'!$A$2:$A$40,'Conference Match'!$C$2:$C$40)</f>
        <v>0.9</v>
      </c>
      <c r="S52" s="20">
        <f t="shared" si="1"/>
        <v>4.593105087</v>
      </c>
      <c r="T52" s="20">
        <f t="shared" si="2"/>
        <v>34.81921487</v>
      </c>
      <c r="U52" s="20">
        <f t="shared" si="3"/>
        <v>-14.57059842</v>
      </c>
      <c r="W52" s="20">
        <f>IFERROR(__xludf.DUMMYFUNCTION("iferror(PERCENTRANK.INC(FILTER($S$3:$S$435, $P$3:$P$435&lt;3.75), $S52), 1)"),0.979)</f>
        <v>0.979</v>
      </c>
      <c r="X52" s="20">
        <f>IFERROR(__xludf.DUMMYFUNCTION("iferror(PERCENTRANK.INC(FILTER($S$3:$S$435, $P$3:$P$435&lt;4.5), $S52), 1)"),0.923)</f>
        <v>0.923</v>
      </c>
      <c r="Y52" s="20">
        <f>IFERROR(__xludf.DUMMYFUNCTION("iferror(PERCENTRANK.INC(FILTER($S$3:$S$435, $P$3:$P$435&gt;=4.1), $S52), 0.01)"),0.519)</f>
        <v>0.519</v>
      </c>
    </row>
    <row r="53" ht="14.25" customHeight="1">
      <c r="A53" s="14" t="s">
        <v>1010</v>
      </c>
      <c r="B53" s="14" t="s">
        <v>341</v>
      </c>
      <c r="C53" s="14" t="s">
        <v>959</v>
      </c>
      <c r="D53" s="14" t="s">
        <v>959</v>
      </c>
      <c r="E53" s="14" t="s">
        <v>114</v>
      </c>
      <c r="F53" s="14">
        <v>66.0</v>
      </c>
      <c r="G53" s="14">
        <v>41.0</v>
      </c>
      <c r="H53" s="14">
        <v>558.0</v>
      </c>
      <c r="I53" s="14">
        <v>13.6</v>
      </c>
      <c r="J53" s="14">
        <v>3.0</v>
      </c>
      <c r="K53" s="20">
        <v>6.472399992544414</v>
      </c>
      <c r="L53" s="20">
        <v>47.71861252013377</v>
      </c>
      <c r="M53" s="15"/>
      <c r="N53" s="20">
        <v>6.472399992544414</v>
      </c>
      <c r="O53" s="14">
        <v>5.14</v>
      </c>
      <c r="P53" s="14">
        <v>3.4</v>
      </c>
      <c r="Q53" s="14">
        <v>-4.0</v>
      </c>
      <c r="R53" s="20">
        <f t="array" ref="R53">XLOOKUP(E53, 'Conference Match'!$A$2:$A$40,'Conference Match'!$C$2:$C$40)</f>
        <v>0.9</v>
      </c>
      <c r="S53" s="20">
        <f t="shared" si="1"/>
        <v>3.493031999</v>
      </c>
      <c r="T53" s="20">
        <f t="shared" si="2"/>
        <v>23.86020842</v>
      </c>
      <c r="U53" s="20">
        <f t="shared" si="3"/>
        <v>-23.8584041</v>
      </c>
      <c r="W53" s="20">
        <f>IFERROR(__xludf.DUMMYFUNCTION("iferror(PERCENTRANK.INC(FILTER($S$3:$S$435, $P$3:$P$435&lt;3.75), $S53), 1)"),0.816)</f>
        <v>0.816</v>
      </c>
      <c r="X53" s="20">
        <f>IFERROR(__xludf.DUMMYFUNCTION("iferror(PERCENTRANK.INC(FILTER($S$3:$S$435, $P$3:$P$435&lt;4.5), $S53), 1)"),0.618)</f>
        <v>0.618</v>
      </c>
      <c r="Y53" s="20">
        <f>IFERROR(__xludf.DUMMYFUNCTION("iferror(PERCENTRANK.INC(FILTER($S$3:$S$435, $P$3:$P$435&gt;=4.1), $S53), 0.01)"),0.051)</f>
        <v>0.051</v>
      </c>
    </row>
    <row r="54" ht="14.25" customHeight="1">
      <c r="A54" s="14" t="s">
        <v>1011</v>
      </c>
      <c r="B54" s="14" t="s">
        <v>617</v>
      </c>
      <c r="C54" s="14" t="s">
        <v>959</v>
      </c>
      <c r="D54" s="14" t="s">
        <v>959</v>
      </c>
      <c r="E54" s="14" t="s">
        <v>179</v>
      </c>
      <c r="F54" s="14">
        <v>56.0</v>
      </c>
      <c r="G54" s="14">
        <v>27.0</v>
      </c>
      <c r="H54" s="14">
        <v>438.0</v>
      </c>
      <c r="I54" s="14">
        <v>16.2</v>
      </c>
      <c r="J54" s="14">
        <v>3.0</v>
      </c>
      <c r="K54" s="20">
        <v>6.9677465151706635</v>
      </c>
      <c r="L54" s="20">
        <v>52.22403477636465</v>
      </c>
      <c r="M54" s="15"/>
      <c r="N54" s="20">
        <v>6.9677465151706635</v>
      </c>
      <c r="O54" s="14">
        <v>5.07</v>
      </c>
      <c r="P54" s="20">
        <v>3.76</v>
      </c>
      <c r="Q54" s="20">
        <v>1.5</v>
      </c>
      <c r="R54" s="20">
        <f t="array" ref="R54">XLOOKUP(E54, 'Conference Match'!$A$2:$A$40,'Conference Match'!$C$2:$C$40)</f>
        <v>0.9</v>
      </c>
      <c r="S54" s="20">
        <f t="shared" si="1"/>
        <v>4.298194373</v>
      </c>
      <c r="T54" s="20">
        <f t="shared" si="2"/>
        <v>31.88129333</v>
      </c>
      <c r="U54" s="20">
        <f t="shared" si="3"/>
        <v>-20.34274144</v>
      </c>
      <c r="W54" s="20">
        <f>IFERROR(__xludf.DUMMYFUNCTION("iferror(PERCENTRANK.INC(FILTER($S$3:$S$435, $P$3:$P$435&lt;3.75), $S54), 1)"),0.97)</f>
        <v>0.97</v>
      </c>
      <c r="X54" s="20">
        <f>IFERROR(__xludf.DUMMYFUNCTION("iferror(PERCENTRANK.INC(FILTER($S$3:$S$435, $P$3:$P$435&lt;4.5), $S54), 1)"),0.882)</f>
        <v>0.882</v>
      </c>
      <c r="Y54" s="20">
        <f>IFERROR(__xludf.DUMMYFUNCTION("iferror(PERCENTRANK.INC(FILTER($S$3:$S$435, $P$3:$P$435&gt;=4.1), $S54), 0.01)"),0.328)</f>
        <v>0.328</v>
      </c>
    </row>
    <row r="55" ht="14.25" customHeight="1">
      <c r="A55" s="14" t="s">
        <v>1012</v>
      </c>
      <c r="B55" s="14" t="s">
        <v>265</v>
      </c>
      <c r="C55" s="16">
        <v>1.0</v>
      </c>
      <c r="D55" s="14" t="s">
        <v>959</v>
      </c>
      <c r="E55" s="14" t="s">
        <v>172</v>
      </c>
      <c r="F55" s="14">
        <v>46.0</v>
      </c>
      <c r="G55" s="14">
        <v>22.0</v>
      </c>
      <c r="H55" s="14">
        <v>488.0</v>
      </c>
      <c r="I55" s="14">
        <v>22.2</v>
      </c>
      <c r="J55" s="14">
        <v>6.0</v>
      </c>
      <c r="K55" s="20">
        <v>9.277986443207215</v>
      </c>
      <c r="L55" s="20">
        <v>73.2368125260182</v>
      </c>
      <c r="M55" s="15"/>
      <c r="N55" s="20">
        <v>9.277986443207215</v>
      </c>
      <c r="O55" s="14">
        <v>5.06</v>
      </c>
      <c r="P55" s="20">
        <v>5.11</v>
      </c>
      <c r="Q55" s="20">
        <v>3.0</v>
      </c>
      <c r="R55" s="20">
        <f t="array" ref="R55">XLOOKUP(E55, 'Conference Match'!$A$2:$A$40,'Conference Match'!$C$2:$C$40)</f>
        <v>0.9</v>
      </c>
      <c r="S55" s="20">
        <f t="shared" si="1"/>
        <v>5.53703756</v>
      </c>
      <c r="T55" s="20">
        <f t="shared" si="2"/>
        <v>44.2227374</v>
      </c>
      <c r="U55" s="20">
        <f t="shared" si="3"/>
        <v>-29.01407513</v>
      </c>
      <c r="W55" s="20">
        <f>IFERROR(__xludf.DUMMYFUNCTION("iferror(PERCENTRANK.INC(FILTER($S$3:$S$435, $P$3:$P$435&lt;3.75), $S55), 1)"),1.0)</f>
        <v>1</v>
      </c>
      <c r="X55" s="20">
        <f>IFERROR(__xludf.DUMMYFUNCTION("iferror(PERCENTRANK.INC(FILTER($S$3:$S$435, $P$3:$P$435&lt;4.5), $S55), 1)"),0.997)</f>
        <v>0.997</v>
      </c>
      <c r="Y55" s="20">
        <f>IFERROR(__xludf.DUMMYFUNCTION("iferror(PERCENTRANK.INC(FILTER($S$3:$S$435, $P$3:$P$435&gt;=4.1), $S55), 0.01)"),0.896)</f>
        <v>0.896</v>
      </c>
    </row>
    <row r="56" ht="14.25" customHeight="1">
      <c r="A56" s="14" t="s">
        <v>1013</v>
      </c>
      <c r="B56" s="14" t="s">
        <v>394</v>
      </c>
      <c r="C56" s="14" t="s">
        <v>959</v>
      </c>
      <c r="D56" s="14" t="s">
        <v>959</v>
      </c>
      <c r="E56" s="14" t="s">
        <v>210</v>
      </c>
      <c r="F56" s="14">
        <v>43.0</v>
      </c>
      <c r="G56" s="14">
        <v>26.0</v>
      </c>
      <c r="H56" s="14">
        <v>353.0</v>
      </c>
      <c r="I56" s="14">
        <v>13.6</v>
      </c>
      <c r="J56" s="14">
        <v>5.0</v>
      </c>
      <c r="K56" s="20">
        <v>6.696559395127205</v>
      </c>
      <c r="L56" s="20">
        <v>49.757453443020275</v>
      </c>
      <c r="M56" s="15"/>
      <c r="N56" s="20">
        <v>6.696559395127205</v>
      </c>
      <c r="O56" s="14">
        <v>5.03</v>
      </c>
      <c r="P56" s="46">
        <v>3.69</v>
      </c>
      <c r="Q56" s="47">
        <v>-2.0</v>
      </c>
      <c r="R56" s="20">
        <f t="array" ref="R56">XLOOKUP(E56, 'Conference Match'!$A$2:$A$40,'Conference Match'!$C$2:$C$40)</f>
        <v>0.9</v>
      </c>
      <c r="S56" s="20">
        <f t="shared" si="1"/>
        <v>3.856380691</v>
      </c>
      <c r="T56" s="20">
        <f t="shared" si="2"/>
        <v>27.47991397</v>
      </c>
      <c r="U56" s="20">
        <f t="shared" si="3"/>
        <v>-22.27753947</v>
      </c>
      <c r="W56" s="20">
        <f>IFERROR(__xludf.DUMMYFUNCTION("iferror(PERCENTRANK.INC(FILTER($S$3:$S$435, $P$3:$P$435&lt;3.75), $S56), 1)"),0.918)</f>
        <v>0.918</v>
      </c>
      <c r="X56" s="20">
        <f>IFERROR(__xludf.DUMMYFUNCTION("iferror(PERCENTRANK.INC(FILTER($S$3:$S$435, $P$3:$P$435&lt;4.5), $S56), 1)"),0.764)</f>
        <v>0.764</v>
      </c>
      <c r="Y56" s="20">
        <f>IFERROR(__xludf.DUMMYFUNCTION("iferror(PERCENTRANK.INC(FILTER($S$3:$S$435, $P$3:$P$435&gt;=4.1), $S56), 0.01)"),0.19)</f>
        <v>0.19</v>
      </c>
    </row>
    <row r="57" ht="14.25" customHeight="1">
      <c r="A57" s="14" t="s">
        <v>1014</v>
      </c>
      <c r="B57" s="14" t="s">
        <v>375</v>
      </c>
      <c r="C57" s="14" t="s">
        <v>959</v>
      </c>
      <c r="D57" s="14" t="s">
        <v>959</v>
      </c>
      <c r="E57" s="14" t="s">
        <v>105</v>
      </c>
      <c r="F57" s="14">
        <v>44.0</v>
      </c>
      <c r="G57" s="14">
        <v>24.0</v>
      </c>
      <c r="H57" s="14">
        <v>389.0</v>
      </c>
      <c r="I57" s="14">
        <v>16.2</v>
      </c>
      <c r="J57" s="14">
        <v>1.0</v>
      </c>
      <c r="K57" s="20">
        <v>6.6027864168741575</v>
      </c>
      <c r="L57" s="20">
        <v>48.90454170556751</v>
      </c>
      <c r="M57" s="15"/>
      <c r="N57" s="20">
        <v>6.6027864168741575</v>
      </c>
      <c r="O57" s="14">
        <v>4.99</v>
      </c>
      <c r="P57" s="20">
        <v>3.31</v>
      </c>
      <c r="Q57" s="20">
        <v>3.5</v>
      </c>
      <c r="R57" s="20">
        <f t="array" ref="R57">XLOOKUP(E57, 'Conference Match'!$A$2:$A$40,'Conference Match'!$C$2:$C$40)</f>
        <v>0.9</v>
      </c>
      <c r="S57" s="20">
        <f t="shared" si="1"/>
        <v>4.191501555</v>
      </c>
      <c r="T57" s="20">
        <f t="shared" si="2"/>
        <v>30.81841189</v>
      </c>
      <c r="U57" s="20">
        <f t="shared" si="3"/>
        <v>-18.08612982</v>
      </c>
      <c r="W57" s="20">
        <f>IFERROR(__xludf.DUMMYFUNCTION("iferror(PERCENTRANK.INC(FILTER($S$3:$S$435, $P$3:$P$435&lt;3.75), $S57), 1)"),0.966)</f>
        <v>0.966</v>
      </c>
      <c r="X57" s="20">
        <f>IFERROR(__xludf.DUMMYFUNCTION("iferror(PERCENTRANK.INC(FILTER($S$3:$S$435, $P$3:$P$435&lt;4.5), $S57), 1)"),0.868)</f>
        <v>0.868</v>
      </c>
      <c r="Y57" s="20">
        <f>IFERROR(__xludf.DUMMYFUNCTION("iferror(PERCENTRANK.INC(FILTER($S$3:$S$435, $P$3:$P$435&gt;=4.1), $S57), 0.01)"),0.315)</f>
        <v>0.315</v>
      </c>
    </row>
    <row r="58" ht="14.25" customHeight="1">
      <c r="A58" s="14" t="s">
        <v>1015</v>
      </c>
      <c r="B58" s="14" t="s">
        <v>375</v>
      </c>
      <c r="C58" s="14" t="s">
        <v>959</v>
      </c>
      <c r="D58" s="14" t="s">
        <v>959</v>
      </c>
      <c r="E58" s="14" t="s">
        <v>105</v>
      </c>
      <c r="F58" s="14">
        <v>59.0</v>
      </c>
      <c r="G58" s="14">
        <v>26.0</v>
      </c>
      <c r="H58" s="14">
        <v>500.0</v>
      </c>
      <c r="I58" s="14">
        <v>19.2</v>
      </c>
      <c r="J58" s="14">
        <v>2.0</v>
      </c>
      <c r="K58" s="20">
        <v>7.590647715421803</v>
      </c>
      <c r="L58" s="20">
        <v>57.88963007753916</v>
      </c>
      <c r="M58" s="15"/>
      <c r="N58" s="20">
        <v>7.590647715421803</v>
      </c>
      <c r="O58" s="14">
        <v>4.99</v>
      </c>
      <c r="P58" s="20">
        <v>3.37</v>
      </c>
      <c r="Q58" s="20">
        <v>-2.0</v>
      </c>
      <c r="R58" s="20">
        <f t="array" ref="R58">XLOOKUP(E58, 'Conference Match'!$A$2:$A$40,'Conference Match'!$C$2:$C$40)</f>
        <v>0.9</v>
      </c>
      <c r="S58" s="20">
        <f t="shared" si="1"/>
        <v>3.849316589</v>
      </c>
      <c r="T58" s="20">
        <f t="shared" si="2"/>
        <v>27.40954088</v>
      </c>
      <c r="U58" s="20">
        <f t="shared" si="3"/>
        <v>-30.4800892</v>
      </c>
      <c r="W58" s="20">
        <f>IFERROR(__xludf.DUMMYFUNCTION("iferror(PERCENTRANK.INC(FILTER($S$3:$S$435, $P$3:$P$435&lt;3.75), $S58), 1)"),0.912)</f>
        <v>0.912</v>
      </c>
      <c r="X58" s="20">
        <f>IFERROR(__xludf.DUMMYFUNCTION("iferror(PERCENTRANK.INC(FILTER($S$3:$S$435, $P$3:$P$435&lt;4.5), $S58), 1)"),0.755)</f>
        <v>0.755</v>
      </c>
      <c r="Y58" s="20">
        <f>IFERROR(__xludf.DUMMYFUNCTION("iferror(PERCENTRANK.INC(FILTER($S$3:$S$435, $P$3:$P$435&gt;=4.1), $S58), 0.01)"),0.189)</f>
        <v>0.189</v>
      </c>
    </row>
    <row r="59" ht="14.25" customHeight="1">
      <c r="A59" s="14" t="s">
        <v>1016</v>
      </c>
      <c r="B59" s="14" t="s">
        <v>525</v>
      </c>
      <c r="C59" s="14">
        <v>2.0</v>
      </c>
      <c r="D59" s="14" t="s">
        <v>959</v>
      </c>
      <c r="E59" s="14" t="s">
        <v>132</v>
      </c>
      <c r="F59" s="14">
        <v>56.0</v>
      </c>
      <c r="G59" s="14">
        <v>41.0</v>
      </c>
      <c r="H59" s="14">
        <v>571.0</v>
      </c>
      <c r="I59" s="14">
        <v>13.9</v>
      </c>
      <c r="J59" s="14">
        <v>2.0</v>
      </c>
      <c r="K59" s="20">
        <v>6.492746515170665</v>
      </c>
      <c r="L59" s="20">
        <v>54.13257445340056</v>
      </c>
      <c r="M59" s="15"/>
      <c r="N59" s="20">
        <v>6.492746515170665</v>
      </c>
      <c r="O59" s="14">
        <v>4.94</v>
      </c>
      <c r="P59" s="20">
        <v>4.26</v>
      </c>
      <c r="Q59" s="20">
        <v>-2.5</v>
      </c>
      <c r="R59" s="20">
        <f t="array" ref="R59">XLOOKUP(E59, 'Conference Match'!$A$2:$A$40,'Conference Match'!$C$2:$C$40)</f>
        <v>0.95</v>
      </c>
      <c r="S59" s="20">
        <f t="shared" si="1"/>
        <v>4.101621838</v>
      </c>
      <c r="T59" s="20">
        <f t="shared" si="2"/>
        <v>29.92302374</v>
      </c>
      <c r="U59" s="20">
        <f t="shared" si="3"/>
        <v>-24.20955071</v>
      </c>
      <c r="W59" s="20">
        <f>IFERROR(__xludf.DUMMYFUNCTION("iferror(PERCENTRANK.INC(FILTER($S$3:$S$435, $P$3:$P$435&lt;3.75), $S59), 1)"),0.958)</f>
        <v>0.958</v>
      </c>
      <c r="X59" s="20">
        <f>IFERROR(__xludf.DUMMYFUNCTION("iferror(PERCENTRANK.INC(FILTER($S$3:$S$435, $P$3:$P$435&lt;4.5), $S59), 1)"),0.85)</f>
        <v>0.85</v>
      </c>
      <c r="Y59" s="20">
        <f>IFERROR(__xludf.DUMMYFUNCTION("iferror(PERCENTRANK.INC(FILTER($S$3:$S$435, $P$3:$P$435&gt;=4.1), $S59), 0.01)"),0.273)</f>
        <v>0.273</v>
      </c>
    </row>
    <row r="60" ht="14.25" customHeight="1">
      <c r="A60" s="17" t="s">
        <v>1017</v>
      </c>
      <c r="B60" s="17" t="s">
        <v>191</v>
      </c>
      <c r="C60" s="16">
        <v>2.0</v>
      </c>
      <c r="D60" s="17" t="s">
        <v>959</v>
      </c>
      <c r="E60" s="17" t="s">
        <v>155</v>
      </c>
      <c r="F60" s="18">
        <v>51.0</v>
      </c>
      <c r="G60" s="18">
        <v>31.0</v>
      </c>
      <c r="H60" s="18">
        <v>483.0</v>
      </c>
      <c r="I60" s="18">
        <v>15.6</v>
      </c>
      <c r="J60" s="18">
        <v>2.0</v>
      </c>
      <c r="K60" s="18">
        <v>6.78</v>
      </c>
      <c r="L60" s="22">
        <v>50.53</v>
      </c>
      <c r="M60" s="15"/>
      <c r="N60" s="38">
        <v>6.78</v>
      </c>
      <c r="O60" s="16">
        <v>6.68</v>
      </c>
      <c r="P60" s="16">
        <v>4.6</v>
      </c>
      <c r="Q60" s="16">
        <v>5.5</v>
      </c>
      <c r="R60" s="20">
        <f t="array" ref="R60">XLOOKUP(E60, 'Conference Match'!$A$2:$A$40,'Conference Match'!$C$2:$C$40)</f>
        <v>0.9</v>
      </c>
      <c r="S60" s="20">
        <f t="shared" si="1"/>
        <v>5.4064</v>
      </c>
      <c r="T60" s="20">
        <f t="shared" si="2"/>
        <v>42.92131672</v>
      </c>
      <c r="U60" s="20">
        <f t="shared" si="3"/>
        <v>-7.608683278</v>
      </c>
      <c r="W60" s="20">
        <f>IFERROR(__xludf.DUMMYFUNCTION("iferror(PERCENTRANK.INC(FILTER($S$3:$S$435, $P$3:$P$435&lt;3.75), $S60), 1)"),1.0)</f>
        <v>1</v>
      </c>
      <c r="X60" s="20">
        <f>IFERROR(__xludf.DUMMYFUNCTION("iferror(PERCENTRANK.INC(FILTER($S$3:$S$435, $P$3:$P$435&lt;4.5), $S60), 1)"),0.995)</f>
        <v>0.995</v>
      </c>
      <c r="Y60" s="20">
        <f>IFERROR(__xludf.DUMMYFUNCTION("iferror(PERCENTRANK.INC(FILTER($S$3:$S$435, $P$3:$P$435&gt;=4.1), $S60), 0.01)"),0.87)</f>
        <v>0.87</v>
      </c>
    </row>
    <row r="61" ht="14.25" customHeight="1">
      <c r="A61" s="14" t="s">
        <v>1018</v>
      </c>
      <c r="B61" s="14" t="s">
        <v>531</v>
      </c>
      <c r="C61" s="14" t="s">
        <v>959</v>
      </c>
      <c r="D61" s="14" t="s">
        <v>959</v>
      </c>
      <c r="E61" s="14" t="s">
        <v>114</v>
      </c>
      <c r="F61" s="14">
        <v>69.0</v>
      </c>
      <c r="G61" s="14">
        <v>38.0</v>
      </c>
      <c r="H61" s="14">
        <v>490.0</v>
      </c>
      <c r="I61" s="14">
        <v>12.9</v>
      </c>
      <c r="J61" s="14">
        <v>2.0</v>
      </c>
      <c r="K61" s="20">
        <v>5.959799421673798</v>
      </c>
      <c r="L61" s="20">
        <v>43.056256139165114</v>
      </c>
      <c r="M61" s="15"/>
      <c r="N61" s="20">
        <v>5.959799421673798</v>
      </c>
      <c r="O61" s="14">
        <v>4.91</v>
      </c>
      <c r="R61" s="20">
        <f t="array" ref="R61">XLOOKUP(E61, 'Conference Match'!$A$2:$A$40,'Conference Match'!$C$2:$C$40)</f>
        <v>0.9</v>
      </c>
      <c r="S61" s="20">
        <f t="shared" si="1"/>
        <v>2.054763896</v>
      </c>
      <c r="T61" s="20">
        <f t="shared" si="2"/>
        <v>9.532079141</v>
      </c>
      <c r="U61" s="20">
        <f t="shared" si="3"/>
        <v>-33.524177</v>
      </c>
      <c r="W61" s="20">
        <f>IFERROR(__xludf.DUMMYFUNCTION("iferror(PERCENTRANK.INC(FILTER($S$3:$S$435, $P$3:$P$435&lt;3.75), $S61), 1)"),0.483)</f>
        <v>0.483</v>
      </c>
      <c r="X61" s="20">
        <f>IFERROR(__xludf.DUMMYFUNCTION("iferror(PERCENTRANK.INC(FILTER($S$3:$S$435, $P$3:$P$435&lt;4.5), $S61), 1)"),0.323)</f>
        <v>0.323</v>
      </c>
      <c r="Y61" s="20">
        <f>IFERROR(__xludf.DUMMYFUNCTION("iferror(PERCENTRANK.INC(FILTER($S$3:$S$435, $P$3:$P$435&gt;=4.1), $S61), 0.01)"),0.01)</f>
        <v>0.01</v>
      </c>
    </row>
    <row r="62" ht="14.25" customHeight="1">
      <c r="A62" s="14" t="s">
        <v>1019</v>
      </c>
      <c r="B62" s="14" t="s">
        <v>140</v>
      </c>
      <c r="C62" s="16">
        <v>7.0</v>
      </c>
      <c r="D62" s="14" t="s">
        <v>959</v>
      </c>
      <c r="E62" s="14" t="s">
        <v>102</v>
      </c>
      <c r="F62" s="14">
        <v>66.0</v>
      </c>
      <c r="G62" s="14">
        <v>40.0</v>
      </c>
      <c r="H62" s="14">
        <v>476.0</v>
      </c>
      <c r="I62" s="14">
        <v>11.9</v>
      </c>
      <c r="J62" s="14">
        <v>3.0</v>
      </c>
      <c r="K62" s="20">
        <v>5.9193696895141095</v>
      </c>
      <c r="L62" s="20">
        <v>42.688527676835406</v>
      </c>
      <c r="M62" s="15"/>
      <c r="N62" s="20">
        <v>5.9193696895141095</v>
      </c>
      <c r="O62" s="14">
        <v>4.85</v>
      </c>
      <c r="P62" s="20">
        <v>4.41</v>
      </c>
      <c r="Q62" s="20">
        <v>-2.0</v>
      </c>
      <c r="R62" s="20">
        <f t="array" ref="R62">XLOOKUP(E62, 'Conference Match'!$A$2:$A$40,'Conference Match'!$C$2:$C$40)</f>
        <v>0.9</v>
      </c>
      <c r="S62" s="20">
        <f t="shared" si="1"/>
        <v>4.040486544</v>
      </c>
      <c r="T62" s="20">
        <f t="shared" si="2"/>
        <v>29.31398959</v>
      </c>
      <c r="U62" s="20">
        <f t="shared" si="3"/>
        <v>-13.37453809</v>
      </c>
      <c r="W62" s="20">
        <f>IFERROR(__xludf.DUMMYFUNCTION("iferror(PERCENTRANK.INC(FILTER($S$3:$S$435, $P$3:$P$435&lt;3.75), $S62), 1)"),0.955)</f>
        <v>0.955</v>
      </c>
      <c r="X62" s="20">
        <f>IFERROR(__xludf.DUMMYFUNCTION("iferror(PERCENTRANK.INC(FILTER($S$3:$S$435, $P$3:$P$435&lt;4.5), $S62), 1)"),0.827)</f>
        <v>0.827</v>
      </c>
      <c r="Y62" s="20">
        <f>IFERROR(__xludf.DUMMYFUNCTION("iferror(PERCENTRANK.INC(FILTER($S$3:$S$435, $P$3:$P$435&gt;=4.1), $S62), 0.01)"),0.234)</f>
        <v>0.234</v>
      </c>
    </row>
    <row r="63" ht="14.25" customHeight="1">
      <c r="A63" s="14" t="s">
        <v>1020</v>
      </c>
      <c r="B63" s="14" t="s">
        <v>321</v>
      </c>
      <c r="C63" s="16">
        <v>23.0</v>
      </c>
      <c r="D63" s="14" t="s">
        <v>959</v>
      </c>
      <c r="E63" s="14" t="s">
        <v>102</v>
      </c>
      <c r="F63" s="14">
        <v>43.0</v>
      </c>
      <c r="G63" s="14">
        <v>34.0</v>
      </c>
      <c r="H63" s="14">
        <v>521.0</v>
      </c>
      <c r="I63" s="14">
        <v>15.3</v>
      </c>
      <c r="J63" s="14">
        <v>6.0</v>
      </c>
      <c r="K63" s="20">
        <v>7.758768697452787</v>
      </c>
      <c r="L63" s="20">
        <v>59.41877377711714</v>
      </c>
      <c r="M63" s="15"/>
      <c r="N63" s="20">
        <v>7.758768697452787</v>
      </c>
      <c r="O63" s="14">
        <v>4.84</v>
      </c>
      <c r="P63" s="20">
        <v>4.56</v>
      </c>
      <c r="Q63" s="20">
        <v>-3.0</v>
      </c>
      <c r="R63" s="20">
        <f t="array" ref="R63">XLOOKUP(E63, 'Conference Match'!$A$2:$A$40,'Conference Match'!$C$2:$C$40)</f>
        <v>0.9</v>
      </c>
      <c r="S63" s="20">
        <f t="shared" si="1"/>
        <v>4.344578366</v>
      </c>
      <c r="T63" s="20">
        <f t="shared" si="2"/>
        <v>32.34337397</v>
      </c>
      <c r="U63" s="20">
        <f t="shared" si="3"/>
        <v>-27.0753998</v>
      </c>
      <c r="W63" s="20">
        <f>IFERROR(__xludf.DUMMYFUNCTION("iferror(PERCENTRANK.INC(FILTER($S$3:$S$435, $P$3:$P$435&lt;3.75), $S63), 1)"),0.972)</f>
        <v>0.972</v>
      </c>
      <c r="X63" s="20">
        <f>IFERROR(__xludf.DUMMYFUNCTION("iferror(PERCENTRANK.INC(FILTER($S$3:$S$435, $P$3:$P$435&lt;4.5), $S63), 1)"),0.885)</f>
        <v>0.885</v>
      </c>
      <c r="Y63" s="20">
        <f>IFERROR(__xludf.DUMMYFUNCTION("iferror(PERCENTRANK.INC(FILTER($S$3:$S$435, $P$3:$P$435&gt;=4.1), $S63), 0.01)"),0.351)</f>
        <v>0.351</v>
      </c>
    </row>
    <row r="64" ht="14.25" customHeight="1">
      <c r="A64" s="14" t="s">
        <v>1021</v>
      </c>
      <c r="B64" s="14" t="s">
        <v>301</v>
      </c>
      <c r="C64" s="14">
        <v>15.0</v>
      </c>
      <c r="D64" s="14" t="s">
        <v>959</v>
      </c>
      <c r="E64" s="14" t="s">
        <v>144</v>
      </c>
      <c r="F64" s="14">
        <v>21.0</v>
      </c>
      <c r="G64" s="14">
        <v>17.0</v>
      </c>
      <c r="H64" s="14">
        <v>269.0</v>
      </c>
      <c r="I64" s="14">
        <v>15.8</v>
      </c>
      <c r="J64" s="14">
        <v>2.0</v>
      </c>
      <c r="K64" s="20">
        <v>6.915198192008744</v>
      </c>
      <c r="L64" s="20">
        <v>59.18162513075628</v>
      </c>
      <c r="M64" s="15"/>
      <c r="N64" s="20">
        <v>6.915198192008744</v>
      </c>
      <c r="O64" s="14">
        <v>4.82</v>
      </c>
      <c r="P64" s="20">
        <v>4.2</v>
      </c>
      <c r="Q64" s="20">
        <v>2.5</v>
      </c>
      <c r="R64" s="20">
        <f t="array" ref="R64">XLOOKUP(E64, 'Conference Match'!$A$2:$A$40,'Conference Match'!$C$2:$C$40)</f>
        <v>0.95</v>
      </c>
      <c r="S64" s="20">
        <f t="shared" si="1"/>
        <v>4.627887656</v>
      </c>
      <c r="T64" s="20">
        <f t="shared" si="2"/>
        <v>35.16572131</v>
      </c>
      <c r="U64" s="20">
        <f t="shared" si="3"/>
        <v>-24.01590382</v>
      </c>
      <c r="W64" s="20">
        <f>IFERROR(__xludf.DUMMYFUNCTION("iferror(PERCENTRANK.INC(FILTER($S$3:$S$435, $P$3:$P$435&lt;3.75), $S64), 1)"),0.98)</f>
        <v>0.98</v>
      </c>
      <c r="X64" s="20">
        <f>IFERROR(__xludf.DUMMYFUNCTION("iferror(PERCENTRANK.INC(FILTER($S$3:$S$435, $P$3:$P$435&lt;4.5), $S64), 1)"),0.945)</f>
        <v>0.945</v>
      </c>
      <c r="Y64" s="20">
        <f>IFERROR(__xludf.DUMMYFUNCTION("iferror(PERCENTRANK.INC(FILTER($S$3:$S$435, $P$3:$P$435&gt;=4.1), $S64), 0.01)"),0.571)</f>
        <v>0.571</v>
      </c>
    </row>
    <row r="65" ht="14.25" customHeight="1">
      <c r="A65" s="14" t="s">
        <v>1022</v>
      </c>
      <c r="B65" s="14" t="s">
        <v>245</v>
      </c>
      <c r="C65" s="14">
        <v>1.0</v>
      </c>
      <c r="D65" s="14" t="s">
        <v>959</v>
      </c>
      <c r="E65" s="14" t="s">
        <v>158</v>
      </c>
      <c r="F65" s="14">
        <v>41.0</v>
      </c>
      <c r="G65" s="14">
        <v>30.0</v>
      </c>
      <c r="H65" s="14">
        <v>374.0</v>
      </c>
      <c r="I65" s="14">
        <v>12.5</v>
      </c>
      <c r="J65" s="14">
        <v>2.0</v>
      </c>
      <c r="K65" s="20">
        <v>5.928306317618691</v>
      </c>
      <c r="L65" s="20">
        <v>47.386507818970045</v>
      </c>
      <c r="M65" s="15"/>
      <c r="N65" s="20">
        <v>5.928306317618691</v>
      </c>
      <c r="O65" s="14">
        <v>4.81</v>
      </c>
      <c r="P65" s="16">
        <v>4.76</v>
      </c>
      <c r="Q65" s="16">
        <v>5.5</v>
      </c>
      <c r="R65" s="20">
        <f t="array" ref="R65">XLOOKUP(E65, 'Conference Match'!$A$2:$A$40,'Conference Match'!$C$2:$C$40)</f>
        <v>0.95</v>
      </c>
      <c r="S65" s="20">
        <f t="shared" si="1"/>
        <v>5.0183782</v>
      </c>
      <c r="T65" s="20">
        <f t="shared" si="2"/>
        <v>39.05581592</v>
      </c>
      <c r="U65" s="20">
        <f t="shared" si="3"/>
        <v>-8.330691901</v>
      </c>
      <c r="W65" s="20">
        <f>IFERROR(__xludf.DUMMYFUNCTION("iferror(PERCENTRANK.INC(FILTER($S$3:$S$435, $P$3:$P$435&lt;3.75), $S65), 1)"),1.0)</f>
        <v>1</v>
      </c>
      <c r="X65" s="20">
        <f>IFERROR(__xludf.DUMMYFUNCTION("iferror(PERCENTRANK.INC(FILTER($S$3:$S$435, $P$3:$P$435&lt;4.5), $S65), 1)"),0.977)</f>
        <v>0.977</v>
      </c>
      <c r="Y65" s="20">
        <f>IFERROR(__xludf.DUMMYFUNCTION("iferror(PERCENTRANK.INC(FILTER($S$3:$S$435, $P$3:$P$435&gt;=4.1), $S65), 0.01)"),0.727)</f>
        <v>0.727</v>
      </c>
    </row>
    <row r="66" ht="14.25" customHeight="1">
      <c r="A66" s="14" t="s">
        <v>1023</v>
      </c>
      <c r="B66" s="14" t="s">
        <v>317</v>
      </c>
      <c r="C66" s="14" t="s">
        <v>959</v>
      </c>
      <c r="D66" s="14" t="s">
        <v>959</v>
      </c>
      <c r="E66" s="14" t="s">
        <v>124</v>
      </c>
      <c r="F66" s="14">
        <v>48.0</v>
      </c>
      <c r="G66" s="14">
        <v>30.0</v>
      </c>
      <c r="H66" s="14">
        <v>482.0</v>
      </c>
      <c r="I66" s="14">
        <v>16.1</v>
      </c>
      <c r="J66" s="14">
        <v>4.0</v>
      </c>
      <c r="K66" s="20">
        <v>7.347553771005386</v>
      </c>
      <c r="L66" s="20">
        <v>55.67857010739566</v>
      </c>
      <c r="M66" s="15"/>
      <c r="N66" s="20">
        <v>7.347553771005386</v>
      </c>
      <c r="O66" s="14">
        <v>4.71</v>
      </c>
      <c r="P66" s="20">
        <v>3.9</v>
      </c>
      <c r="Q66" s="20">
        <v>-3.5</v>
      </c>
      <c r="R66" s="20">
        <f t="array" ref="R66">XLOOKUP(E66, 'Conference Match'!$A$2:$A$40,'Conference Match'!$C$2:$C$40)</f>
        <v>0.9</v>
      </c>
      <c r="S66" s="20">
        <f t="shared" si="1"/>
        <v>3.864559679</v>
      </c>
      <c r="T66" s="20">
        <f t="shared" si="2"/>
        <v>27.56139363</v>
      </c>
      <c r="U66" s="20">
        <f t="shared" si="3"/>
        <v>-28.11717648</v>
      </c>
      <c r="W66" s="20">
        <f>IFERROR(__xludf.DUMMYFUNCTION("iferror(PERCENTRANK.INC(FILTER($S$3:$S$435, $P$3:$P$435&lt;3.75), $S66), 1)"),0.937)</f>
        <v>0.937</v>
      </c>
      <c r="X66" s="20">
        <f>IFERROR(__xludf.DUMMYFUNCTION("iferror(PERCENTRANK.INC(FILTER($S$3:$S$435, $P$3:$P$435&lt;4.5), $S66), 1)"),0.777)</f>
        <v>0.777</v>
      </c>
      <c r="Y66" s="20">
        <f>IFERROR(__xludf.DUMMYFUNCTION("iferror(PERCENTRANK.INC(FILTER($S$3:$S$435, $P$3:$P$435&gt;=4.1), $S66), 0.01)"),0.191)</f>
        <v>0.191</v>
      </c>
    </row>
    <row r="67" ht="14.25" customHeight="1">
      <c r="A67" s="14" t="s">
        <v>1024</v>
      </c>
      <c r="B67" s="14" t="s">
        <v>242</v>
      </c>
      <c r="C67" s="14" t="s">
        <v>959</v>
      </c>
      <c r="D67" s="14" t="s">
        <v>959</v>
      </c>
      <c r="E67" s="14" t="s">
        <v>243</v>
      </c>
      <c r="F67" s="14">
        <v>43.0</v>
      </c>
      <c r="G67" s="14">
        <v>28.0</v>
      </c>
      <c r="H67" s="14">
        <v>354.0</v>
      </c>
      <c r="I67" s="14">
        <v>12.6</v>
      </c>
      <c r="J67" s="14">
        <v>3.0</v>
      </c>
      <c r="K67" s="20">
        <v>6.060512883499298</v>
      </c>
      <c r="L67" s="20">
        <v>43.972295016363475</v>
      </c>
      <c r="M67" s="15"/>
      <c r="N67" s="20">
        <v>6.060512883499298</v>
      </c>
      <c r="O67" s="14">
        <v>4.69</v>
      </c>
      <c r="P67" s="14">
        <v>3.47</v>
      </c>
      <c r="Q67" s="14">
        <v>-7.5</v>
      </c>
      <c r="R67" s="20">
        <f t="array" ref="R67">XLOOKUP(E67, 'Conference Match'!$A$2:$A$40,'Conference Match'!$C$2:$C$40)</f>
        <v>0.9</v>
      </c>
      <c r="S67" s="20">
        <f t="shared" si="1"/>
        <v>3.013892319</v>
      </c>
      <c r="T67" s="20">
        <f t="shared" si="2"/>
        <v>19.0869848</v>
      </c>
      <c r="U67" s="20">
        <f t="shared" si="3"/>
        <v>-24.88531021</v>
      </c>
      <c r="W67" s="20">
        <f>IFERROR(__xludf.DUMMYFUNCTION("iferror(PERCENTRANK.INC(FILTER($S$3:$S$435, $P$3:$P$435&lt;3.75), $S67), 1)"),0.646)</f>
        <v>0.646</v>
      </c>
      <c r="X67" s="20">
        <f>IFERROR(__xludf.DUMMYFUNCTION("iferror(PERCENTRANK.INC(FILTER($S$3:$S$435, $P$3:$P$435&lt;4.5), $S67), 1)"),0.441)</f>
        <v>0.441</v>
      </c>
      <c r="Y67" s="20">
        <f>IFERROR(__xludf.DUMMYFUNCTION("iferror(PERCENTRANK.INC(FILTER($S$3:$S$435, $P$3:$P$435&gt;=4.1), $S67), 0.01)"),0.01)</f>
        <v>0.01</v>
      </c>
    </row>
    <row r="68" ht="14.25" customHeight="1">
      <c r="A68" s="14" t="s">
        <v>1025</v>
      </c>
      <c r="B68" s="14" t="s">
        <v>682</v>
      </c>
      <c r="C68" s="14" t="s">
        <v>959</v>
      </c>
      <c r="E68" s="14" t="s">
        <v>124</v>
      </c>
      <c r="F68" s="14">
        <v>35.0</v>
      </c>
      <c r="G68" s="14">
        <v>24.0</v>
      </c>
      <c r="H68" s="14">
        <v>230.0</v>
      </c>
      <c r="I68" s="14">
        <v>9.6</v>
      </c>
      <c r="J68" s="14">
        <v>1.0</v>
      </c>
      <c r="K68" s="20">
        <v>4.682803057031068</v>
      </c>
      <c r="L68" s="20">
        <v>31.441340964463524</v>
      </c>
      <c r="M68" s="15"/>
      <c r="N68" s="20">
        <v>4.68</v>
      </c>
      <c r="O68" s="20">
        <v>4.682803057031068</v>
      </c>
      <c r="P68" s="14">
        <v>0.61</v>
      </c>
      <c r="Q68" s="20">
        <v>4.04</v>
      </c>
      <c r="R68" s="20">
        <f t="array" ref="R68">XLOOKUP(E68, 'Conference Match'!$A$2:$A$40,'Conference Match'!$C$2:$C$40)</f>
        <v>0.9</v>
      </c>
      <c r="S68" s="20">
        <f t="shared" si="1"/>
        <v>2.487960611</v>
      </c>
      <c r="T68" s="20">
        <f t="shared" si="2"/>
        <v>13.84761567</v>
      </c>
      <c r="U68" s="20">
        <f t="shared" si="3"/>
        <v>-17.59372529</v>
      </c>
      <c r="W68" s="20">
        <f>IFERROR(__xludf.DUMMYFUNCTION("iferror(PERCENTRANK.INC(FILTER($S$3:$S$435, $P$3:$P$435&lt;3.75), $S68), 1)"),0.524)</f>
        <v>0.524</v>
      </c>
      <c r="X68" s="20">
        <f>IFERROR(__xludf.DUMMYFUNCTION("iferror(PERCENTRANK.INC(FILTER($S$3:$S$435, $P$3:$P$435&lt;4.5), $S68), 1)"),0.35)</f>
        <v>0.35</v>
      </c>
      <c r="Y68" s="20">
        <f>IFERROR(__xludf.DUMMYFUNCTION("iferror(PERCENTRANK.INC(FILTER($S$3:$S$435, $P$3:$P$435&gt;=4.1), $S68), 0.01)"),0.01)</f>
        <v>0.01</v>
      </c>
    </row>
    <row r="69" ht="14.25" customHeight="1">
      <c r="A69" s="14" t="s">
        <v>1026</v>
      </c>
      <c r="B69" s="14" t="s">
        <v>604</v>
      </c>
      <c r="C69" s="14">
        <v>11.0</v>
      </c>
      <c r="D69" s="14" t="s">
        <v>959</v>
      </c>
      <c r="E69" s="14" t="s">
        <v>132</v>
      </c>
      <c r="F69" s="14">
        <v>66.0</v>
      </c>
      <c r="G69" s="14">
        <v>42.0</v>
      </c>
      <c r="H69" s="14">
        <v>664.0</v>
      </c>
      <c r="I69" s="14">
        <v>15.8</v>
      </c>
      <c r="J69" s="14">
        <v>5.0</v>
      </c>
      <c r="K69" s="20">
        <v>7.586793931938353</v>
      </c>
      <c r="L69" s="20">
        <v>67.20839153154515</v>
      </c>
      <c r="M69" s="15"/>
      <c r="N69" s="20">
        <v>7.586793931938353</v>
      </c>
      <c r="O69" s="14">
        <v>4.66</v>
      </c>
      <c r="P69" s="14">
        <v>5.56</v>
      </c>
      <c r="Q69" s="14">
        <v>1.0</v>
      </c>
      <c r="R69" s="20">
        <f t="array" ref="R69">XLOOKUP(E69, 'Conference Match'!$A$2:$A$40,'Conference Match'!$C$2:$C$40)</f>
        <v>0.95</v>
      </c>
      <c r="S69" s="20">
        <f t="shared" si="1"/>
        <v>5.253490847</v>
      </c>
      <c r="T69" s="20">
        <f t="shared" si="2"/>
        <v>41.39802485</v>
      </c>
      <c r="U69" s="20">
        <f t="shared" si="3"/>
        <v>-25.81036668</v>
      </c>
      <c r="W69" s="20">
        <f>IFERROR(__xludf.DUMMYFUNCTION("iferror(PERCENTRANK.INC(FILTER($S$3:$S$435, $P$3:$P$435&lt;3.75), $S69), 1)"),1.0)</f>
        <v>1</v>
      </c>
      <c r="X69" s="20">
        <f>IFERROR(__xludf.DUMMYFUNCTION("iferror(PERCENTRANK.INC(FILTER($S$3:$S$435, $P$3:$P$435&lt;4.5), $S69), 1)"),0.992)</f>
        <v>0.992</v>
      </c>
      <c r="Y69" s="20">
        <f>IFERROR(__xludf.DUMMYFUNCTION("iferror(PERCENTRANK.INC(FILTER($S$3:$S$435, $P$3:$P$435&gt;=4.1), $S69), 0.01)"),0.831)</f>
        <v>0.831</v>
      </c>
    </row>
    <row r="70" ht="14.25" customHeight="1">
      <c r="A70" s="14" t="s">
        <v>1027</v>
      </c>
      <c r="B70" s="14" t="s">
        <v>178</v>
      </c>
      <c r="C70" s="16">
        <v>7.0</v>
      </c>
      <c r="D70" s="14" t="s">
        <v>959</v>
      </c>
      <c r="E70" s="14" t="s">
        <v>179</v>
      </c>
      <c r="F70" s="14">
        <v>40.0</v>
      </c>
      <c r="G70" s="14">
        <v>22.0</v>
      </c>
      <c r="H70" s="14">
        <v>314.0</v>
      </c>
      <c r="I70" s="14">
        <v>14.3</v>
      </c>
      <c r="J70" s="14">
        <v>6.0</v>
      </c>
      <c r="K70" s="20">
        <v>6.997250223346508</v>
      </c>
      <c r="L70" s="20">
        <v>52.49238563255322</v>
      </c>
      <c r="M70" s="15"/>
      <c r="N70" s="20">
        <v>6.997250223346508</v>
      </c>
      <c r="O70" s="14">
        <v>4.57</v>
      </c>
      <c r="P70" s="20">
        <v>3.89</v>
      </c>
      <c r="Q70" s="20">
        <v>-3.5</v>
      </c>
      <c r="R70" s="20">
        <f t="array" ref="R70">XLOOKUP(E70, 'Conference Match'!$A$2:$A$40,'Conference Match'!$C$2:$C$40)</f>
        <v>0.9</v>
      </c>
      <c r="S70" s="20">
        <f t="shared" si="1"/>
        <v>3.76850504</v>
      </c>
      <c r="T70" s="20">
        <f t="shared" si="2"/>
        <v>26.60449048</v>
      </c>
      <c r="U70" s="20">
        <f t="shared" si="3"/>
        <v>-25.88789515</v>
      </c>
      <c r="W70" s="20">
        <f>IFERROR(__xludf.DUMMYFUNCTION("iferror(PERCENTRANK.INC(FILTER($S$3:$S$435, $P$3:$P$435&lt;3.75), $S70), 1)"),0.897)</f>
        <v>0.897</v>
      </c>
      <c r="X70" s="20">
        <f>IFERROR(__xludf.DUMMYFUNCTION("iferror(PERCENTRANK.INC(FILTER($S$3:$S$435, $P$3:$P$435&lt;4.5), $S70), 1)"),0.723)</f>
        <v>0.723</v>
      </c>
      <c r="Y70" s="20">
        <f>IFERROR(__xludf.DUMMYFUNCTION("iferror(PERCENTRANK.INC(FILTER($S$3:$S$435, $P$3:$P$435&gt;=4.1), $S70), 0.01)"),0.162)</f>
        <v>0.162</v>
      </c>
    </row>
    <row r="71" ht="14.25" customHeight="1">
      <c r="A71" s="14" t="s">
        <v>1028</v>
      </c>
      <c r="B71" s="14" t="s">
        <v>242</v>
      </c>
      <c r="C71" s="14" t="s">
        <v>959</v>
      </c>
      <c r="D71" s="14" t="s">
        <v>959</v>
      </c>
      <c r="E71" s="14" t="s">
        <v>243</v>
      </c>
      <c r="F71" s="14">
        <v>53.0</v>
      </c>
      <c r="G71" s="14">
        <v>38.0</v>
      </c>
      <c r="H71" s="14">
        <v>575.0</v>
      </c>
      <c r="I71" s="14">
        <v>15.1</v>
      </c>
      <c r="J71" s="14">
        <v>1.0</v>
      </c>
      <c r="K71" s="20">
        <v>6.635295359693722</v>
      </c>
      <c r="L71" s="20">
        <v>49.20022666107958</v>
      </c>
      <c r="M71" s="15"/>
      <c r="N71" s="20">
        <v>6.635295359693722</v>
      </c>
      <c r="O71" s="14">
        <v>4.56</v>
      </c>
      <c r="R71" s="20">
        <f t="array" ref="R71">XLOOKUP(E71, 'Conference Match'!$A$2:$A$40,'Conference Match'!$C$2:$C$40)</f>
        <v>0.9</v>
      </c>
      <c r="S71" s="20">
        <f t="shared" si="1"/>
        <v>2.106353165</v>
      </c>
      <c r="T71" s="20">
        <f t="shared" si="2"/>
        <v>10.04601511</v>
      </c>
      <c r="U71" s="20">
        <f t="shared" si="3"/>
        <v>-39.15421155</v>
      </c>
      <c r="W71" s="20">
        <f>IFERROR(__xludf.DUMMYFUNCTION("iferror(PERCENTRANK.INC(FILTER($S$3:$S$435, $P$3:$P$435&lt;3.75), $S71), 1)"),0.49)</f>
        <v>0.49</v>
      </c>
      <c r="X71" s="20">
        <f>IFERROR(__xludf.DUMMYFUNCTION("iferror(PERCENTRANK.INC(FILTER($S$3:$S$435, $P$3:$P$435&lt;4.5), $S71), 1)"),0.327)</f>
        <v>0.327</v>
      </c>
      <c r="Y71" s="20">
        <f>IFERROR(__xludf.DUMMYFUNCTION("iferror(PERCENTRANK.INC(FILTER($S$3:$S$435, $P$3:$P$435&gt;=4.1), $S71), 0.01)"),0.01)</f>
        <v>0.01</v>
      </c>
    </row>
    <row r="72" ht="14.25" customHeight="1">
      <c r="A72" s="14" t="s">
        <v>1029</v>
      </c>
      <c r="B72" s="14" t="s">
        <v>397</v>
      </c>
      <c r="C72" s="14">
        <v>15.0</v>
      </c>
      <c r="D72" s="14" t="s">
        <v>959</v>
      </c>
      <c r="E72" s="14" t="s">
        <v>117</v>
      </c>
      <c r="F72" s="14">
        <v>65.0</v>
      </c>
      <c r="G72" s="14">
        <v>41.0</v>
      </c>
      <c r="H72" s="14">
        <v>442.0</v>
      </c>
      <c r="I72" s="14">
        <v>10.8</v>
      </c>
      <c r="J72" s="14">
        <v>6.0</v>
      </c>
      <c r="K72" s="20">
        <v>6.2040714674015565</v>
      </c>
      <c r="L72" s="20">
        <v>50.68239298795222</v>
      </c>
      <c r="M72" s="15"/>
      <c r="N72" s="20">
        <v>6.2040714674015565</v>
      </c>
      <c r="O72" s="14">
        <v>4.52</v>
      </c>
      <c r="P72" s="20">
        <v>4.56</v>
      </c>
      <c r="Q72" s="20">
        <v>-3.0</v>
      </c>
      <c r="R72" s="20">
        <f t="array" ref="R72">XLOOKUP(E72, 'Conference Match'!$A$2:$A$40,'Conference Match'!$C$2:$C$40)</f>
        <v>0.95</v>
      </c>
      <c r="S72" s="20">
        <f t="shared" si="1"/>
        <v>4.062773579</v>
      </c>
      <c r="T72" s="20">
        <f t="shared" si="2"/>
        <v>29.53601462</v>
      </c>
      <c r="U72" s="20">
        <f t="shared" si="3"/>
        <v>-21.14637837</v>
      </c>
      <c r="W72" s="20">
        <f>IFERROR(__xludf.DUMMYFUNCTION("iferror(PERCENTRANK.INC(FILTER($S$3:$S$435, $P$3:$P$435&lt;3.75), $S72), 1)"),0.956)</f>
        <v>0.956</v>
      </c>
      <c r="X72" s="20">
        <f>IFERROR(__xludf.DUMMYFUNCTION("iferror(PERCENTRANK.INC(FILTER($S$3:$S$435, $P$3:$P$435&lt;4.5), $S72), 1)"),0.839)</f>
        <v>0.839</v>
      </c>
      <c r="Y72" s="20">
        <f>IFERROR(__xludf.DUMMYFUNCTION("iferror(PERCENTRANK.INC(FILTER($S$3:$S$435, $P$3:$P$435&gt;=4.1), $S72), 0.01)"),0.247)</f>
        <v>0.247</v>
      </c>
    </row>
    <row r="73" ht="14.25" customHeight="1">
      <c r="A73" s="14" t="s">
        <v>1030</v>
      </c>
      <c r="B73" s="14" t="s">
        <v>178</v>
      </c>
      <c r="C73" s="14" t="s">
        <v>959</v>
      </c>
      <c r="D73" s="14" t="s">
        <v>959</v>
      </c>
      <c r="E73" s="14" t="s">
        <v>179</v>
      </c>
      <c r="F73" s="14">
        <v>46.0</v>
      </c>
      <c r="G73" s="14">
        <v>27.0</v>
      </c>
      <c r="H73" s="14">
        <v>479.0</v>
      </c>
      <c r="I73" s="14">
        <v>17.7</v>
      </c>
      <c r="J73" s="14">
        <v>5.0</v>
      </c>
      <c r="K73" s="20">
        <v>7.96059513885939</v>
      </c>
      <c r="L73" s="20">
        <v>61.25448534361436</v>
      </c>
      <c r="M73" s="15"/>
      <c r="N73" s="20">
        <v>7.96059513885939</v>
      </c>
      <c r="O73" s="14">
        <v>4.52</v>
      </c>
      <c r="P73" s="20">
        <v>4.44</v>
      </c>
      <c r="Q73" s="20">
        <v>-5.5</v>
      </c>
      <c r="R73" s="20">
        <f t="array" ref="R73">XLOOKUP(E73, 'Conference Match'!$A$2:$A$40,'Conference Match'!$C$2:$C$40)</f>
        <v>0.9</v>
      </c>
      <c r="S73" s="20">
        <f t="shared" si="1"/>
        <v>4.006907125</v>
      </c>
      <c r="T73" s="20">
        <f t="shared" si="2"/>
        <v>28.97946903</v>
      </c>
      <c r="U73" s="20">
        <f t="shared" si="3"/>
        <v>-32.27501632</v>
      </c>
      <c r="W73" s="20">
        <f>IFERROR(__xludf.DUMMYFUNCTION("iferror(PERCENTRANK.INC(FILTER($S$3:$S$435, $P$3:$P$435&lt;3.75), $S73), 1)"),0.954)</f>
        <v>0.954</v>
      </c>
      <c r="X73" s="20">
        <f>IFERROR(__xludf.DUMMYFUNCTION("iferror(PERCENTRANK.INC(FILTER($S$3:$S$435, $P$3:$P$435&lt;4.5), $S73), 1)"),0.823)</f>
        <v>0.823</v>
      </c>
      <c r="Y73" s="20">
        <f>IFERROR(__xludf.DUMMYFUNCTION("iferror(PERCENTRANK.INC(FILTER($S$3:$S$435, $P$3:$P$435&gt;=4.1), $S73), 0.01)"),0.221)</f>
        <v>0.221</v>
      </c>
    </row>
    <row r="74" ht="14.25" customHeight="1">
      <c r="A74" s="14" t="s">
        <v>1031</v>
      </c>
      <c r="B74" s="14" t="s">
        <v>341</v>
      </c>
      <c r="C74" s="14" t="s">
        <v>959</v>
      </c>
      <c r="D74" s="14" t="s">
        <v>959</v>
      </c>
      <c r="E74" s="14" t="s">
        <v>114</v>
      </c>
      <c r="F74" s="14">
        <v>53.0</v>
      </c>
      <c r="G74" s="14">
        <v>41.0</v>
      </c>
      <c r="H74" s="14">
        <v>440.0</v>
      </c>
      <c r="I74" s="14">
        <v>10.7</v>
      </c>
      <c r="J74" s="14">
        <v>3.0</v>
      </c>
      <c r="K74" s="20">
        <v>5.6947293219578725</v>
      </c>
      <c r="L74" s="20">
        <v>40.645312139014</v>
      </c>
      <c r="M74" s="15"/>
      <c r="N74" s="20">
        <v>5.6947293219578725</v>
      </c>
      <c r="O74" s="14">
        <v>4.51</v>
      </c>
      <c r="P74" s="20">
        <v>3.26</v>
      </c>
      <c r="Q74" s="20">
        <v>-2.0</v>
      </c>
      <c r="R74" s="20">
        <f t="array" ref="R74">XLOOKUP(E74, 'Conference Match'!$A$2:$A$40,'Conference Match'!$C$2:$C$40)</f>
        <v>0.9</v>
      </c>
      <c r="S74" s="20">
        <f t="shared" si="1"/>
        <v>3.357051278</v>
      </c>
      <c r="T74" s="20">
        <f t="shared" si="2"/>
        <v>22.50555879</v>
      </c>
      <c r="U74" s="20">
        <f t="shared" si="3"/>
        <v>-18.13975335</v>
      </c>
      <c r="W74" s="20">
        <f>IFERROR(__xludf.DUMMYFUNCTION("iferror(PERCENTRANK.INC(FILTER($S$3:$S$435, $P$3:$P$435&lt;3.75), $S74), 1)"),0.762)</f>
        <v>0.762</v>
      </c>
      <c r="X74" s="20">
        <f>IFERROR(__xludf.DUMMYFUNCTION("iferror(PERCENTRANK.INC(FILTER($S$3:$S$435, $P$3:$P$435&lt;4.5), $S74), 1)"),0.564)</f>
        <v>0.564</v>
      </c>
      <c r="Y74" s="20">
        <f>IFERROR(__xludf.DUMMYFUNCTION("iferror(PERCENTRANK.INC(FILTER($S$3:$S$435, $P$3:$P$435&gt;=4.1), $S74), 0.01)"),0.036)</f>
        <v>0.036</v>
      </c>
    </row>
    <row r="75" ht="14.25" customHeight="1">
      <c r="A75" s="14" t="s">
        <v>1032</v>
      </c>
      <c r="B75" s="14" t="s">
        <v>137</v>
      </c>
      <c r="C75" s="14" t="s">
        <v>959</v>
      </c>
      <c r="D75" s="14" t="s">
        <v>959</v>
      </c>
      <c r="E75" s="14" t="s">
        <v>138</v>
      </c>
      <c r="F75" s="14">
        <v>31.0</v>
      </c>
      <c r="G75" s="14">
        <v>23.0</v>
      </c>
      <c r="H75" s="14">
        <v>397.0</v>
      </c>
      <c r="I75" s="14">
        <v>17.3</v>
      </c>
      <c r="J75" s="14">
        <v>5.0</v>
      </c>
      <c r="K75" s="20">
        <v>8.004136598237968</v>
      </c>
      <c r="L75" s="20">
        <v>61.65051650804637</v>
      </c>
      <c r="M75" s="15"/>
      <c r="N75" s="20">
        <v>8.004136598237968</v>
      </c>
      <c r="O75" s="14">
        <v>4.5</v>
      </c>
      <c r="R75" s="20">
        <f t="array" ref="R75">XLOOKUP(E75, 'Conference Match'!$A$2:$A$40,'Conference Match'!$C$2:$C$40)</f>
        <v>0.9</v>
      </c>
      <c r="S75" s="20">
        <f t="shared" si="1"/>
        <v>2.340744588</v>
      </c>
      <c r="T75" s="20">
        <f t="shared" si="2"/>
        <v>12.38103916</v>
      </c>
      <c r="U75" s="20">
        <f t="shared" si="3"/>
        <v>-49.26947735</v>
      </c>
      <c r="W75" s="20">
        <f>IFERROR(__xludf.DUMMYFUNCTION("iferror(PERCENTRANK.INC(FILTER($S$3:$S$435, $P$3:$P$435&lt;3.75), $S75), 1)"),0.51)</f>
        <v>0.51</v>
      </c>
      <c r="X75" s="20">
        <f>IFERROR(__xludf.DUMMYFUNCTION("iferror(PERCENTRANK.INC(FILTER($S$3:$S$435, $P$3:$P$435&lt;4.5), $S75), 1)"),0.341)</f>
        <v>0.341</v>
      </c>
      <c r="Y75" s="20">
        <f>IFERROR(__xludf.DUMMYFUNCTION("iferror(PERCENTRANK.INC(FILTER($S$3:$S$435, $P$3:$P$435&gt;=4.1), $S75), 0.01)"),0.01)</f>
        <v>0.01</v>
      </c>
    </row>
    <row r="76" ht="14.25" customHeight="1">
      <c r="A76" s="14" t="s">
        <v>1033</v>
      </c>
      <c r="B76" s="14" t="s">
        <v>399</v>
      </c>
      <c r="C76" s="14" t="s">
        <v>959</v>
      </c>
      <c r="D76" s="14" t="s">
        <v>959</v>
      </c>
      <c r="E76" s="14" t="s">
        <v>210</v>
      </c>
      <c r="F76" s="14">
        <v>36.0</v>
      </c>
      <c r="G76" s="14">
        <v>16.0</v>
      </c>
      <c r="H76" s="14">
        <v>274.0</v>
      </c>
      <c r="I76" s="14">
        <v>17.1</v>
      </c>
      <c r="J76" s="14">
        <v>2.0</v>
      </c>
      <c r="K76" s="20">
        <v>6.811043491647702</v>
      </c>
      <c r="L76" s="20">
        <v>50.7987430713662</v>
      </c>
      <c r="M76" s="15"/>
      <c r="N76" s="20">
        <v>6.811043491647702</v>
      </c>
      <c r="O76" s="14">
        <v>4.48</v>
      </c>
      <c r="P76" s="20">
        <v>3.47</v>
      </c>
      <c r="Q76" s="20">
        <v>-3.5</v>
      </c>
      <c r="R76" s="20">
        <f t="array" ref="R76">XLOOKUP(E76, 'Conference Match'!$A$2:$A$40,'Conference Match'!$C$2:$C$40)</f>
        <v>0.9</v>
      </c>
      <c r="S76" s="20">
        <f t="shared" si="1"/>
        <v>3.506987828</v>
      </c>
      <c r="T76" s="20">
        <f t="shared" si="2"/>
        <v>23.99923739</v>
      </c>
      <c r="U76" s="20">
        <f t="shared" si="3"/>
        <v>-26.79950568</v>
      </c>
      <c r="W76" s="20">
        <f>IFERROR(__xludf.DUMMYFUNCTION("iferror(PERCENTRANK.INC(FILTER($S$3:$S$435, $P$3:$P$435&lt;3.75), $S76), 1)"),0.837)</f>
        <v>0.837</v>
      </c>
      <c r="X76" s="20">
        <f>IFERROR(__xludf.DUMMYFUNCTION("iferror(PERCENTRANK.INC(FILTER($S$3:$S$435, $P$3:$P$435&lt;4.5), $S76), 1)"),0.636)</f>
        <v>0.636</v>
      </c>
      <c r="Y76" s="20">
        <f>IFERROR(__xludf.DUMMYFUNCTION("iferror(PERCENTRANK.INC(FILTER($S$3:$S$435, $P$3:$P$435&gt;=4.1), $S76), 0.01)"),0.053)</f>
        <v>0.053</v>
      </c>
    </row>
    <row r="77" ht="14.25" customHeight="1">
      <c r="A77" s="14" t="s">
        <v>1034</v>
      </c>
      <c r="B77" s="14" t="s">
        <v>501</v>
      </c>
      <c r="C77" s="14" t="s">
        <v>959</v>
      </c>
      <c r="D77" s="14" t="s">
        <v>959</v>
      </c>
      <c r="E77" s="14" t="s">
        <v>127</v>
      </c>
      <c r="F77" s="14">
        <v>24.0</v>
      </c>
      <c r="G77" s="14">
        <v>11.0</v>
      </c>
      <c r="H77" s="14">
        <v>182.0</v>
      </c>
      <c r="I77" s="14">
        <v>16.6</v>
      </c>
      <c r="J77" s="14">
        <v>3.0</v>
      </c>
      <c r="K77" s="20">
        <v>6.7495232053705365</v>
      </c>
      <c r="L77" s="20">
        <v>50.23918556093229</v>
      </c>
      <c r="M77" s="15"/>
      <c r="N77" s="20">
        <v>6.7495232053705365</v>
      </c>
      <c r="O77" s="14">
        <v>4.47</v>
      </c>
      <c r="P77" s="20">
        <v>2.81</v>
      </c>
      <c r="Q77" s="20">
        <v>-4.0</v>
      </c>
      <c r="R77" s="20">
        <f t="array" ref="R77">XLOOKUP(E77, 'Conference Match'!$A$2:$A$40,'Conference Match'!$C$2:$C$40)</f>
        <v>0.9</v>
      </c>
      <c r="S77" s="20">
        <f t="shared" si="1"/>
        <v>3.113914177</v>
      </c>
      <c r="T77" s="20">
        <f t="shared" si="2"/>
        <v>20.08340968</v>
      </c>
      <c r="U77" s="20">
        <f t="shared" si="3"/>
        <v>-30.15577588</v>
      </c>
      <c r="W77" s="20">
        <f>IFERROR(__xludf.DUMMYFUNCTION("iferror(PERCENTRANK.INC(FILTER($S$3:$S$435, $P$3:$P$435&lt;3.75), $S77), 1)"),0.667)</f>
        <v>0.667</v>
      </c>
      <c r="X77" s="20">
        <f>IFERROR(__xludf.DUMMYFUNCTION("iferror(PERCENTRANK.INC(FILTER($S$3:$S$435, $P$3:$P$435&lt;4.5), $S77), 1)"),0.473)</f>
        <v>0.473</v>
      </c>
      <c r="Y77" s="20">
        <f>IFERROR(__xludf.DUMMYFUNCTION("iferror(PERCENTRANK.INC(FILTER($S$3:$S$435, $P$3:$P$435&gt;=4.1), $S77), 0.01)"),0.012)</f>
        <v>0.012</v>
      </c>
    </row>
    <row r="78" ht="14.25" customHeight="1">
      <c r="A78" s="14" t="s">
        <v>1035</v>
      </c>
      <c r="B78" s="14" t="s">
        <v>570</v>
      </c>
      <c r="C78" s="14">
        <v>5.0</v>
      </c>
      <c r="D78" s="14" t="s">
        <v>959</v>
      </c>
      <c r="E78" s="14" t="s">
        <v>144</v>
      </c>
      <c r="F78" s="14">
        <v>64.0</v>
      </c>
      <c r="G78" s="14">
        <v>39.0</v>
      </c>
      <c r="H78" s="14">
        <v>466.0</v>
      </c>
      <c r="I78" s="14">
        <v>11.9</v>
      </c>
      <c r="J78" s="14">
        <v>3.0</v>
      </c>
      <c r="K78" s="20">
        <v>5.916504294463474</v>
      </c>
      <c r="L78" s="20">
        <v>47.24545260183368</v>
      </c>
      <c r="M78" s="15"/>
      <c r="N78" s="20">
        <v>5.916504294463474</v>
      </c>
      <c r="O78" s="14">
        <v>4.45</v>
      </c>
      <c r="P78" s="20">
        <v>3.97</v>
      </c>
      <c r="Q78" s="20">
        <v>0.0</v>
      </c>
      <c r="R78" s="20">
        <f t="array" ref="R78">XLOOKUP(E78, 'Conference Match'!$A$2:$A$40,'Conference Match'!$C$2:$C$40)</f>
        <v>0.95</v>
      </c>
      <c r="S78" s="20">
        <f t="shared" si="1"/>
        <v>3.999135816</v>
      </c>
      <c r="T78" s="20">
        <f t="shared" si="2"/>
        <v>28.90205069</v>
      </c>
      <c r="U78" s="20">
        <f t="shared" si="3"/>
        <v>-18.34340191</v>
      </c>
      <c r="W78" s="20">
        <f>IFERROR(__xludf.DUMMYFUNCTION("iferror(PERCENTRANK.INC(FILTER($S$3:$S$435, $P$3:$P$435&lt;3.75), $S78), 1)"),0.953)</f>
        <v>0.953</v>
      </c>
      <c r="X78" s="20">
        <f>IFERROR(__xludf.DUMMYFUNCTION("iferror(PERCENTRANK.INC(FILTER($S$3:$S$435, $P$3:$P$435&lt;4.5), $S78), 1)"),0.818)</f>
        <v>0.818</v>
      </c>
      <c r="Y78" s="20">
        <f>IFERROR(__xludf.DUMMYFUNCTION("iferror(PERCENTRANK.INC(FILTER($S$3:$S$435, $P$3:$P$435&gt;=4.1), $S78), 0.01)"),0.219)</f>
        <v>0.219</v>
      </c>
    </row>
    <row r="79" ht="14.25" customHeight="1">
      <c r="A79" s="14" t="s">
        <v>1036</v>
      </c>
      <c r="B79" s="14" t="s">
        <v>471</v>
      </c>
      <c r="C79" s="14" t="s">
        <v>959</v>
      </c>
      <c r="D79" s="14" t="s">
        <v>959</v>
      </c>
      <c r="E79" s="14" t="s">
        <v>102</v>
      </c>
      <c r="F79" s="14">
        <v>40.0</v>
      </c>
      <c r="G79" s="14">
        <v>30.0</v>
      </c>
      <c r="H79" s="14">
        <v>441.0</v>
      </c>
      <c r="I79" s="14">
        <v>14.7</v>
      </c>
      <c r="J79" s="14">
        <v>1.0</v>
      </c>
      <c r="K79" s="20">
        <v>6.464750223346508</v>
      </c>
      <c r="L79" s="20">
        <v>47.649034075903366</v>
      </c>
      <c r="M79" s="15"/>
      <c r="N79" s="20">
        <v>6.464750223346508</v>
      </c>
      <c r="O79" s="14">
        <v>4.44</v>
      </c>
      <c r="P79" s="20">
        <v>3.54</v>
      </c>
      <c r="Q79" s="20">
        <v>-4.0</v>
      </c>
      <c r="R79" s="20">
        <f t="array" ref="R79">XLOOKUP(E79, 'Conference Match'!$A$2:$A$40,'Conference Match'!$C$2:$C$40)</f>
        <v>0.9</v>
      </c>
      <c r="S79" s="20">
        <f t="shared" si="1"/>
        <v>3.42165504</v>
      </c>
      <c r="T79" s="20">
        <f t="shared" si="2"/>
        <v>23.14914607</v>
      </c>
      <c r="U79" s="20">
        <f t="shared" si="3"/>
        <v>-24.499888</v>
      </c>
      <c r="W79" s="20">
        <f>IFERROR(__xludf.DUMMYFUNCTION("iferror(PERCENTRANK.INC(FILTER($S$3:$S$435, $P$3:$P$435&lt;3.75), $S79), 1)"),0.782)</f>
        <v>0.782</v>
      </c>
      <c r="X79" s="20">
        <f>IFERROR(__xludf.DUMMYFUNCTION("iferror(PERCENTRANK.INC(FILTER($S$3:$S$435, $P$3:$P$435&lt;4.5), $S79), 1)"),0.586)</f>
        <v>0.586</v>
      </c>
      <c r="Y79" s="20">
        <f>IFERROR(__xludf.DUMMYFUNCTION("iferror(PERCENTRANK.INC(FILTER($S$3:$S$435, $P$3:$P$435&gt;=4.1), $S79), 0.01)"),0.043)</f>
        <v>0.043</v>
      </c>
    </row>
    <row r="80" ht="14.25" customHeight="1">
      <c r="A80" s="14" t="s">
        <v>1037</v>
      </c>
      <c r="B80" s="14" t="s">
        <v>617</v>
      </c>
      <c r="C80" s="14" t="s">
        <v>959</v>
      </c>
      <c r="D80" s="14" t="s">
        <v>959</v>
      </c>
      <c r="E80" s="14" t="s">
        <v>179</v>
      </c>
      <c r="F80" s="14">
        <v>46.0</v>
      </c>
      <c r="G80" s="14">
        <v>27.0</v>
      </c>
      <c r="H80" s="14">
        <v>328.0</v>
      </c>
      <c r="I80" s="14">
        <v>12.2</v>
      </c>
      <c r="J80" s="14">
        <v>2.0</v>
      </c>
      <c r="K80" s="20">
        <v>5.657334269294173</v>
      </c>
      <c r="L80" s="20">
        <v>40.30518559154033</v>
      </c>
      <c r="M80" s="15"/>
      <c r="N80" s="20">
        <v>5.657334269294173</v>
      </c>
      <c r="O80" s="14">
        <v>4.43</v>
      </c>
      <c r="P80" s="20">
        <v>3.4</v>
      </c>
      <c r="Q80" s="20">
        <v>-4.0</v>
      </c>
      <c r="R80" s="20">
        <f t="array" ref="R80">XLOOKUP(E80, 'Conference Match'!$A$2:$A$40,'Conference Match'!$C$2:$C$40)</f>
        <v>0.9</v>
      </c>
      <c r="S80" s="20">
        <f t="shared" si="1"/>
        <v>3.204320168</v>
      </c>
      <c r="T80" s="20">
        <f t="shared" si="2"/>
        <v>20.9840406</v>
      </c>
      <c r="U80" s="20">
        <f t="shared" si="3"/>
        <v>-19.32114499</v>
      </c>
      <c r="W80" s="20">
        <f>IFERROR(__xludf.DUMMYFUNCTION("iferror(PERCENTRANK.INC(FILTER($S$3:$S$435, $P$3:$P$435&lt;3.75), $S80), 1)"),0.694)</f>
        <v>0.694</v>
      </c>
      <c r="X80" s="20">
        <f>IFERROR(__xludf.DUMMYFUNCTION("iferror(PERCENTRANK.INC(FILTER($S$3:$S$435, $P$3:$P$435&lt;4.5), $S80), 1)"),0.505)</f>
        <v>0.505</v>
      </c>
      <c r="Y80" s="20">
        <f>IFERROR(__xludf.DUMMYFUNCTION("iferror(PERCENTRANK.INC(FILTER($S$3:$S$435, $P$3:$P$435&gt;=4.1), $S80), 0.01)"),0.019)</f>
        <v>0.019</v>
      </c>
    </row>
    <row r="81" ht="14.25" customHeight="1">
      <c r="A81" s="14" t="s">
        <v>1038</v>
      </c>
      <c r="B81" s="14" t="s">
        <v>501</v>
      </c>
      <c r="C81" s="14" t="s">
        <v>959</v>
      </c>
      <c r="D81" s="14" t="s">
        <v>959</v>
      </c>
      <c r="E81" s="14" t="s">
        <v>127</v>
      </c>
      <c r="F81" s="14">
        <v>57.0</v>
      </c>
      <c r="G81" s="14">
        <v>33.0</v>
      </c>
      <c r="H81" s="14">
        <v>373.0</v>
      </c>
      <c r="I81" s="14">
        <v>11.3</v>
      </c>
      <c r="J81" s="14">
        <v>3.0</v>
      </c>
      <c r="K81" s="20">
        <v>5.64527786070879</v>
      </c>
      <c r="L81" s="20">
        <v>40.19552657691193</v>
      </c>
      <c r="M81" s="15"/>
      <c r="N81" s="20">
        <v>5.64527786070879</v>
      </c>
      <c r="O81" s="14">
        <v>4.42</v>
      </c>
      <c r="P81" s="20">
        <v>3.26</v>
      </c>
      <c r="Q81" s="20">
        <v>-2.0</v>
      </c>
      <c r="R81" s="20">
        <f t="array" ref="R81">XLOOKUP(E81, 'Conference Match'!$A$2:$A$40,'Conference Match'!$C$2:$C$40)</f>
        <v>0.9</v>
      </c>
      <c r="S81" s="20">
        <f t="shared" si="1"/>
        <v>3.330150015</v>
      </c>
      <c r="T81" s="20">
        <f t="shared" si="2"/>
        <v>22.2375665</v>
      </c>
      <c r="U81" s="20">
        <f t="shared" si="3"/>
        <v>-17.95796008</v>
      </c>
      <c r="W81" s="20">
        <f>IFERROR(__xludf.DUMMYFUNCTION("iferror(PERCENTRANK.INC(FILTER($S$3:$S$435, $P$3:$P$435&lt;3.75), $S81), 1)"),0.741)</f>
        <v>0.741</v>
      </c>
      <c r="X81" s="20">
        <f>IFERROR(__xludf.DUMMYFUNCTION("iferror(PERCENTRANK.INC(FILTER($S$3:$S$435, $P$3:$P$435&lt;4.5), $S81), 1)"),0.545)</f>
        <v>0.545</v>
      </c>
      <c r="Y81" s="20">
        <f>IFERROR(__xludf.DUMMYFUNCTION("iferror(PERCENTRANK.INC(FILTER($S$3:$S$435, $P$3:$P$435&gt;=4.1), $S81), 0.01)"),0.032)</f>
        <v>0.032</v>
      </c>
    </row>
    <row r="82" ht="14.25" customHeight="1">
      <c r="A82" s="14" t="s">
        <v>1039</v>
      </c>
      <c r="B82" s="14" t="s">
        <v>644</v>
      </c>
      <c r="C82" s="14" t="s">
        <v>959</v>
      </c>
      <c r="D82" s="14" t="s">
        <v>959</v>
      </c>
      <c r="E82" s="14" t="s">
        <v>102</v>
      </c>
      <c r="F82" s="14">
        <v>41.0</v>
      </c>
      <c r="G82" s="14">
        <v>29.0</v>
      </c>
      <c r="H82" s="14">
        <v>424.0</v>
      </c>
      <c r="I82" s="14">
        <v>14.6</v>
      </c>
      <c r="J82" s="14">
        <v>1.0</v>
      </c>
      <c r="K82" s="20">
        <v>6.369159976155276</v>
      </c>
      <c r="L82" s="20">
        <v>46.77959337630862</v>
      </c>
      <c r="M82" s="15"/>
      <c r="N82" s="20">
        <v>6.369159976155276</v>
      </c>
      <c r="O82" s="14">
        <v>4.38</v>
      </c>
      <c r="P82" s="20">
        <v>3.69</v>
      </c>
      <c r="Q82" s="20">
        <v>-2.0</v>
      </c>
      <c r="R82" s="20">
        <f t="array" ref="R82">XLOOKUP(E82, 'Conference Match'!$A$2:$A$40,'Conference Match'!$C$2:$C$40)</f>
        <v>0.9</v>
      </c>
      <c r="S82" s="20">
        <f t="shared" si="1"/>
        <v>3.667448796</v>
      </c>
      <c r="T82" s="20">
        <f t="shared" si="2"/>
        <v>25.59776097</v>
      </c>
      <c r="U82" s="20">
        <f t="shared" si="3"/>
        <v>-21.1818324</v>
      </c>
      <c r="W82" s="20">
        <f>IFERROR(__xludf.DUMMYFUNCTION("iferror(PERCENTRANK.INC(FILTER($S$3:$S$435, $P$3:$P$435&lt;3.75), $S82), 1)"),0.864)</f>
        <v>0.864</v>
      </c>
      <c r="X82" s="20">
        <f>IFERROR(__xludf.DUMMYFUNCTION("iferror(PERCENTRANK.INC(FILTER($S$3:$S$435, $P$3:$P$435&lt;4.5), $S82), 1)"),0.682)</f>
        <v>0.682</v>
      </c>
      <c r="Y82" s="20">
        <f>IFERROR(__xludf.DUMMYFUNCTION("iferror(PERCENTRANK.INC(FILTER($S$3:$S$435, $P$3:$P$435&gt;=4.1), $S82), 0.01)"),0.115)</f>
        <v>0.115</v>
      </c>
    </row>
    <row r="83" ht="14.25" customHeight="1">
      <c r="A83" s="14" t="s">
        <v>1040</v>
      </c>
      <c r="B83" s="14" t="s">
        <v>101</v>
      </c>
      <c r="C83" s="14" t="s">
        <v>959</v>
      </c>
      <c r="D83" s="14" t="s">
        <v>959</v>
      </c>
      <c r="E83" s="14" t="s">
        <v>102</v>
      </c>
      <c r="F83" s="14">
        <v>45.0</v>
      </c>
      <c r="G83" s="14">
        <v>23.0</v>
      </c>
      <c r="H83" s="14">
        <v>432.0</v>
      </c>
      <c r="I83" s="14">
        <v>18.8</v>
      </c>
      <c r="J83" s="14">
        <v>2.0</v>
      </c>
      <c r="K83" s="20">
        <v>7.527802266548961</v>
      </c>
      <c r="L83" s="20">
        <v>57.31801955617457</v>
      </c>
      <c r="M83" s="15"/>
      <c r="N83" s="20">
        <v>7.527802266548961</v>
      </c>
      <c r="O83" s="14">
        <v>4.34</v>
      </c>
      <c r="P83" s="20">
        <v>3.89</v>
      </c>
      <c r="Q83" s="20">
        <v>-0.5</v>
      </c>
      <c r="R83" s="20">
        <f t="array" ref="R83">XLOOKUP(E83, 'Conference Match'!$A$2:$A$40,'Conference Match'!$C$2:$C$40)</f>
        <v>0.9</v>
      </c>
      <c r="S83" s="20">
        <f t="shared" si="1"/>
        <v>4.118004408</v>
      </c>
      <c r="T83" s="20">
        <f t="shared" si="2"/>
        <v>30.08622807</v>
      </c>
      <c r="U83" s="20">
        <f t="shared" si="3"/>
        <v>-27.23179148</v>
      </c>
      <c r="W83" s="20">
        <f>IFERROR(__xludf.DUMMYFUNCTION("iferror(PERCENTRANK.INC(FILTER($S$3:$S$435, $P$3:$P$435&lt;3.75), $S83), 1)"),0.959)</f>
        <v>0.959</v>
      </c>
      <c r="X83" s="20">
        <f>IFERROR(__xludf.DUMMYFUNCTION("iferror(PERCENTRANK.INC(FILTER($S$3:$S$435, $P$3:$P$435&lt;4.5), $S83), 1)"),0.859)</f>
        <v>0.859</v>
      </c>
      <c r="Y83" s="20">
        <f>IFERROR(__xludf.DUMMYFUNCTION("iferror(PERCENTRANK.INC(FILTER($S$3:$S$435, $P$3:$P$435&gt;=4.1), $S83), 0.01)"),0.288)</f>
        <v>0.288</v>
      </c>
    </row>
    <row r="84" ht="14.25" customHeight="1">
      <c r="A84" s="14" t="s">
        <v>1041</v>
      </c>
      <c r="B84" s="14" t="s">
        <v>195</v>
      </c>
      <c r="C84" s="16">
        <v>84.0</v>
      </c>
      <c r="D84" s="14" t="s">
        <v>959</v>
      </c>
      <c r="E84" s="14" t="s">
        <v>172</v>
      </c>
      <c r="F84" s="14">
        <v>45.0</v>
      </c>
      <c r="G84" s="14">
        <v>25.0</v>
      </c>
      <c r="H84" s="14">
        <v>415.0</v>
      </c>
      <c r="I84" s="14">
        <v>16.6</v>
      </c>
      <c r="J84" s="14">
        <v>4.0</v>
      </c>
      <c r="K84" s="20">
        <v>7.351135599882295</v>
      </c>
      <c r="L84" s="20">
        <v>55.71114861719216</v>
      </c>
      <c r="M84" s="15"/>
      <c r="N84" s="20">
        <v>7.351135599882295</v>
      </c>
      <c r="O84" s="14">
        <v>4.3</v>
      </c>
      <c r="P84" s="20">
        <v>4.24</v>
      </c>
      <c r="Q84" s="20">
        <v>3.0</v>
      </c>
      <c r="R84" s="20">
        <f t="array" ref="R84">XLOOKUP(E84, 'Conference Match'!$A$2:$A$40,'Conference Match'!$C$2:$C$40)</f>
        <v>0.9</v>
      </c>
      <c r="S84" s="20">
        <f t="shared" si="1"/>
        <v>4.603204408</v>
      </c>
      <c r="T84" s="20">
        <f t="shared" si="2"/>
        <v>34.91982503</v>
      </c>
      <c r="U84" s="20">
        <f t="shared" si="3"/>
        <v>-20.79132359</v>
      </c>
      <c r="W84" s="20">
        <f>IFERROR(__xludf.DUMMYFUNCTION("iferror(PERCENTRANK.INC(FILTER($S$3:$S$435, $P$3:$P$435&lt;3.75), $S84), 1)"),0.979)</f>
        <v>0.979</v>
      </c>
      <c r="X84" s="20">
        <f>IFERROR(__xludf.DUMMYFUNCTION("iferror(PERCENTRANK.INC(FILTER($S$3:$S$435, $P$3:$P$435&lt;4.5), $S84), 1)"),0.932)</f>
        <v>0.932</v>
      </c>
      <c r="Y84" s="20">
        <f>IFERROR(__xludf.DUMMYFUNCTION("iferror(PERCENTRANK.INC(FILTER($S$3:$S$435, $P$3:$P$435&gt;=4.1), $S84), 0.01)"),0.545)</f>
        <v>0.545</v>
      </c>
    </row>
    <row r="85" ht="14.25" customHeight="1">
      <c r="A85" s="14" t="s">
        <v>1042</v>
      </c>
      <c r="B85" s="14" t="s">
        <v>104</v>
      </c>
      <c r="C85" s="14" t="s">
        <v>959</v>
      </c>
      <c r="D85" s="14" t="s">
        <v>959</v>
      </c>
      <c r="E85" s="14" t="s">
        <v>105</v>
      </c>
      <c r="F85" s="14">
        <v>46.0</v>
      </c>
      <c r="G85" s="14">
        <v>27.0</v>
      </c>
      <c r="H85" s="14">
        <v>373.0</v>
      </c>
      <c r="I85" s="14">
        <v>13.8</v>
      </c>
      <c r="J85" s="14">
        <v>4.0</v>
      </c>
      <c r="K85" s="20">
        <v>6.555160356250695</v>
      </c>
      <c r="L85" s="20">
        <v>48.47135906733699</v>
      </c>
      <c r="M85" s="15"/>
      <c r="N85" s="20">
        <v>6.555160356250695</v>
      </c>
      <c r="O85" s="14">
        <v>4.28</v>
      </c>
      <c r="P85" s="20">
        <v>3.66</v>
      </c>
      <c r="Q85" s="20">
        <v>0.0</v>
      </c>
      <c r="R85" s="20">
        <f t="array" ref="R85">XLOOKUP(E85, 'Conference Match'!$A$2:$A$40,'Conference Match'!$C$2:$C$40)</f>
        <v>0.9</v>
      </c>
      <c r="S85" s="20">
        <f t="shared" si="1"/>
        <v>3.865928864</v>
      </c>
      <c r="T85" s="20">
        <f t="shared" si="2"/>
        <v>27.57503355</v>
      </c>
      <c r="U85" s="20">
        <f t="shared" si="3"/>
        <v>-20.89632552</v>
      </c>
      <c r="W85" s="20">
        <f>IFERROR(__xludf.DUMMYFUNCTION("iferror(PERCENTRANK.INC(FILTER($S$3:$S$435, $P$3:$P$435&lt;3.75), $S85), 1)"),0.939)</f>
        <v>0.939</v>
      </c>
      <c r="X85" s="20">
        <f>IFERROR(__xludf.DUMMYFUNCTION("iferror(PERCENTRANK.INC(FILTER($S$3:$S$435, $P$3:$P$435&lt;4.5), $S85), 1)"),0.782)</f>
        <v>0.782</v>
      </c>
      <c r="Y85" s="20">
        <f>IFERROR(__xludf.DUMMYFUNCTION("iferror(PERCENTRANK.INC(FILTER($S$3:$S$435, $P$3:$P$435&gt;=4.1), $S85), 0.01)"),0.191)</f>
        <v>0.191</v>
      </c>
    </row>
    <row r="86" ht="14.25" customHeight="1">
      <c r="A86" s="14" t="s">
        <v>1043</v>
      </c>
      <c r="B86" s="14" t="s">
        <v>747</v>
      </c>
      <c r="C86" s="14">
        <v>3.0</v>
      </c>
      <c r="D86" s="14" t="s">
        <v>959</v>
      </c>
      <c r="E86" s="14" t="s">
        <v>147</v>
      </c>
      <c r="F86" s="14">
        <v>43.0</v>
      </c>
      <c r="G86" s="14">
        <v>26.0</v>
      </c>
      <c r="H86" s="14">
        <v>379.0</v>
      </c>
      <c r="I86" s="14">
        <v>14.6</v>
      </c>
      <c r="J86" s="14">
        <v>4.0</v>
      </c>
      <c r="K86" s="20">
        <v>6.807024511406275</v>
      </c>
      <c r="L86" s="20">
        <v>57.88875679749292</v>
      </c>
      <c r="M86" s="15"/>
      <c r="N86" s="20">
        <v>6.807024511406275</v>
      </c>
      <c r="O86" s="14">
        <v>4.24</v>
      </c>
      <c r="P86" s="20">
        <v>4.67</v>
      </c>
      <c r="Q86" s="20">
        <v>1.0</v>
      </c>
      <c r="R86" s="20">
        <f t="array" ref="R86">XLOOKUP(E86, 'Conference Match'!$A$2:$A$40,'Conference Match'!$C$2:$C$40)</f>
        <v>0.95</v>
      </c>
      <c r="S86" s="20">
        <f t="shared" si="1"/>
        <v>4.576334657</v>
      </c>
      <c r="T86" s="20">
        <f t="shared" si="2"/>
        <v>34.65214666</v>
      </c>
      <c r="U86" s="20">
        <f t="shared" si="3"/>
        <v>-23.23661014</v>
      </c>
      <c r="W86" s="20">
        <f>IFERROR(__xludf.DUMMYFUNCTION("iferror(PERCENTRANK.INC(FILTER($S$3:$S$435, $P$3:$P$435&lt;3.75), $S86), 1)"),0.979)</f>
        <v>0.979</v>
      </c>
      <c r="X86" s="20">
        <f>IFERROR(__xludf.DUMMYFUNCTION("iferror(PERCENTRANK.INC(FILTER($S$3:$S$435, $P$3:$P$435&lt;4.5), $S86), 1)"),0.921)</f>
        <v>0.921</v>
      </c>
      <c r="Y86" s="20">
        <f>IFERROR(__xludf.DUMMYFUNCTION("iferror(PERCENTRANK.INC(FILTER($S$3:$S$435, $P$3:$P$435&gt;=4.1), $S86), 0.01)"),0.481)</f>
        <v>0.481</v>
      </c>
    </row>
    <row r="87" ht="14.25" customHeight="1">
      <c r="A87" s="14" t="s">
        <v>1044</v>
      </c>
      <c r="B87" s="14" t="s">
        <v>373</v>
      </c>
      <c r="C87" s="14" t="s">
        <v>959</v>
      </c>
      <c r="D87" s="14" t="s">
        <v>959</v>
      </c>
      <c r="E87" s="14" t="s">
        <v>179</v>
      </c>
      <c r="F87" s="14">
        <v>42.0</v>
      </c>
      <c r="G87" s="14">
        <v>27.0</v>
      </c>
      <c r="H87" s="14">
        <v>326.0</v>
      </c>
      <c r="I87" s="14">
        <v>12.1</v>
      </c>
      <c r="J87" s="14">
        <v>4.0</v>
      </c>
      <c r="K87" s="20">
        <v>6.078324802397509</v>
      </c>
      <c r="L87" s="20">
        <v>44.134303251335446</v>
      </c>
      <c r="M87" s="15"/>
      <c r="N87" s="20">
        <v>6.078324802397509</v>
      </c>
      <c r="O87" s="14">
        <v>4.19</v>
      </c>
      <c r="P87" s="20">
        <v>3.96</v>
      </c>
      <c r="Q87" s="20">
        <v>-5.0</v>
      </c>
      <c r="R87" s="20">
        <f t="array" ref="R87">XLOOKUP(E87, 'Conference Match'!$A$2:$A$40,'Conference Match'!$C$2:$C$40)</f>
        <v>0.9</v>
      </c>
      <c r="S87" s="20">
        <f t="shared" si="1"/>
        <v>3.412098464</v>
      </c>
      <c r="T87" s="20">
        <f t="shared" si="2"/>
        <v>23.05394279</v>
      </c>
      <c r="U87" s="20">
        <f t="shared" si="3"/>
        <v>-21.08036047</v>
      </c>
      <c r="W87" s="20">
        <f>IFERROR(__xludf.DUMMYFUNCTION("iferror(PERCENTRANK.INC(FILTER($S$3:$S$435, $P$3:$P$435&lt;3.75), $S87), 1)"),0.775)</f>
        <v>0.775</v>
      </c>
      <c r="X87" s="20">
        <f>IFERROR(__xludf.DUMMYFUNCTION("iferror(PERCENTRANK.INC(FILTER($S$3:$S$435, $P$3:$P$435&lt;4.5), $S87), 1)"),0.577)</f>
        <v>0.577</v>
      </c>
      <c r="Y87" s="20">
        <f>IFERROR(__xludf.DUMMYFUNCTION("iferror(PERCENTRANK.INC(FILTER($S$3:$S$435, $P$3:$P$435&gt;=4.1), $S87), 0.01)"),0.042)</f>
        <v>0.042</v>
      </c>
    </row>
    <row r="88" ht="14.25" customHeight="1">
      <c r="A88" s="14" t="s">
        <v>1045</v>
      </c>
      <c r="B88" s="14" t="s">
        <v>565</v>
      </c>
      <c r="C88" s="14">
        <v>3.0</v>
      </c>
      <c r="D88" s="14" t="s">
        <v>959</v>
      </c>
      <c r="E88" s="14" t="s">
        <v>506</v>
      </c>
      <c r="F88" s="14">
        <v>52.0</v>
      </c>
      <c r="G88" s="14">
        <v>26.0</v>
      </c>
      <c r="H88" s="14">
        <v>342.0</v>
      </c>
      <c r="I88" s="14">
        <v>13.2</v>
      </c>
      <c r="J88" s="14">
        <v>0.0</v>
      </c>
      <c r="K88" s="20">
        <v>5.47229447743555</v>
      </c>
      <c r="L88" s="20">
        <v>41.93635335919402</v>
      </c>
      <c r="M88" s="15"/>
      <c r="N88" s="20">
        <v>5.47229447743555</v>
      </c>
      <c r="O88" s="14">
        <v>4.18</v>
      </c>
      <c r="P88" s="14">
        <v>3.33</v>
      </c>
      <c r="Q88" s="14">
        <v>-5.5</v>
      </c>
      <c r="R88" s="20">
        <f t="array" ref="R88">XLOOKUP(E88, 'Conference Match'!$A$2:$A$40,'Conference Match'!$C$2:$C$40)</f>
        <v>0.95</v>
      </c>
      <c r="S88" s="20">
        <f t="shared" si="1"/>
        <v>2.990735951</v>
      </c>
      <c r="T88" s="20">
        <f t="shared" si="2"/>
        <v>18.85629941</v>
      </c>
      <c r="U88" s="20">
        <f t="shared" si="3"/>
        <v>-23.08005395</v>
      </c>
      <c r="W88" s="20">
        <f>IFERROR(__xludf.DUMMYFUNCTION("iferror(PERCENTRANK.INC(FILTER($S$3:$S$435, $P$3:$P$435&lt;3.75), $S88), 1)"),0.639)</f>
        <v>0.639</v>
      </c>
      <c r="X88" s="20">
        <f>IFERROR(__xludf.DUMMYFUNCTION("iferror(PERCENTRANK.INC(FILTER($S$3:$S$435, $P$3:$P$435&lt;4.5), $S88), 1)"),0.436)</f>
        <v>0.436</v>
      </c>
      <c r="Y88" s="20">
        <f>IFERROR(__xludf.DUMMYFUNCTION("iferror(PERCENTRANK.INC(FILTER($S$3:$S$435, $P$3:$P$435&gt;=4.1), $S88), 0.01)"),0.01)</f>
        <v>0.01</v>
      </c>
    </row>
    <row r="89" ht="14.25" customHeight="1">
      <c r="A89" s="14" t="s">
        <v>1046</v>
      </c>
      <c r="B89" s="14" t="s">
        <v>443</v>
      </c>
      <c r="C89" s="16">
        <v>1.0</v>
      </c>
      <c r="D89" s="14" t="s">
        <v>959</v>
      </c>
      <c r="E89" s="14" t="s">
        <v>138</v>
      </c>
      <c r="F89" s="14">
        <v>41.0</v>
      </c>
      <c r="G89" s="14">
        <v>23.0</v>
      </c>
      <c r="H89" s="14">
        <v>369.0</v>
      </c>
      <c r="I89" s="14">
        <v>16.0</v>
      </c>
      <c r="J89" s="14">
        <v>2.0</v>
      </c>
      <c r="K89" s="20">
        <v>6.748428268838204</v>
      </c>
      <c r="L89" s="20">
        <v>50.22922657021246</v>
      </c>
      <c r="M89" s="15"/>
      <c r="N89" s="20">
        <v>6.748428268838204</v>
      </c>
      <c r="O89" s="14">
        <v>4.16</v>
      </c>
      <c r="P89" s="20">
        <v>4.57</v>
      </c>
      <c r="Q89" s="20">
        <v>3.0</v>
      </c>
      <c r="R89" s="20">
        <f t="array" ref="R89">XLOOKUP(E89, 'Conference Match'!$A$2:$A$40,'Conference Match'!$C$2:$C$40)</f>
        <v>0.9</v>
      </c>
      <c r="S89" s="20">
        <f t="shared" si="1"/>
        <v>4.631717088</v>
      </c>
      <c r="T89" s="20">
        <f t="shared" si="2"/>
        <v>35.20387038</v>
      </c>
      <c r="U89" s="20">
        <f t="shared" si="3"/>
        <v>-15.02535619</v>
      </c>
      <c r="W89" s="20">
        <f>IFERROR(__xludf.DUMMYFUNCTION("iferror(PERCENTRANK.INC(FILTER($S$3:$S$435, $P$3:$P$435&lt;3.75), $S89), 1)"),0.98)</f>
        <v>0.98</v>
      </c>
      <c r="X89" s="20">
        <f>IFERROR(__xludf.DUMMYFUNCTION("iferror(PERCENTRANK.INC(FILTER($S$3:$S$435, $P$3:$P$435&lt;4.5), $S89), 1)"),0.946)</f>
        <v>0.946</v>
      </c>
      <c r="Y89" s="20">
        <f>IFERROR(__xludf.DUMMYFUNCTION("iferror(PERCENTRANK.INC(FILTER($S$3:$S$435, $P$3:$P$435&gt;=4.1), $S89), 0.01)"),0.584)</f>
        <v>0.584</v>
      </c>
    </row>
    <row r="90" ht="14.25" customHeight="1">
      <c r="A90" s="14" t="s">
        <v>1047</v>
      </c>
      <c r="B90" s="14" t="s">
        <v>345</v>
      </c>
      <c r="C90" s="14">
        <v>1.0</v>
      </c>
      <c r="D90" s="14" t="s">
        <v>959</v>
      </c>
      <c r="E90" s="14" t="s">
        <v>144</v>
      </c>
      <c r="F90" s="14">
        <v>56.0</v>
      </c>
      <c r="G90" s="14">
        <v>31.0</v>
      </c>
      <c r="H90" s="14">
        <v>390.0</v>
      </c>
      <c r="I90" s="14">
        <v>12.6</v>
      </c>
      <c r="J90" s="14">
        <v>5.0</v>
      </c>
      <c r="K90" s="20">
        <v>6.39988937231352</v>
      </c>
      <c r="L90" s="20">
        <v>53.02276605223783</v>
      </c>
      <c r="M90" s="15"/>
      <c r="N90" s="20">
        <v>6.39988937231352</v>
      </c>
      <c r="O90" s="14">
        <v>4.15</v>
      </c>
      <c r="P90" s="20">
        <v>4.17</v>
      </c>
      <c r="Q90" s="20">
        <v>2.5</v>
      </c>
      <c r="R90" s="20">
        <f t="array" ref="R90">XLOOKUP(E90, 'Conference Match'!$A$2:$A$40,'Conference Match'!$C$2:$C$40)</f>
        <v>0.95</v>
      </c>
      <c r="S90" s="20">
        <f t="shared" si="1"/>
        <v>4.380978981</v>
      </c>
      <c r="T90" s="20">
        <f t="shared" si="2"/>
        <v>32.7059995</v>
      </c>
      <c r="U90" s="20">
        <f t="shared" si="3"/>
        <v>-20.31676656</v>
      </c>
      <c r="W90" s="20">
        <f>IFERROR(__xludf.DUMMYFUNCTION("iferror(PERCENTRANK.INC(FILTER($S$3:$S$435, $P$3:$P$435&lt;3.75), $S90), 1)"),0.973)</f>
        <v>0.973</v>
      </c>
      <c r="X90" s="20">
        <f>IFERROR(__xludf.DUMMYFUNCTION("iferror(PERCENTRANK.INC(FILTER($S$3:$S$435, $P$3:$P$435&lt;4.5), $S90), 1)"),0.891)</f>
        <v>0.891</v>
      </c>
      <c r="Y90" s="20">
        <f>IFERROR(__xludf.DUMMYFUNCTION("iferror(PERCENTRANK.INC(FILTER($S$3:$S$435, $P$3:$P$435&gt;=4.1), $S90), 0.01)"),0.364)</f>
        <v>0.364</v>
      </c>
    </row>
    <row r="91" ht="14.25" customHeight="1">
      <c r="A91" s="14" t="s">
        <v>1048</v>
      </c>
      <c r="B91" s="14" t="s">
        <v>548</v>
      </c>
      <c r="C91" s="14" t="s">
        <v>959</v>
      </c>
      <c r="D91" s="14" t="s">
        <v>959</v>
      </c>
      <c r="E91" s="14" t="s">
        <v>121</v>
      </c>
      <c r="F91" s="14">
        <v>67.0</v>
      </c>
      <c r="G91" s="14">
        <v>46.0</v>
      </c>
      <c r="H91" s="14">
        <v>507.0</v>
      </c>
      <c r="I91" s="14">
        <v>11.0</v>
      </c>
      <c r="J91" s="14">
        <v>3.0</v>
      </c>
      <c r="K91" s="20">
        <v>5.7551859057668615</v>
      </c>
      <c r="L91" s="20">
        <v>41.19519474802996</v>
      </c>
      <c r="M91" s="15"/>
      <c r="N91" s="20">
        <v>5.7551859057668615</v>
      </c>
      <c r="O91" s="14">
        <v>4.15</v>
      </c>
      <c r="P91" s="14">
        <v>2.81</v>
      </c>
      <c r="Q91" s="14">
        <v>-4.0</v>
      </c>
      <c r="R91" s="20">
        <f t="array" ref="R91">XLOOKUP(E91, 'Conference Match'!$A$2:$A$40,'Conference Match'!$C$2:$C$40)</f>
        <v>0.9</v>
      </c>
      <c r="S91" s="20">
        <f t="shared" si="1"/>
        <v>2.870933463</v>
      </c>
      <c r="T91" s="20">
        <f t="shared" si="2"/>
        <v>17.6628185</v>
      </c>
      <c r="U91" s="20">
        <f t="shared" si="3"/>
        <v>-23.53237625</v>
      </c>
      <c r="W91" s="20">
        <f>IFERROR(__xludf.DUMMYFUNCTION("iferror(PERCENTRANK.INC(FILTER($S$3:$S$435, $P$3:$P$435&lt;3.75), $S91), 1)"),0.612)</f>
        <v>0.612</v>
      </c>
      <c r="X91" s="20">
        <f>IFERROR(__xludf.DUMMYFUNCTION("iferror(PERCENTRANK.INC(FILTER($S$3:$S$435, $P$3:$P$435&lt;4.5), $S91), 1)"),0.414)</f>
        <v>0.414</v>
      </c>
      <c r="Y91" s="20">
        <f>IFERROR(__xludf.DUMMYFUNCTION("iferror(PERCENTRANK.INC(FILTER($S$3:$S$435, $P$3:$P$435&gt;=4.1), $S91), 0.01)"),0.01)</f>
        <v>0.01</v>
      </c>
    </row>
    <row r="92" ht="14.25" customHeight="1">
      <c r="A92" s="14" t="s">
        <v>1049</v>
      </c>
      <c r="B92" s="14" t="s">
        <v>161</v>
      </c>
      <c r="C92" s="14" t="s">
        <v>959</v>
      </c>
      <c r="D92" s="14" t="s">
        <v>959</v>
      </c>
      <c r="E92" s="14" t="s">
        <v>121</v>
      </c>
      <c r="F92" s="14">
        <v>66.0</v>
      </c>
      <c r="G92" s="14">
        <v>52.0</v>
      </c>
      <c r="H92" s="14">
        <v>572.0</v>
      </c>
      <c r="I92" s="14">
        <v>11.0</v>
      </c>
      <c r="J92" s="14">
        <v>7.0</v>
      </c>
      <c r="K92" s="20">
        <v>6.685278780423202</v>
      </c>
      <c r="L92" s="20">
        <v>49.654850658444495</v>
      </c>
      <c r="M92" s="15"/>
      <c r="N92" s="20">
        <v>6.685278780423202</v>
      </c>
      <c r="O92" s="14">
        <v>4.1</v>
      </c>
      <c r="P92" s="20">
        <v>3.83</v>
      </c>
      <c r="Q92" s="20">
        <v>-2.0</v>
      </c>
      <c r="R92" s="20">
        <f t="array" ref="R92">XLOOKUP(E92, 'Conference Match'!$A$2:$A$40,'Conference Match'!$C$2:$C$40)</f>
        <v>0.9</v>
      </c>
      <c r="S92" s="20">
        <f t="shared" si="1"/>
        <v>3.73835018</v>
      </c>
      <c r="T92" s="20">
        <f t="shared" si="2"/>
        <v>26.30408562</v>
      </c>
      <c r="U92" s="20">
        <f t="shared" si="3"/>
        <v>-23.35076504</v>
      </c>
      <c r="W92" s="20">
        <f>IFERROR(__xludf.DUMMYFUNCTION("iferror(PERCENTRANK.INC(FILTER($S$3:$S$435, $P$3:$P$435&lt;3.75), $S92), 1)"),0.88)</f>
        <v>0.88</v>
      </c>
      <c r="X92" s="20">
        <f>IFERROR(__xludf.DUMMYFUNCTION("iferror(PERCENTRANK.INC(FILTER($S$3:$S$435, $P$3:$P$435&lt;4.5), $S92), 1)"),0.705)</f>
        <v>0.705</v>
      </c>
      <c r="Y92" s="20">
        <f>IFERROR(__xludf.DUMMYFUNCTION("iferror(PERCENTRANK.INC(FILTER($S$3:$S$435, $P$3:$P$435&gt;=4.1), $S92), 0.01)"),0.145)</f>
        <v>0.145</v>
      </c>
    </row>
    <row r="93" ht="14.25" customHeight="1">
      <c r="A93" s="14" t="s">
        <v>1050</v>
      </c>
      <c r="B93" s="14" t="s">
        <v>388</v>
      </c>
      <c r="C93" s="14">
        <v>5.0</v>
      </c>
      <c r="D93" s="14" t="s">
        <v>959</v>
      </c>
      <c r="E93" s="14" t="s">
        <v>132</v>
      </c>
      <c r="F93" s="14">
        <v>48.0</v>
      </c>
      <c r="G93" s="14">
        <v>25.0</v>
      </c>
      <c r="H93" s="14">
        <v>491.0</v>
      </c>
      <c r="I93" s="14">
        <v>19.6</v>
      </c>
      <c r="J93" s="14">
        <v>2.0</v>
      </c>
      <c r="K93" s="20">
        <v>7.81526210433872</v>
      </c>
      <c r="L93" s="20">
        <v>69.93899350061824</v>
      </c>
      <c r="M93" s="15"/>
      <c r="N93" s="20">
        <v>7.81526210433872</v>
      </c>
      <c r="O93" s="14">
        <v>4.09</v>
      </c>
      <c r="P93" s="20">
        <v>4.56</v>
      </c>
      <c r="Q93" s="20">
        <v>-3.0</v>
      </c>
      <c r="R93" s="20">
        <f t="array" ref="R93">XLOOKUP(E93, 'Conference Match'!$A$2:$A$40,'Conference Match'!$C$2:$C$40)</f>
        <v>0.95</v>
      </c>
      <c r="S93" s="20">
        <f t="shared" si="1"/>
        <v>4.2828998</v>
      </c>
      <c r="T93" s="20">
        <f t="shared" si="2"/>
        <v>31.72892771</v>
      </c>
      <c r="U93" s="20">
        <f t="shared" si="3"/>
        <v>-38.21006579</v>
      </c>
      <c r="W93" s="20">
        <f>IFERROR(__xludf.DUMMYFUNCTION("iferror(PERCENTRANK.INC(FILTER($S$3:$S$435, $P$3:$P$435&lt;3.75), $S93), 1)"),0.97)</f>
        <v>0.97</v>
      </c>
      <c r="X93" s="20">
        <f>IFERROR(__xludf.DUMMYFUNCTION("iferror(PERCENTRANK.INC(FILTER($S$3:$S$435, $P$3:$P$435&lt;4.5), $S93), 1)"),0.879)</f>
        <v>0.879</v>
      </c>
      <c r="Y93" s="20">
        <f>IFERROR(__xludf.DUMMYFUNCTION("iferror(PERCENTRANK.INC(FILTER($S$3:$S$435, $P$3:$P$435&gt;=4.1), $S93), 0.01)"),0.325)</f>
        <v>0.325</v>
      </c>
    </row>
    <row r="94" ht="14.25" customHeight="1">
      <c r="A94" s="14" t="s">
        <v>1051</v>
      </c>
      <c r="B94" s="14" t="s">
        <v>157</v>
      </c>
      <c r="C94" s="14">
        <v>1.0</v>
      </c>
      <c r="D94" s="14" t="s">
        <v>959</v>
      </c>
      <c r="E94" s="14" t="s">
        <v>158</v>
      </c>
      <c r="F94" s="14">
        <v>61.0</v>
      </c>
      <c r="G94" s="14">
        <v>37.0</v>
      </c>
      <c r="H94" s="14">
        <v>365.0</v>
      </c>
      <c r="I94" s="14">
        <v>9.9</v>
      </c>
      <c r="J94" s="14">
        <v>4.0</v>
      </c>
      <c r="K94" s="20">
        <v>5.469497034765782</v>
      </c>
      <c r="L94" s="20">
        <v>41.902918932060544</v>
      </c>
      <c r="M94" s="15"/>
      <c r="N94" s="20">
        <v>5.469497034765782</v>
      </c>
      <c r="O94" s="14">
        <v>4.09</v>
      </c>
      <c r="P94" s="14">
        <v>3.69</v>
      </c>
      <c r="Q94" s="14">
        <v>-2.0</v>
      </c>
      <c r="R94" s="20">
        <f t="array" ref="R94">XLOOKUP(E94, 'Conference Match'!$A$2:$A$40,'Conference Match'!$C$2:$C$40)</f>
        <v>0.95</v>
      </c>
      <c r="S94" s="20">
        <f t="shared" si="1"/>
        <v>3.502204437</v>
      </c>
      <c r="T94" s="20">
        <f t="shared" si="2"/>
        <v>23.9515849</v>
      </c>
      <c r="U94" s="20">
        <f t="shared" si="3"/>
        <v>-17.95133403</v>
      </c>
      <c r="W94" s="20">
        <f>IFERROR(__xludf.DUMMYFUNCTION("iferror(PERCENTRANK.INC(FILTER($S$3:$S$435, $P$3:$P$435&lt;3.75), $S94), 1)"),0.83)</f>
        <v>0.83</v>
      </c>
      <c r="X94" s="20">
        <f>IFERROR(__xludf.DUMMYFUNCTION("iferror(PERCENTRANK.INC(FILTER($S$3:$S$435, $P$3:$P$435&lt;4.5), $S94), 1)"),0.632)</f>
        <v>0.632</v>
      </c>
      <c r="Y94" s="20">
        <f>IFERROR(__xludf.DUMMYFUNCTION("iferror(PERCENTRANK.INC(FILTER($S$3:$S$435, $P$3:$P$435&gt;=4.1), $S94), 0.01)"),0.053)</f>
        <v>0.053</v>
      </c>
    </row>
    <row r="95" ht="14.25" customHeight="1">
      <c r="A95" s="14" t="s">
        <v>1052</v>
      </c>
      <c r="B95" s="14" t="s">
        <v>513</v>
      </c>
      <c r="C95" s="14">
        <v>2.0</v>
      </c>
      <c r="D95" s="14" t="s">
        <v>959</v>
      </c>
      <c r="E95" s="14" t="s">
        <v>144</v>
      </c>
      <c r="F95" s="14">
        <v>47.0</v>
      </c>
      <c r="G95" s="14">
        <v>36.0</v>
      </c>
      <c r="H95" s="14">
        <v>412.0</v>
      </c>
      <c r="I95" s="14">
        <v>11.4</v>
      </c>
      <c r="J95" s="14">
        <v>3.0</v>
      </c>
      <c r="K95" s="20">
        <v>5.873005460200741</v>
      </c>
      <c r="L95" s="20">
        <v>46.725563983466046</v>
      </c>
      <c r="M95" s="15"/>
      <c r="N95" s="20">
        <v>5.873005460200741</v>
      </c>
      <c r="O95" s="14">
        <v>4.08</v>
      </c>
      <c r="P95" s="20">
        <v>4.1</v>
      </c>
      <c r="Q95" s="20">
        <v>-2.0</v>
      </c>
      <c r="R95" s="20">
        <f t="array" ref="R95">XLOOKUP(E95, 'Conference Match'!$A$2:$A$40,'Conference Match'!$C$2:$C$40)</f>
        <v>0.95</v>
      </c>
      <c r="S95" s="20">
        <f t="shared" si="1"/>
        <v>3.781871037</v>
      </c>
      <c r="T95" s="20">
        <f t="shared" si="2"/>
        <v>26.73764349</v>
      </c>
      <c r="U95" s="20">
        <f t="shared" si="3"/>
        <v>-19.98792049</v>
      </c>
      <c r="W95" s="20">
        <f>IFERROR(__xludf.DUMMYFUNCTION("iferror(PERCENTRANK.INC(FILTER($S$3:$S$435, $P$3:$P$435&lt;3.75), $S95), 1)"),0.899)</f>
        <v>0.899</v>
      </c>
      <c r="X95" s="20">
        <f>IFERROR(__xludf.DUMMYFUNCTION("iferror(PERCENTRANK.INC(FILTER($S$3:$S$435, $P$3:$P$435&lt;4.5), $S95), 1)"),0.736)</f>
        <v>0.736</v>
      </c>
      <c r="Y95" s="20">
        <f>IFERROR(__xludf.DUMMYFUNCTION("iferror(PERCENTRANK.INC(FILTER($S$3:$S$435, $P$3:$P$435&gt;=4.1), $S95), 0.01)"),0.169)</f>
        <v>0.169</v>
      </c>
    </row>
    <row r="96" ht="14.25" customHeight="1">
      <c r="A96" s="14" t="s">
        <v>1053</v>
      </c>
      <c r="B96" s="14" t="s">
        <v>527</v>
      </c>
      <c r="C96" s="14">
        <v>13.0</v>
      </c>
      <c r="D96" s="14" t="s">
        <v>959</v>
      </c>
      <c r="E96" s="14" t="s">
        <v>132</v>
      </c>
      <c r="F96" s="14">
        <v>57.0</v>
      </c>
      <c r="G96" s="14">
        <v>37.0</v>
      </c>
      <c r="H96" s="14">
        <v>398.0</v>
      </c>
      <c r="I96" s="14">
        <v>10.8</v>
      </c>
      <c r="J96" s="14">
        <v>4.0</v>
      </c>
      <c r="K96" s="20">
        <v>5.78168136948072</v>
      </c>
      <c r="L96" s="20">
        <v>45.63407828843932</v>
      </c>
      <c r="M96" s="15"/>
      <c r="N96" s="20">
        <v>5.78168136948072</v>
      </c>
      <c r="O96" s="14">
        <v>4.04</v>
      </c>
      <c r="P96" s="14">
        <v>4.76</v>
      </c>
      <c r="Q96" s="14">
        <v>0.5</v>
      </c>
      <c r="R96" s="20">
        <f t="array" ref="R96">XLOOKUP(E96, 'Conference Match'!$A$2:$A$40,'Conference Match'!$C$2:$C$40)</f>
        <v>0.95</v>
      </c>
      <c r="S96" s="20">
        <f t="shared" si="1"/>
        <v>4.33651946</v>
      </c>
      <c r="T96" s="20">
        <f t="shared" si="2"/>
        <v>32.26309059</v>
      </c>
      <c r="U96" s="20">
        <f t="shared" si="3"/>
        <v>-13.3709877</v>
      </c>
      <c r="W96" s="20">
        <f>IFERROR(__xludf.DUMMYFUNCTION("iferror(PERCENTRANK.INC(FILTER($S$3:$S$435, $P$3:$P$435&lt;3.75), $S96), 1)"),0.972)</f>
        <v>0.972</v>
      </c>
      <c r="X96" s="20">
        <f>IFERROR(__xludf.DUMMYFUNCTION("iferror(PERCENTRANK.INC(FILTER($S$3:$S$435, $P$3:$P$435&lt;4.5), $S96), 1)"),0.884)</f>
        <v>0.884</v>
      </c>
      <c r="Y96" s="20">
        <f>IFERROR(__xludf.DUMMYFUNCTION("iferror(PERCENTRANK.INC(FILTER($S$3:$S$435, $P$3:$P$435&gt;=4.1), $S96), 0.01)"),0.338)</f>
        <v>0.338</v>
      </c>
    </row>
    <row r="97" ht="14.25" customHeight="1">
      <c r="A97" s="14" t="s">
        <v>1054</v>
      </c>
      <c r="B97" s="14" t="s">
        <v>437</v>
      </c>
      <c r="C97" s="14" t="s">
        <v>959</v>
      </c>
      <c r="D97" s="14" t="s">
        <v>959</v>
      </c>
      <c r="E97" s="14" t="s">
        <v>127</v>
      </c>
      <c r="F97" s="14">
        <v>43.0</v>
      </c>
      <c r="G97" s="14">
        <v>28.0</v>
      </c>
      <c r="H97" s="14">
        <v>401.0</v>
      </c>
      <c r="I97" s="14">
        <v>14.3</v>
      </c>
      <c r="J97" s="14">
        <v>4.0</v>
      </c>
      <c r="K97" s="20">
        <v>6.794815209080693</v>
      </c>
      <c r="L97" s="20">
        <v>50.65113879412173</v>
      </c>
      <c r="M97" s="15"/>
      <c r="N97" s="20">
        <v>6.794815209080693</v>
      </c>
      <c r="O97" s="14">
        <v>4.03</v>
      </c>
      <c r="P97" s="20">
        <v>3.66</v>
      </c>
      <c r="Q97" s="20">
        <v>0.0</v>
      </c>
      <c r="R97" s="20">
        <f t="array" ref="R97">XLOOKUP(E97, 'Conference Match'!$A$2:$A$40,'Conference Match'!$C$2:$C$40)</f>
        <v>0.9</v>
      </c>
      <c r="S97" s="20">
        <f t="shared" si="1"/>
        <v>3.859066738</v>
      </c>
      <c r="T97" s="20">
        <f t="shared" si="2"/>
        <v>27.50667256</v>
      </c>
      <c r="U97" s="20">
        <f t="shared" si="3"/>
        <v>-23.14446624</v>
      </c>
      <c r="W97" s="20">
        <f>IFERROR(__xludf.DUMMYFUNCTION("iferror(PERCENTRANK.INC(FILTER($S$3:$S$435, $P$3:$P$435&lt;3.75), $S97), 1)"),0.932)</f>
        <v>0.932</v>
      </c>
      <c r="X97" s="20">
        <f>IFERROR(__xludf.DUMMYFUNCTION("iferror(PERCENTRANK.INC(FILTER($S$3:$S$435, $P$3:$P$435&lt;4.5), $S97), 1)"),0.773)</f>
        <v>0.773</v>
      </c>
      <c r="Y97" s="20">
        <f>IFERROR(__xludf.DUMMYFUNCTION("iferror(PERCENTRANK.INC(FILTER($S$3:$S$435, $P$3:$P$435&gt;=4.1), $S97), 0.01)"),0.19)</f>
        <v>0.19</v>
      </c>
    </row>
    <row r="98" ht="14.25" customHeight="1">
      <c r="A98" s="14" t="s">
        <v>1055</v>
      </c>
      <c r="B98" s="14" t="s">
        <v>120</v>
      </c>
      <c r="C98" s="14" t="s">
        <v>959</v>
      </c>
      <c r="D98" s="14" t="s">
        <v>959</v>
      </c>
      <c r="E98" s="14" t="s">
        <v>121</v>
      </c>
      <c r="F98" s="14">
        <v>47.0</v>
      </c>
      <c r="G98" s="14">
        <v>40.0</v>
      </c>
      <c r="H98" s="14">
        <v>505.0</v>
      </c>
      <c r="I98" s="14">
        <v>12.6</v>
      </c>
      <c r="J98" s="14">
        <v>2.0</v>
      </c>
      <c r="K98" s="20">
        <v>6.192154396370953</v>
      </c>
      <c r="L98" s="20">
        <v>45.16963985446051</v>
      </c>
      <c r="M98" s="15"/>
      <c r="N98" s="20">
        <v>6.192154396370953</v>
      </c>
      <c r="O98" s="14">
        <v>4.03</v>
      </c>
      <c r="R98" s="20">
        <f t="array" ref="R98">XLOOKUP(E98, 'Conference Match'!$A$2:$A$40,'Conference Match'!$C$2:$C$40)</f>
        <v>0.9</v>
      </c>
      <c r="S98" s="20">
        <f t="shared" si="1"/>
        <v>1.920587791</v>
      </c>
      <c r="T98" s="20">
        <f t="shared" si="2"/>
        <v>8.195407231</v>
      </c>
      <c r="U98" s="20">
        <f t="shared" si="3"/>
        <v>-36.97423262</v>
      </c>
      <c r="W98" s="20">
        <f>IFERROR(__xludf.DUMMYFUNCTION("iferror(PERCENTRANK.INC(FILTER($S$3:$S$435, $P$3:$P$435&lt;3.75), $S98), 1)"),0.449)</f>
        <v>0.449</v>
      </c>
      <c r="X98" s="20">
        <f>IFERROR(__xludf.DUMMYFUNCTION("iferror(PERCENTRANK.INC(FILTER($S$3:$S$435, $P$3:$P$435&lt;4.5), $S98), 1)"),0.3)</f>
        <v>0.3</v>
      </c>
      <c r="Y98" s="20">
        <f>IFERROR(__xludf.DUMMYFUNCTION("iferror(PERCENTRANK.INC(FILTER($S$3:$S$435, $P$3:$P$435&gt;=4.1), $S98), 0.01)"),0.01)</f>
        <v>0.01</v>
      </c>
    </row>
    <row r="99" ht="14.25" customHeight="1">
      <c r="A99" s="14" t="s">
        <v>1056</v>
      </c>
      <c r="B99" s="14" t="s">
        <v>579</v>
      </c>
      <c r="C99" s="14">
        <v>17.0</v>
      </c>
      <c r="D99" s="14" t="s">
        <v>959</v>
      </c>
      <c r="E99" s="14" t="s">
        <v>158</v>
      </c>
      <c r="F99" s="14">
        <v>39.0</v>
      </c>
      <c r="G99" s="14">
        <v>28.0</v>
      </c>
      <c r="H99" s="14">
        <v>371.0</v>
      </c>
      <c r="I99" s="14">
        <v>13.3</v>
      </c>
      <c r="J99" s="14">
        <v>4.0</v>
      </c>
      <c r="K99" s="20">
        <v>6.546877039709108</v>
      </c>
      <c r="L99" s="20">
        <v>54.77953072454634</v>
      </c>
      <c r="M99" s="15"/>
      <c r="N99" s="20">
        <v>6.546877039709108</v>
      </c>
      <c r="O99" s="14">
        <v>3.99</v>
      </c>
      <c r="R99" s="20">
        <f t="array" ref="R99">XLOOKUP(E99, 'Conference Match'!$A$2:$A$40,'Conference Match'!$C$2:$C$40)</f>
        <v>0.95</v>
      </c>
      <c r="S99" s="20">
        <f t="shared" si="1"/>
        <v>2.041906638</v>
      </c>
      <c r="T99" s="20">
        <f t="shared" si="2"/>
        <v>9.403994217</v>
      </c>
      <c r="U99" s="20">
        <f t="shared" si="3"/>
        <v>-45.37553651</v>
      </c>
      <c r="W99" s="20">
        <f>IFERROR(__xludf.DUMMYFUNCTION("iferror(PERCENTRANK.INC(FILTER($S$3:$S$435, $P$3:$P$435&lt;3.75), $S99), 1)"),0.476)</f>
        <v>0.476</v>
      </c>
      <c r="X99" s="20">
        <f>IFERROR(__xludf.DUMMYFUNCTION("iferror(PERCENTRANK.INC(FILTER($S$3:$S$435, $P$3:$P$435&lt;4.5), $S99), 1)"),0.318)</f>
        <v>0.318</v>
      </c>
      <c r="Y99" s="20">
        <f>IFERROR(__xludf.DUMMYFUNCTION("iferror(PERCENTRANK.INC(FILTER($S$3:$S$435, $P$3:$P$435&gt;=4.1), $S99), 0.01)"),0.01)</f>
        <v>0.01</v>
      </c>
    </row>
    <row r="100" ht="14.25" customHeight="1">
      <c r="A100" s="14" t="s">
        <v>1057</v>
      </c>
      <c r="B100" s="14" t="s">
        <v>123</v>
      </c>
      <c r="C100" s="14" t="s">
        <v>959</v>
      </c>
      <c r="D100" s="14" t="s">
        <v>959</v>
      </c>
      <c r="E100" s="14" t="s">
        <v>124</v>
      </c>
      <c r="F100" s="14">
        <v>33.0</v>
      </c>
      <c r="G100" s="14">
        <v>26.0</v>
      </c>
      <c r="H100" s="14">
        <v>330.0</v>
      </c>
      <c r="I100" s="14">
        <v>12.7</v>
      </c>
      <c r="J100" s="14">
        <v>1.0</v>
      </c>
      <c r="K100" s="20">
        <v>5.806195880585354</v>
      </c>
      <c r="L100" s="20">
        <v>41.659155763883135</v>
      </c>
      <c r="M100" s="15"/>
      <c r="N100" s="20">
        <v>5.806195880585354</v>
      </c>
      <c r="O100" s="14">
        <v>3.97</v>
      </c>
      <c r="R100" s="20">
        <f t="array" ref="R100">XLOOKUP(E100, 'Conference Match'!$A$2:$A$40,'Conference Match'!$C$2:$C$40)</f>
        <v>0.9</v>
      </c>
      <c r="S100" s="20">
        <f t="shared" si="1"/>
        <v>1.839115259</v>
      </c>
      <c r="T100" s="20">
        <f t="shared" si="2"/>
        <v>7.383772056</v>
      </c>
      <c r="U100" s="20">
        <f t="shared" si="3"/>
        <v>-34.27538371</v>
      </c>
      <c r="W100" s="20">
        <f>IFERROR(__xludf.DUMMYFUNCTION("iferror(PERCENTRANK.INC(FILTER($S$3:$S$435, $P$3:$P$435&lt;3.75), $S100), 1)"),0.415)</f>
        <v>0.415</v>
      </c>
      <c r="X100" s="20">
        <f>IFERROR(__xludf.DUMMYFUNCTION("iferror(PERCENTRANK.INC(FILTER($S$3:$S$435, $P$3:$P$435&lt;4.5), $S100), 1)"),0.277)</f>
        <v>0.277</v>
      </c>
      <c r="Y100" s="20">
        <f>IFERROR(__xludf.DUMMYFUNCTION("iferror(PERCENTRANK.INC(FILTER($S$3:$S$435, $P$3:$P$435&gt;=4.1), $S100), 0.01)"),0.01)</f>
        <v>0.01</v>
      </c>
    </row>
    <row r="101" ht="14.25" customHeight="1">
      <c r="A101" s="14" t="s">
        <v>1058</v>
      </c>
      <c r="B101" s="14" t="s">
        <v>608</v>
      </c>
      <c r="C101" s="14">
        <v>1.0</v>
      </c>
      <c r="D101" s="14" t="s">
        <v>959</v>
      </c>
      <c r="E101" s="14" t="s">
        <v>158</v>
      </c>
      <c r="F101" s="14">
        <v>26.0</v>
      </c>
      <c r="G101" s="14">
        <v>17.0</v>
      </c>
      <c r="H101" s="14">
        <v>268.0</v>
      </c>
      <c r="I101" s="14">
        <v>15.8</v>
      </c>
      <c r="J101" s="14">
        <v>3.0</v>
      </c>
      <c r="K101" s="20">
        <v>6.897773672332285</v>
      </c>
      <c r="L101" s="20">
        <v>58.97337105650687</v>
      </c>
      <c r="M101" s="15"/>
      <c r="N101" s="20">
        <v>6.897773672332285</v>
      </c>
      <c r="O101" s="14">
        <v>3.96</v>
      </c>
      <c r="P101" s="20">
        <v>3.74</v>
      </c>
      <c r="Q101" s="20">
        <v>-6.5</v>
      </c>
      <c r="R101" s="20">
        <f t="array" ref="R101">XLOOKUP(E101, 'Conference Match'!$A$2:$A$40,'Conference Match'!$C$2:$C$40)</f>
        <v>0.95</v>
      </c>
      <c r="S101" s="20">
        <f t="shared" si="1"/>
        <v>3.322576998</v>
      </c>
      <c r="T101" s="20">
        <f t="shared" si="2"/>
        <v>22.16212356</v>
      </c>
      <c r="U101" s="20">
        <f t="shared" si="3"/>
        <v>-36.8112475</v>
      </c>
      <c r="W101" s="20">
        <f>IFERROR(__xludf.DUMMYFUNCTION("iferror(PERCENTRANK.INC(FILTER($S$3:$S$435, $P$3:$P$435&lt;3.75), $S101), 1)"),0.735)</f>
        <v>0.735</v>
      </c>
      <c r="X101" s="20">
        <f>IFERROR(__xludf.DUMMYFUNCTION("iferror(PERCENTRANK.INC(FILTER($S$3:$S$435, $P$3:$P$435&lt;4.5), $S101), 1)"),0.541)</f>
        <v>0.541</v>
      </c>
      <c r="Y101" s="20">
        <f>IFERROR(__xludf.DUMMYFUNCTION("iferror(PERCENTRANK.INC(FILTER($S$3:$S$435, $P$3:$P$435&gt;=4.1), $S101), 0.01)"),0.031)</f>
        <v>0.031</v>
      </c>
    </row>
    <row r="102" ht="14.25" customHeight="1">
      <c r="A102" s="17" t="s">
        <v>1059</v>
      </c>
      <c r="B102" s="17" t="s">
        <v>261</v>
      </c>
      <c r="C102" s="18">
        <v>21.0</v>
      </c>
      <c r="D102" s="17" t="s">
        <v>959</v>
      </c>
      <c r="E102" s="17" t="s">
        <v>147</v>
      </c>
      <c r="F102" s="18">
        <v>26.0</v>
      </c>
      <c r="G102" s="18">
        <v>16.0</v>
      </c>
      <c r="H102" s="18">
        <v>401.0</v>
      </c>
      <c r="I102" s="18">
        <v>25.1</v>
      </c>
      <c r="J102" s="18">
        <v>6.0</v>
      </c>
      <c r="K102" s="22">
        <v>10.32</v>
      </c>
      <c r="L102" s="22">
        <v>99.93</v>
      </c>
      <c r="M102" s="15"/>
      <c r="N102" s="22">
        <v>10.32</v>
      </c>
      <c r="O102" s="18">
        <v>3.95</v>
      </c>
      <c r="P102" s="38">
        <v>4.79</v>
      </c>
      <c r="Q102" s="16">
        <v>0.5</v>
      </c>
      <c r="R102" s="20">
        <f t="array" ref="R102">XLOOKUP(E102, 'Conference Match'!$A$2:$A$40,'Conference Match'!$C$2:$C$40)</f>
        <v>0.95</v>
      </c>
      <c r="S102" s="20">
        <f t="shared" si="1"/>
        <v>5.1958</v>
      </c>
      <c r="T102" s="20">
        <f t="shared" si="2"/>
        <v>40.82330452</v>
      </c>
      <c r="U102" s="20">
        <f t="shared" si="3"/>
        <v>-59.10669548</v>
      </c>
      <c r="W102" s="20">
        <f>IFERROR(__xludf.DUMMYFUNCTION("iferror(PERCENTRANK.INC(FILTER($S$3:$S$435, $P$3:$P$435&lt;3.75), $S102), 1)"),1.0)</f>
        <v>1</v>
      </c>
      <c r="X102" s="20">
        <f>IFERROR(__xludf.DUMMYFUNCTION("iferror(PERCENTRANK.INC(FILTER($S$3:$S$435, $P$3:$P$435&lt;4.5), $S102), 1)"),0.99)</f>
        <v>0.99</v>
      </c>
      <c r="Y102" s="20">
        <f>IFERROR(__xludf.DUMMYFUNCTION("iferror(PERCENTRANK.INC(FILTER($S$3:$S$435, $P$3:$P$435&gt;=4.1), $S102), 0.01)"),0.792)</f>
        <v>0.792</v>
      </c>
    </row>
    <row r="103" ht="14.25" customHeight="1">
      <c r="A103" s="14" t="s">
        <v>1060</v>
      </c>
      <c r="B103" s="14" t="s">
        <v>497</v>
      </c>
      <c r="C103" s="16">
        <v>2.0</v>
      </c>
      <c r="D103" s="14" t="s">
        <v>959</v>
      </c>
      <c r="E103" s="14" t="s">
        <v>105</v>
      </c>
      <c r="F103" s="14">
        <v>26.0</v>
      </c>
      <c r="G103" s="14">
        <v>17.0</v>
      </c>
      <c r="H103" s="14">
        <v>331.0</v>
      </c>
      <c r="I103" s="14">
        <v>19.5</v>
      </c>
      <c r="J103" s="14">
        <v>2.0</v>
      </c>
      <c r="K103" s="20">
        <v>7.865081364639977</v>
      </c>
      <c r="L103" s="20">
        <v>60.38574020361981</v>
      </c>
      <c r="M103" s="15"/>
      <c r="N103" s="20">
        <v>7.865081364639977</v>
      </c>
      <c r="O103" s="14">
        <v>3.94</v>
      </c>
      <c r="P103" s="20">
        <v>3.8</v>
      </c>
      <c r="Q103" s="20">
        <v>5.0</v>
      </c>
      <c r="R103" s="20">
        <f t="array" ref="R103">XLOOKUP(E103, 'Conference Match'!$A$2:$A$40,'Conference Match'!$C$2:$C$40)</f>
        <v>0.9</v>
      </c>
      <c r="S103" s="20">
        <f t="shared" si="1"/>
        <v>4.603714646</v>
      </c>
      <c r="T103" s="20">
        <f t="shared" si="2"/>
        <v>34.92490805</v>
      </c>
      <c r="U103" s="20">
        <f t="shared" si="3"/>
        <v>-25.46083215</v>
      </c>
      <c r="W103" s="20">
        <f>IFERROR(__xludf.DUMMYFUNCTION("iferror(PERCENTRANK.INC(FILTER($S$3:$S$435, $P$3:$P$435&lt;3.75), $S103), 1)"),0.979)</f>
        <v>0.979</v>
      </c>
      <c r="X103" s="20">
        <f>IFERROR(__xludf.DUMMYFUNCTION("iferror(PERCENTRANK.INC(FILTER($S$3:$S$435, $P$3:$P$435&lt;4.5), $S103), 1)"),0.936)</f>
        <v>0.936</v>
      </c>
      <c r="Y103" s="20">
        <f>IFERROR(__xludf.DUMMYFUNCTION("iferror(PERCENTRANK.INC(FILTER($S$3:$S$435, $P$3:$P$435&gt;=4.1), $S103), 0.01)"),0.546)</f>
        <v>0.546</v>
      </c>
    </row>
    <row r="104" ht="14.25" customHeight="1">
      <c r="A104" s="14" t="s">
        <v>1061</v>
      </c>
      <c r="B104" s="14" t="s">
        <v>249</v>
      </c>
      <c r="C104" s="14" t="s">
        <v>959</v>
      </c>
      <c r="D104" s="14" t="s">
        <v>959</v>
      </c>
      <c r="E104" s="14" t="s">
        <v>189</v>
      </c>
      <c r="F104" s="14">
        <v>48.0</v>
      </c>
      <c r="G104" s="14">
        <v>30.0</v>
      </c>
      <c r="H104" s="14">
        <v>369.0</v>
      </c>
      <c r="I104" s="14">
        <v>12.3</v>
      </c>
      <c r="J104" s="14">
        <v>1.0</v>
      </c>
      <c r="K104" s="20">
        <f>0.35*LN(F104+1)+0.25*(G104/F104)+0.25*(I104)+0.1*(H104/F104)+0.2*J104</f>
        <v>5.562137104</v>
      </c>
      <c r="L104" s="20">
        <f>100*(K104-MIN($J$3:$J$511))/(MAX($J$3:$J$511) - MIN($J$3:$J$511))</f>
        <v>61.80152338</v>
      </c>
      <c r="M104" s="15"/>
      <c r="N104" s="20">
        <f>0.35*LN($F104+1)+0.25*($G104/$F104)+0.25*($I104)+0.1*($H104/$F104)+0.2*$J104</f>
        <v>5.562137104</v>
      </c>
      <c r="O104" s="14">
        <v>3.93</v>
      </c>
      <c r="P104" s="14">
        <v>4.76</v>
      </c>
      <c r="Q104" s="14">
        <v>5.5</v>
      </c>
      <c r="R104" s="20">
        <f t="array" ref="R104">XLOOKUP(E104, 'Conference Match'!$A$2:$A$40,'Conference Match'!$C$2:$C$40)</f>
        <v>0.9</v>
      </c>
      <c r="S104" s="20">
        <f t="shared" si="1"/>
        <v>4.717184679</v>
      </c>
      <c r="T104" s="20">
        <f t="shared" si="2"/>
        <v>36.0553046</v>
      </c>
      <c r="U104" s="20">
        <f t="shared" si="3"/>
        <v>-25.74621878</v>
      </c>
      <c r="W104" s="20">
        <f>IFERROR(__xludf.DUMMYFUNCTION("iferror(PERCENTRANK.INC(FILTER($S$3:$S$435, $P$3:$P$435&lt;3.75), $S104), 1)"),0.984)</f>
        <v>0.984</v>
      </c>
      <c r="X104" s="20">
        <f>IFERROR(__xludf.DUMMYFUNCTION("iferror(PERCENTRANK.INC(FILTER($S$3:$S$435, $P$3:$P$435&lt;4.5), $S104), 1)"),0.948)</f>
        <v>0.948</v>
      </c>
      <c r="Y104" s="20">
        <f>IFERROR(__xludf.DUMMYFUNCTION("iferror(PERCENTRANK.INC(FILTER($S$3:$S$435, $P$3:$P$435&gt;=4.1), $S104), 0.01)"),0.61)</f>
        <v>0.61</v>
      </c>
    </row>
    <row r="105" ht="14.25" customHeight="1">
      <c r="A105" s="17" t="s">
        <v>1062</v>
      </c>
      <c r="B105" s="17" t="s">
        <v>509</v>
      </c>
      <c r="C105" s="18">
        <v>4.0</v>
      </c>
      <c r="D105" s="17" t="s">
        <v>959</v>
      </c>
      <c r="E105" s="17" t="s">
        <v>99</v>
      </c>
      <c r="F105" s="18">
        <v>41.0</v>
      </c>
      <c r="G105" s="18">
        <v>23.0</v>
      </c>
      <c r="H105" s="18">
        <v>430.0</v>
      </c>
      <c r="I105" s="18">
        <v>18.7</v>
      </c>
      <c r="J105" s="18">
        <v>4.0</v>
      </c>
      <c r="K105" s="22">
        <v>7.97</v>
      </c>
      <c r="L105" s="22">
        <v>58.64</v>
      </c>
      <c r="M105" s="15"/>
      <c r="N105" s="38">
        <v>7.97</v>
      </c>
      <c r="O105" s="16">
        <v>8.31</v>
      </c>
      <c r="P105" s="48">
        <v>4.76</v>
      </c>
      <c r="Q105" s="49">
        <v>55.0</v>
      </c>
      <c r="R105" s="20">
        <f t="array" ref="R105">XLOOKUP(E105, 'Conference Match'!$A$2:$A$40,'Conference Match'!$C$2:$C$40)</f>
        <v>1</v>
      </c>
      <c r="S105" s="20">
        <f t="shared" si="1"/>
        <v>11.136</v>
      </c>
      <c r="T105" s="20">
        <f t="shared" si="2"/>
        <v>100</v>
      </c>
      <c r="U105" s="20">
        <f t="shared" si="3"/>
        <v>41.36</v>
      </c>
      <c r="W105" s="20">
        <f>IFERROR(__xludf.DUMMYFUNCTION("iferror(PERCENTRANK.INC(FILTER($S$3:$S$435, $P$3:$P$435&lt;3.75), $S105), 1)"),1.0)</f>
        <v>1</v>
      </c>
      <c r="X105" s="20">
        <f>IFERROR(__xludf.DUMMYFUNCTION("iferror(PERCENTRANK.INC(FILTER($S$3:$S$435, $P$3:$P$435&lt;4.5), $S105), 1)"),1.0)</f>
        <v>1</v>
      </c>
      <c r="Y105" s="20">
        <f>IFERROR(__xludf.DUMMYFUNCTION("iferror(PERCENTRANK.INC(FILTER($S$3:$S$435, $P$3:$P$435&gt;=4.1), $S105), 0.01)"),1.0)</f>
        <v>1</v>
      </c>
    </row>
    <row r="106" ht="14.25" customHeight="1">
      <c r="A106" s="14" t="s">
        <v>1063</v>
      </c>
      <c r="B106" s="14" t="s">
        <v>466</v>
      </c>
      <c r="C106" s="14" t="s">
        <v>959</v>
      </c>
      <c r="D106" s="14" t="s">
        <v>959</v>
      </c>
      <c r="E106" s="14" t="s">
        <v>124</v>
      </c>
      <c r="F106" s="14">
        <v>43.0</v>
      </c>
      <c r="G106" s="14">
        <v>33.0</v>
      </c>
      <c r="H106" s="14">
        <v>396.0</v>
      </c>
      <c r="I106" s="14">
        <v>12.0</v>
      </c>
      <c r="J106" s="14">
        <v>3.0</v>
      </c>
      <c r="K106" s="20">
        <v>6.037257069545809</v>
      </c>
      <c r="L106" s="20">
        <v>43.76077185633947</v>
      </c>
      <c r="M106" s="15"/>
      <c r="N106" s="20">
        <v>6.037257069545809</v>
      </c>
      <c r="O106" s="14">
        <v>3.92</v>
      </c>
      <c r="P106" s="48">
        <v>4.04</v>
      </c>
      <c r="Q106" s="50">
        <v>-3.5</v>
      </c>
      <c r="R106" s="20">
        <f t="array" ref="R106">XLOOKUP(E106, 'Conference Match'!$A$2:$A$40,'Conference Match'!$C$2:$C$40)</f>
        <v>0.9</v>
      </c>
      <c r="S106" s="20">
        <f t="shared" si="1"/>
        <v>3.540706273</v>
      </c>
      <c r="T106" s="20">
        <f t="shared" si="2"/>
        <v>24.33514293</v>
      </c>
      <c r="U106" s="20">
        <f t="shared" si="3"/>
        <v>-19.42562893</v>
      </c>
      <c r="W106" s="20">
        <f>IFERROR(__xludf.DUMMYFUNCTION("iferror(PERCENTRANK.INC(FILTER($S$3:$S$435, $P$3:$P$435&lt;3.75), $S106), 1)"),0.851)</f>
        <v>0.851</v>
      </c>
      <c r="X106" s="20">
        <f>IFERROR(__xludf.DUMMYFUNCTION("iferror(PERCENTRANK.INC(FILTER($S$3:$S$435, $P$3:$P$435&lt;4.5), $S106), 1)"),0.65)</f>
        <v>0.65</v>
      </c>
      <c r="Y106" s="20">
        <f>IFERROR(__xludf.DUMMYFUNCTION("iferror(PERCENTRANK.INC(FILTER($S$3:$S$435, $P$3:$P$435&gt;=4.1), $S106), 0.01)"),0.059)</f>
        <v>0.059</v>
      </c>
    </row>
    <row r="107" ht="14.25" customHeight="1">
      <c r="A107" s="14" t="s">
        <v>1064</v>
      </c>
      <c r="B107" s="14" t="s">
        <v>161</v>
      </c>
      <c r="C107" s="14" t="s">
        <v>959</v>
      </c>
      <c r="D107" s="14" t="s">
        <v>959</v>
      </c>
      <c r="E107" s="14" t="s">
        <v>121</v>
      </c>
      <c r="F107" s="14">
        <v>57.0</v>
      </c>
      <c r="G107" s="14">
        <v>35.0</v>
      </c>
      <c r="H107" s="14">
        <v>501.0</v>
      </c>
      <c r="I107" s="14">
        <v>14.3</v>
      </c>
      <c r="J107" s="14">
        <v>4.0</v>
      </c>
      <c r="K107" s="20">
        <v>6.828611194042124</v>
      </c>
      <c r="L107" s="20">
        <v>50.958530036133865</v>
      </c>
      <c r="M107" s="15"/>
      <c r="N107" s="20">
        <v>6.828611194042124</v>
      </c>
      <c r="O107" s="14">
        <v>3.9</v>
      </c>
      <c r="P107" s="20">
        <v>4.33</v>
      </c>
      <c r="Q107" s="20">
        <v>2.5</v>
      </c>
      <c r="R107" s="20">
        <f t="array" ref="R107">XLOOKUP(E107, 'Conference Match'!$A$2:$A$40,'Conference Match'!$C$2:$C$40)</f>
        <v>0.9</v>
      </c>
      <c r="S107" s="20">
        <f t="shared" si="1"/>
        <v>4.424150015</v>
      </c>
      <c r="T107" s="20">
        <f t="shared" si="2"/>
        <v>33.13607241</v>
      </c>
      <c r="U107" s="20">
        <f t="shared" si="3"/>
        <v>-17.82245762</v>
      </c>
      <c r="W107" s="20">
        <f>IFERROR(__xludf.DUMMYFUNCTION("iferror(PERCENTRANK.INC(FILTER($S$3:$S$435, $P$3:$P$435&lt;3.75), $S107), 1)"),0.974)</f>
        <v>0.974</v>
      </c>
      <c r="X107" s="20">
        <f>IFERROR(__xludf.DUMMYFUNCTION("iferror(PERCENTRANK.INC(FILTER($S$3:$S$435, $P$3:$P$435&lt;4.5), $S107), 1)"),0.895)</f>
        <v>0.895</v>
      </c>
      <c r="Y107" s="20">
        <f>IFERROR(__xludf.DUMMYFUNCTION("iferror(PERCENTRANK.INC(FILTER($S$3:$S$435, $P$3:$P$435&gt;=4.1), $S107), 0.01)"),0.39)</f>
        <v>0.39</v>
      </c>
    </row>
    <row r="108" ht="14.25" customHeight="1">
      <c r="A108" s="14" t="s">
        <v>1065</v>
      </c>
      <c r="B108" s="14" t="s">
        <v>551</v>
      </c>
      <c r="C108" s="14" t="s">
        <v>959</v>
      </c>
      <c r="D108" s="14" t="s">
        <v>959</v>
      </c>
      <c r="E108" s="14" t="s">
        <v>179</v>
      </c>
      <c r="F108" s="14">
        <v>45.0</v>
      </c>
      <c r="G108" s="14">
        <v>27.0</v>
      </c>
      <c r="H108" s="14">
        <v>415.0</v>
      </c>
      <c r="I108" s="14">
        <v>15.4</v>
      </c>
      <c r="J108" s="14">
        <v>4.0</v>
      </c>
      <c r="K108" s="20">
        <v>7.0622467109934055</v>
      </c>
      <c r="L108" s="20">
        <v>53.083560918227164</v>
      </c>
      <c r="M108" s="15"/>
      <c r="N108" s="20">
        <v>7.0622467109934055</v>
      </c>
      <c r="O108" s="14">
        <v>3.9</v>
      </c>
      <c r="P108" s="16">
        <v>3.37</v>
      </c>
      <c r="Q108" s="16">
        <v>-2.0</v>
      </c>
      <c r="R108" s="20">
        <f t="array" ref="R108">XLOOKUP(E108, 'Conference Match'!$A$2:$A$40,'Conference Match'!$C$2:$C$40)</f>
        <v>0.9</v>
      </c>
      <c r="S108" s="20">
        <f t="shared" si="1"/>
        <v>3.536204408</v>
      </c>
      <c r="T108" s="20">
        <f t="shared" si="2"/>
        <v>24.29029503</v>
      </c>
      <c r="U108" s="20">
        <f t="shared" si="3"/>
        <v>-28.79326588</v>
      </c>
      <c r="W108" s="20">
        <f>IFERROR(__xludf.DUMMYFUNCTION("iferror(PERCENTRANK.INC(FILTER($S$3:$S$435, $P$3:$P$435&lt;3.75), $S108), 1)"),0.85)</f>
        <v>0.85</v>
      </c>
      <c r="X108" s="20">
        <f>IFERROR(__xludf.DUMMYFUNCTION("iferror(PERCENTRANK.INC(FILTER($S$3:$S$435, $P$3:$P$435&lt;4.5), $S108), 1)"),0.645)</f>
        <v>0.645</v>
      </c>
      <c r="Y108" s="20">
        <f>IFERROR(__xludf.DUMMYFUNCTION("iferror(PERCENTRANK.INC(FILTER($S$3:$S$435, $P$3:$P$435&gt;=4.1), $S108), 0.01)"),0.059)</f>
        <v>0.059</v>
      </c>
    </row>
    <row r="109" ht="14.25" customHeight="1">
      <c r="A109" s="14" t="s">
        <v>1066</v>
      </c>
      <c r="B109" s="14" t="s">
        <v>209</v>
      </c>
      <c r="C109" s="14" t="s">
        <v>959</v>
      </c>
      <c r="D109" s="14" t="s">
        <v>959</v>
      </c>
      <c r="E109" s="14" t="s">
        <v>210</v>
      </c>
      <c r="F109" s="14">
        <v>44.0</v>
      </c>
      <c r="G109" s="14">
        <v>24.0</v>
      </c>
      <c r="H109" s="14">
        <v>309.0</v>
      </c>
      <c r="I109" s="14">
        <v>12.9</v>
      </c>
      <c r="J109" s="14">
        <v>2.0</v>
      </c>
      <c r="K109" s="20">
        <v>5.795968235055976</v>
      </c>
      <c r="L109" s="20">
        <v>41.56613025609801</v>
      </c>
      <c r="M109" s="15"/>
      <c r="N109" s="20">
        <v>5.795968235055976</v>
      </c>
      <c r="O109" s="14">
        <v>3.88</v>
      </c>
      <c r="P109" s="20">
        <v>4.76</v>
      </c>
      <c r="Q109" s="20">
        <v>5.5</v>
      </c>
      <c r="R109" s="20">
        <f t="array" ref="R109">XLOOKUP(E109, 'Conference Match'!$A$2:$A$40,'Conference Match'!$C$2:$C$40)</f>
        <v>0.9</v>
      </c>
      <c r="S109" s="20">
        <f t="shared" si="1"/>
        <v>4.749274282</v>
      </c>
      <c r="T109" s="20">
        <f t="shared" si="2"/>
        <v>36.37498352</v>
      </c>
      <c r="U109" s="20">
        <f t="shared" si="3"/>
        <v>-5.191146736</v>
      </c>
      <c r="W109" s="20">
        <f>IFERROR(__xludf.DUMMYFUNCTION("iferror(PERCENTRANK.INC(FILTER($S$3:$S$435, $P$3:$P$435&lt;3.75), $S109), 1)"),0.986)</f>
        <v>0.986</v>
      </c>
      <c r="X109" s="20">
        <f>IFERROR(__xludf.DUMMYFUNCTION("iferror(PERCENTRANK.INC(FILTER($S$3:$S$435, $P$3:$P$435&lt;4.5), $S109), 1)"),0.95)</f>
        <v>0.95</v>
      </c>
      <c r="Y109" s="20">
        <f>IFERROR(__xludf.DUMMYFUNCTION("iferror(PERCENTRANK.INC(FILTER($S$3:$S$435, $P$3:$P$435&gt;=4.1), $S109), 0.01)"),0.623)</f>
        <v>0.623</v>
      </c>
    </row>
    <row r="110" ht="14.25" customHeight="1">
      <c r="A110" s="14" t="s">
        <v>1067</v>
      </c>
      <c r="B110" s="14" t="s">
        <v>305</v>
      </c>
      <c r="C110" s="14">
        <v>4.0</v>
      </c>
      <c r="D110" s="14" t="s">
        <v>959</v>
      </c>
      <c r="E110" s="14" t="s">
        <v>132</v>
      </c>
      <c r="F110" s="14">
        <v>51.0</v>
      </c>
      <c r="G110" s="14">
        <v>42.0</v>
      </c>
      <c r="H110" s="14">
        <v>495.0</v>
      </c>
      <c r="I110" s="14">
        <v>11.8</v>
      </c>
      <c r="J110" s="14">
        <v>2.0</v>
      </c>
      <c r="K110" s="20">
        <v>5.909405889738794</v>
      </c>
      <c r="L110" s="20">
        <v>47.160614010467334</v>
      </c>
      <c r="M110" s="15"/>
      <c r="N110" s="20">
        <v>5.909405889738794</v>
      </c>
      <c r="O110" s="14">
        <v>3.86</v>
      </c>
      <c r="P110" s="16">
        <v>4.63</v>
      </c>
      <c r="Q110" s="16">
        <v>2.5</v>
      </c>
      <c r="R110" s="20">
        <f t="array" ref="R110">XLOOKUP(E110, 'Conference Match'!$A$2:$A$40,'Conference Match'!$C$2:$C$40)</f>
        <v>0.95</v>
      </c>
      <c r="S110" s="20">
        <f t="shared" si="1"/>
        <v>4.459787119</v>
      </c>
      <c r="T110" s="20">
        <f t="shared" si="2"/>
        <v>33.49109178</v>
      </c>
      <c r="U110" s="20">
        <f t="shared" si="3"/>
        <v>-13.66952223</v>
      </c>
      <c r="W110" s="20">
        <f>IFERROR(__xludf.DUMMYFUNCTION("iferror(PERCENTRANK.INC(FILTER($S$3:$S$435, $P$3:$P$435&lt;3.75), $S110), 1)"),0.975)</f>
        <v>0.975</v>
      </c>
      <c r="X110" s="20">
        <f>IFERROR(__xludf.DUMMYFUNCTION("iferror(PERCENTRANK.INC(FILTER($S$3:$S$435, $P$3:$P$435&lt;4.5), $S110), 1)"),0.901)</f>
        <v>0.901</v>
      </c>
      <c r="Y110" s="20">
        <f>IFERROR(__xludf.DUMMYFUNCTION("iferror(PERCENTRANK.INC(FILTER($S$3:$S$435, $P$3:$P$435&gt;=4.1), $S110), 0.01)"),0.416)</f>
        <v>0.416</v>
      </c>
    </row>
    <row r="111" ht="14.25" customHeight="1">
      <c r="A111" s="14" t="s">
        <v>1068</v>
      </c>
      <c r="B111" s="14" t="s">
        <v>184</v>
      </c>
      <c r="C111" s="14">
        <v>11.0</v>
      </c>
      <c r="D111" s="14" t="s">
        <v>959</v>
      </c>
      <c r="E111" s="14" t="s">
        <v>158</v>
      </c>
      <c r="F111" s="14">
        <v>47.0</v>
      </c>
      <c r="G111" s="14">
        <v>29.0</v>
      </c>
      <c r="H111" s="14">
        <v>451.0</v>
      </c>
      <c r="I111" s="14">
        <v>15.6</v>
      </c>
      <c r="J111" s="14">
        <v>3.0</v>
      </c>
      <c r="K111" s="20">
        <v>6.968750141051805</v>
      </c>
      <c r="L111" s="20">
        <v>59.82166639325841</v>
      </c>
      <c r="M111" s="15"/>
      <c r="N111" s="20">
        <v>6.968750141051805</v>
      </c>
      <c r="O111" s="14">
        <v>3.76</v>
      </c>
      <c r="P111" s="20">
        <v>4.11</v>
      </c>
      <c r="Q111" s="20">
        <v>-5.0</v>
      </c>
      <c r="R111" s="20">
        <f t="array" ref="R111">XLOOKUP(E111, 'Conference Match'!$A$2:$A$40,'Conference Match'!$C$2:$C$40)</f>
        <v>0.95</v>
      </c>
      <c r="S111" s="20">
        <f t="shared" si="1"/>
        <v>3.631062527</v>
      </c>
      <c r="T111" s="20">
        <f t="shared" si="2"/>
        <v>25.23527837</v>
      </c>
      <c r="U111" s="20">
        <f t="shared" si="3"/>
        <v>-34.58638802</v>
      </c>
      <c r="W111" s="20">
        <f>IFERROR(__xludf.DUMMYFUNCTION("iferror(PERCENTRANK.INC(FILTER($S$3:$S$435, $P$3:$P$435&lt;3.75), $S111), 1)"),0.861)</f>
        <v>0.861</v>
      </c>
      <c r="X111" s="20">
        <f>IFERROR(__xludf.DUMMYFUNCTION("iferror(PERCENTRANK.INC(FILTER($S$3:$S$435, $P$3:$P$435&lt;4.5), $S111), 1)"),0.673)</f>
        <v>0.673</v>
      </c>
      <c r="Y111" s="20">
        <f>IFERROR(__xludf.DUMMYFUNCTION("iferror(PERCENTRANK.INC(FILTER($S$3:$S$435, $P$3:$P$435&gt;=4.1), $S111), 0.01)"),0.104)</f>
        <v>0.104</v>
      </c>
    </row>
    <row r="112" ht="14.25" customHeight="1">
      <c r="A112" s="14" t="s">
        <v>1069</v>
      </c>
      <c r="B112" s="14" t="s">
        <v>427</v>
      </c>
      <c r="C112" s="14" t="s">
        <v>959</v>
      </c>
      <c r="D112" s="14" t="s">
        <v>959</v>
      </c>
      <c r="E112" s="14" t="s">
        <v>124</v>
      </c>
      <c r="F112" s="14">
        <v>59.0</v>
      </c>
      <c r="G112" s="14">
        <v>37.0</v>
      </c>
      <c r="H112" s="14">
        <v>498.0</v>
      </c>
      <c r="I112" s="14">
        <v>13.5</v>
      </c>
      <c r="J112" s="14">
        <v>1.0</v>
      </c>
      <c r="K112" s="20">
        <v>6.008868054404854</v>
      </c>
      <c r="L112" s="20">
        <v>43.502559686058326</v>
      </c>
      <c r="M112" s="15"/>
      <c r="N112" s="20">
        <v>6.008868054404854</v>
      </c>
      <c r="O112" s="14">
        <v>3.76</v>
      </c>
      <c r="P112" s="20">
        <v>4.13</v>
      </c>
      <c r="Q112" s="20">
        <v>-4.0</v>
      </c>
      <c r="R112" s="20">
        <f t="array" ref="R112">XLOOKUP(E112, 'Conference Match'!$A$2:$A$40,'Conference Match'!$C$2:$C$40)</f>
        <v>0.9</v>
      </c>
      <c r="S112" s="20">
        <f t="shared" si="1"/>
        <v>3.49859625</v>
      </c>
      <c r="T112" s="20">
        <f t="shared" si="2"/>
        <v>23.91563988</v>
      </c>
      <c r="U112" s="20">
        <f t="shared" si="3"/>
        <v>-19.5869198</v>
      </c>
      <c r="W112" s="20">
        <f>IFERROR(__xludf.DUMMYFUNCTION("iferror(PERCENTRANK.INC(FILTER($S$3:$S$435, $P$3:$P$435&lt;3.75), $S112), 1)"),0.824)</f>
        <v>0.824</v>
      </c>
      <c r="X112" s="20">
        <f>IFERROR(__xludf.DUMMYFUNCTION("iferror(PERCENTRANK.INC(FILTER($S$3:$S$435, $P$3:$P$435&lt;4.5), $S112), 1)"),0.627)</f>
        <v>0.627</v>
      </c>
      <c r="Y112" s="20">
        <f>IFERROR(__xludf.DUMMYFUNCTION("iferror(PERCENTRANK.INC(FILTER($S$3:$S$435, $P$3:$P$435&gt;=4.1), $S112), 0.01)"),0.052)</f>
        <v>0.052</v>
      </c>
    </row>
    <row r="113" ht="14.25" customHeight="1">
      <c r="A113" s="14" t="s">
        <v>1070</v>
      </c>
      <c r="B113" s="14" t="s">
        <v>203</v>
      </c>
      <c r="C113" s="14" t="s">
        <v>959</v>
      </c>
      <c r="D113" s="14" t="s">
        <v>959</v>
      </c>
      <c r="E113" s="14" t="s">
        <v>138</v>
      </c>
      <c r="F113" s="14">
        <v>29.0</v>
      </c>
      <c r="G113" s="14">
        <v>15.0</v>
      </c>
      <c r="H113" s="14">
        <v>205.0</v>
      </c>
      <c r="I113" s="14">
        <v>13.7</v>
      </c>
      <c r="J113" s="14">
        <v>3.0</v>
      </c>
      <c r="K113" s="20">
        <v>6.051625980133478</v>
      </c>
      <c r="L113" s="20">
        <v>43.891464223404526</v>
      </c>
      <c r="M113" s="15"/>
      <c r="N113" s="20">
        <v>6.051625980133478</v>
      </c>
      <c r="O113" s="14">
        <v>3.74</v>
      </c>
      <c r="R113" s="20">
        <f t="array" ref="R113">XLOOKUP(E113, 'Conference Match'!$A$2:$A$40,'Conference Match'!$C$2:$C$40)</f>
        <v>0.9</v>
      </c>
      <c r="S113" s="20">
        <f t="shared" si="1"/>
        <v>1.837292676</v>
      </c>
      <c r="T113" s="20">
        <f t="shared" si="2"/>
        <v>7.365615364</v>
      </c>
      <c r="U113" s="20">
        <f t="shared" si="3"/>
        <v>-36.52584886</v>
      </c>
      <c r="W113" s="20">
        <f>IFERROR(__xludf.DUMMYFUNCTION("iferror(PERCENTRANK.INC(FILTER($S$3:$S$435, $P$3:$P$435&lt;3.75), $S113), 1)"),0.408)</f>
        <v>0.408</v>
      </c>
      <c r="X113" s="20">
        <f>IFERROR(__xludf.DUMMYFUNCTION("iferror(PERCENTRANK.INC(FILTER($S$3:$S$435, $P$3:$P$435&lt;4.5), $S113), 1)"),0.273)</f>
        <v>0.273</v>
      </c>
      <c r="Y113" s="20">
        <f>IFERROR(__xludf.DUMMYFUNCTION("iferror(PERCENTRANK.INC(FILTER($S$3:$S$435, $P$3:$P$435&gt;=4.1), $S113), 0.01)"),0.01)</f>
        <v>0.01</v>
      </c>
    </row>
    <row r="114" ht="14.25" customHeight="1">
      <c r="A114" s="14" t="s">
        <v>1071</v>
      </c>
      <c r="B114" s="14" t="s">
        <v>421</v>
      </c>
      <c r="C114" s="14" t="s">
        <v>959</v>
      </c>
      <c r="D114" s="14" t="s">
        <v>959</v>
      </c>
      <c r="E114" s="14" t="s">
        <v>189</v>
      </c>
      <c r="F114" s="14">
        <v>39.0</v>
      </c>
      <c r="G114" s="14">
        <v>27.0</v>
      </c>
      <c r="H114" s="14">
        <v>595.0</v>
      </c>
      <c r="I114" s="14">
        <v>22.0</v>
      </c>
      <c r="J114" s="14">
        <v>5.0</v>
      </c>
      <c r="K114" s="20">
        <v>9.489825757657826</v>
      </c>
      <c r="L114" s="20">
        <v>75.16359613804451</v>
      </c>
      <c r="M114" s="15"/>
      <c r="N114" s="20">
        <v>9.489825757657826</v>
      </c>
      <c r="O114" s="14">
        <v>3.73</v>
      </c>
      <c r="P114" s="20">
        <v>5.03</v>
      </c>
      <c r="Q114" s="20">
        <v>3.5</v>
      </c>
      <c r="R114" s="20">
        <f t="array" ref="R114">XLOOKUP(E114, 'Conference Match'!$A$2:$A$40,'Conference Match'!$C$2:$C$40)</f>
        <v>0.9</v>
      </c>
      <c r="S114" s="20">
        <f t="shared" si="1"/>
        <v>5.319168636</v>
      </c>
      <c r="T114" s="20">
        <f t="shared" si="2"/>
        <v>42.05231167</v>
      </c>
      <c r="U114" s="20">
        <f t="shared" si="3"/>
        <v>-33.11128447</v>
      </c>
      <c r="W114" s="20">
        <f>IFERROR(__xludf.DUMMYFUNCTION("iferror(PERCENTRANK.INC(FILTER($S$3:$S$435, $P$3:$P$435&lt;3.75), $S114), 1)"),1.0)</f>
        <v>1</v>
      </c>
      <c r="X114" s="20">
        <f>IFERROR(__xludf.DUMMYFUNCTION("iferror(PERCENTRANK.INC(FILTER($S$3:$S$435, $P$3:$P$435&lt;4.5), $S114), 1)"),0.993)</f>
        <v>0.993</v>
      </c>
      <c r="Y114" s="20">
        <f>IFERROR(__xludf.DUMMYFUNCTION("iferror(PERCENTRANK.INC(FILTER($S$3:$S$435, $P$3:$P$435&gt;=4.1), $S114), 0.01)"),0.857)</f>
        <v>0.857</v>
      </c>
    </row>
    <row r="115" ht="14.25" customHeight="1">
      <c r="A115" s="14" t="s">
        <v>1072</v>
      </c>
      <c r="B115" s="14" t="s">
        <v>245</v>
      </c>
      <c r="C115" s="14">
        <v>10.0</v>
      </c>
      <c r="D115" s="14" t="s">
        <v>959</v>
      </c>
      <c r="E115" s="14" t="s">
        <v>158</v>
      </c>
      <c r="F115" s="14">
        <v>34.0</v>
      </c>
      <c r="G115" s="14">
        <v>26.0</v>
      </c>
      <c r="H115" s="14">
        <v>367.0</v>
      </c>
      <c r="I115" s="14">
        <v>14.1</v>
      </c>
      <c r="J115" s="14">
        <v>2.0</v>
      </c>
      <c r="K115" s="20">
        <v>6.439960056815412</v>
      </c>
      <c r="L115" s="20">
        <v>53.50168216932056</v>
      </c>
      <c r="M115" s="15"/>
      <c r="N115" s="20">
        <v>6.439960056815412</v>
      </c>
      <c r="O115" s="14">
        <v>3.72</v>
      </c>
      <c r="P115" s="20">
        <v>4.26</v>
      </c>
      <c r="Q115" s="20">
        <v>-2.0</v>
      </c>
      <c r="R115" s="20">
        <f t="array" ref="R115">XLOOKUP(E115, 'Conference Match'!$A$2:$A$40,'Conference Match'!$C$2:$C$40)</f>
        <v>0.95</v>
      </c>
      <c r="S115" s="20">
        <f t="shared" si="1"/>
        <v>3.897592411</v>
      </c>
      <c r="T115" s="20">
        <f t="shared" si="2"/>
        <v>27.89046806</v>
      </c>
      <c r="U115" s="20">
        <f t="shared" si="3"/>
        <v>-25.61121411</v>
      </c>
      <c r="W115" s="20">
        <f>IFERROR(__xludf.DUMMYFUNCTION("iferror(PERCENTRANK.INC(FILTER($S$3:$S$435, $P$3:$P$435&lt;3.75), $S115), 1)"),0.945)</f>
        <v>0.945</v>
      </c>
      <c r="X115" s="20">
        <f>IFERROR(__xludf.DUMMYFUNCTION("iferror(PERCENTRANK.INC(FILTER($S$3:$S$435, $P$3:$P$435&lt;4.5), $S115), 1)"),0.791)</f>
        <v>0.791</v>
      </c>
      <c r="Y115" s="20">
        <f>IFERROR(__xludf.DUMMYFUNCTION("iferror(PERCENTRANK.INC(FILTER($S$3:$S$435, $P$3:$P$435&gt;=4.1), $S115), 0.01)"),0.195)</f>
        <v>0.195</v>
      </c>
    </row>
    <row r="116" ht="14.25" customHeight="1">
      <c r="A116" s="14" t="s">
        <v>1073</v>
      </c>
      <c r="B116" s="14" t="s">
        <v>169</v>
      </c>
      <c r="C116" s="14" t="s">
        <v>959</v>
      </c>
      <c r="D116" s="14" t="s">
        <v>959</v>
      </c>
      <c r="E116" s="14" t="s">
        <v>121</v>
      </c>
      <c r="F116" s="14">
        <v>45.0</v>
      </c>
      <c r="G116" s="14">
        <v>26.0</v>
      </c>
      <c r="H116" s="14">
        <v>480.0</v>
      </c>
      <c r="I116" s="14">
        <v>18.5</v>
      </c>
      <c r="J116" s="14">
        <v>4.0</v>
      </c>
      <c r="K116" s="20">
        <v>7.976135599882293</v>
      </c>
      <c r="L116" s="20">
        <v>61.39583354283752</v>
      </c>
      <c r="M116" s="15"/>
      <c r="N116" s="20">
        <v>7.976135599882293</v>
      </c>
      <c r="O116" s="14">
        <v>3.65</v>
      </c>
      <c r="P116" s="16">
        <v>3.84</v>
      </c>
      <c r="Q116" s="16">
        <v>-5.0</v>
      </c>
      <c r="R116" s="20">
        <f t="array" ref="R116">XLOOKUP(E116, 'Conference Match'!$A$2:$A$40,'Conference Match'!$C$2:$C$40)</f>
        <v>0.9</v>
      </c>
      <c r="S116" s="20">
        <f t="shared" si="1"/>
        <v>3.585704408</v>
      </c>
      <c r="T116" s="20">
        <f t="shared" si="2"/>
        <v>24.78341756</v>
      </c>
      <c r="U116" s="20">
        <f t="shared" si="3"/>
        <v>-36.61241598</v>
      </c>
      <c r="W116" s="20">
        <f>IFERROR(__xludf.DUMMYFUNCTION("iferror(PERCENTRANK.INC(FILTER($S$3:$S$435, $P$3:$P$435&lt;3.75), $S116), 1)"),0.857)</f>
        <v>0.857</v>
      </c>
      <c r="X116" s="20">
        <f>IFERROR(__xludf.DUMMYFUNCTION("iferror(PERCENTRANK.INC(FILTER($S$3:$S$435, $P$3:$P$435&lt;4.5), $S116), 1)"),0.668)</f>
        <v>0.668</v>
      </c>
      <c r="Y116" s="20">
        <f>IFERROR(__xludf.DUMMYFUNCTION("iferror(PERCENTRANK.INC(FILTER($S$3:$S$435, $P$3:$P$435&gt;=4.1), $S116), 0.01)"),0.07)</f>
        <v>0.07</v>
      </c>
    </row>
    <row r="117" ht="14.25" customHeight="1">
      <c r="A117" s="14" t="s">
        <v>1074</v>
      </c>
      <c r="B117" s="14" t="s">
        <v>279</v>
      </c>
      <c r="C117" s="14" t="s">
        <v>959</v>
      </c>
      <c r="D117" s="14" t="s">
        <v>959</v>
      </c>
      <c r="E117" s="14" t="s">
        <v>127</v>
      </c>
      <c r="F117" s="14">
        <v>43.0</v>
      </c>
      <c r="G117" s="14">
        <v>24.0</v>
      </c>
      <c r="H117" s="14">
        <v>435.0</v>
      </c>
      <c r="I117" s="14">
        <v>18.1</v>
      </c>
      <c r="J117" s="14">
        <v>2.0</v>
      </c>
      <c r="K117" s="20">
        <v>7.400629162569067</v>
      </c>
      <c r="L117" s="20">
        <v>56.16131711274731</v>
      </c>
      <c r="M117" s="15"/>
      <c r="N117" s="20">
        <v>7.400629162569067</v>
      </c>
      <c r="O117" s="14">
        <v>3.64</v>
      </c>
      <c r="P117" s="20">
        <v>3.97</v>
      </c>
      <c r="Q117" s="20">
        <v>0.0</v>
      </c>
      <c r="R117" s="20">
        <f t="array" ref="R117">XLOOKUP(E117, 'Conference Match'!$A$2:$A$40,'Conference Match'!$C$2:$C$40)</f>
        <v>0.9</v>
      </c>
      <c r="S117" s="20">
        <f t="shared" si="1"/>
        <v>4.045113249</v>
      </c>
      <c r="T117" s="20">
        <f t="shared" si="2"/>
        <v>29.36008116</v>
      </c>
      <c r="U117" s="20">
        <f t="shared" si="3"/>
        <v>-26.80123596</v>
      </c>
      <c r="W117" s="20">
        <f>IFERROR(__xludf.DUMMYFUNCTION("iferror(PERCENTRANK.INC(FILTER($S$3:$S$435, $P$3:$P$435&lt;3.75), $S117), 1)"),0.956)</f>
        <v>0.956</v>
      </c>
      <c r="X117" s="20">
        <f>IFERROR(__xludf.DUMMYFUNCTION("iferror(PERCENTRANK.INC(FILTER($S$3:$S$435, $P$3:$P$435&lt;4.5), $S117), 1)"),0.832)</f>
        <v>0.832</v>
      </c>
      <c r="Y117" s="20">
        <f>IFERROR(__xludf.DUMMYFUNCTION("iferror(PERCENTRANK.INC(FILTER($S$3:$S$435, $P$3:$P$435&gt;=4.1), $S117), 0.01)"),0.236)</f>
        <v>0.236</v>
      </c>
    </row>
    <row r="118" ht="14.25" customHeight="1">
      <c r="A118" s="14" t="s">
        <v>1075</v>
      </c>
      <c r="B118" s="14" t="s">
        <v>116</v>
      </c>
      <c r="C118" s="14">
        <v>6.0</v>
      </c>
      <c r="D118" s="14" t="s">
        <v>959</v>
      </c>
      <c r="E118" s="14" t="s">
        <v>117</v>
      </c>
      <c r="F118" s="14">
        <v>48.0</v>
      </c>
      <c r="G118" s="14">
        <v>28.0</v>
      </c>
      <c r="H118" s="14">
        <v>467.0</v>
      </c>
      <c r="I118" s="14">
        <v>16.7</v>
      </c>
      <c r="J118" s="14">
        <v>4.0</v>
      </c>
      <c r="K118" s="20">
        <v>7.455887104338719</v>
      </c>
      <c r="L118" s="20">
        <v>65.64382156342603</v>
      </c>
      <c r="M118" s="15"/>
      <c r="N118" s="20">
        <v>7.455887104338719</v>
      </c>
      <c r="O118" s="14">
        <v>3.63</v>
      </c>
      <c r="P118" s="20">
        <v>3.53</v>
      </c>
      <c r="Q118" s="20">
        <v>-2.0</v>
      </c>
      <c r="R118" s="20">
        <f t="array" ref="R118">XLOOKUP(E118, 'Conference Match'!$A$2:$A$40,'Conference Match'!$C$2:$C$40)</f>
        <v>0.95</v>
      </c>
      <c r="S118" s="20">
        <f t="shared" si="1"/>
        <v>3.70761855</v>
      </c>
      <c r="T118" s="20">
        <f t="shared" si="2"/>
        <v>25.99793492</v>
      </c>
      <c r="U118" s="20">
        <f t="shared" si="3"/>
        <v>-39.64588664</v>
      </c>
      <c r="W118" s="20">
        <f>IFERROR(__xludf.DUMMYFUNCTION("iferror(PERCENTRANK.INC(FILTER($S$3:$S$435, $P$3:$P$435&lt;3.75), $S118), 1)"),0.871)</f>
        <v>0.871</v>
      </c>
      <c r="X118" s="20">
        <f>IFERROR(__xludf.DUMMYFUNCTION("iferror(PERCENTRANK.INC(FILTER($S$3:$S$435, $P$3:$P$435&lt;4.5), $S118), 1)"),0.691)</f>
        <v>0.691</v>
      </c>
      <c r="Y118" s="20">
        <f>IFERROR(__xludf.DUMMYFUNCTION("iferror(PERCENTRANK.INC(FILTER($S$3:$S$435, $P$3:$P$435&gt;=4.1), $S118), 0.01)"),0.125)</f>
        <v>0.125</v>
      </c>
    </row>
    <row r="119" ht="14.25" customHeight="1">
      <c r="A119" s="14" t="s">
        <v>1076</v>
      </c>
      <c r="B119" s="14" t="s">
        <v>345</v>
      </c>
      <c r="C119" s="14">
        <v>13.0</v>
      </c>
      <c r="D119" s="14" t="s">
        <v>959</v>
      </c>
      <c r="E119" s="14" t="s">
        <v>144</v>
      </c>
      <c r="F119" s="14">
        <v>30.0</v>
      </c>
      <c r="G119" s="14">
        <v>24.0</v>
      </c>
      <c r="H119" s="14">
        <v>308.0</v>
      </c>
      <c r="I119" s="14">
        <v>12.8</v>
      </c>
      <c r="J119" s="14">
        <v>2.0</v>
      </c>
      <c r="K119" s="20">
        <v>6.028562188236469</v>
      </c>
      <c r="L119" s="20">
        <v>48.58474420718918</v>
      </c>
      <c r="M119" s="15"/>
      <c r="N119" s="20">
        <v>6.028562188236469</v>
      </c>
      <c r="O119" s="14">
        <v>3.63</v>
      </c>
      <c r="R119" s="20">
        <f t="array" ref="R119">XLOOKUP(E119, 'Conference Match'!$A$2:$A$40,'Conference Match'!$C$2:$C$40)</f>
        <v>0.95</v>
      </c>
      <c r="S119" s="20">
        <f t="shared" si="1"/>
        <v>1.871426816</v>
      </c>
      <c r="T119" s="20">
        <f t="shared" si="2"/>
        <v>7.705662091</v>
      </c>
      <c r="U119" s="20">
        <f t="shared" si="3"/>
        <v>-40.87908212</v>
      </c>
      <c r="W119" s="20">
        <f>IFERROR(__xludf.DUMMYFUNCTION("iferror(PERCENTRANK.INC(FILTER($S$3:$S$435, $P$3:$P$435&lt;3.75), $S119), 1)"),0.429)</f>
        <v>0.429</v>
      </c>
      <c r="X119" s="20">
        <f>IFERROR(__xludf.DUMMYFUNCTION("iferror(PERCENTRANK.INC(FILTER($S$3:$S$435, $P$3:$P$435&lt;4.5), $S119), 1)"),0.286)</f>
        <v>0.286</v>
      </c>
      <c r="Y119" s="20">
        <f>IFERROR(__xludf.DUMMYFUNCTION("iferror(PERCENTRANK.INC(FILTER($S$3:$S$435, $P$3:$P$435&gt;=4.1), $S119), 0.01)"),0.01)</f>
        <v>0.01</v>
      </c>
    </row>
    <row r="120" ht="14.25" customHeight="1">
      <c r="A120" s="14" t="s">
        <v>1077</v>
      </c>
      <c r="B120" s="14" t="s">
        <v>207</v>
      </c>
      <c r="C120" s="14" t="s">
        <v>959</v>
      </c>
      <c r="D120" s="14" t="s">
        <v>959</v>
      </c>
      <c r="E120" s="14" t="s">
        <v>189</v>
      </c>
      <c r="F120" s="14">
        <v>48.0</v>
      </c>
      <c r="G120" s="14">
        <v>30.0</v>
      </c>
      <c r="H120" s="14">
        <v>401.0</v>
      </c>
      <c r="I120" s="14">
        <v>13.4</v>
      </c>
      <c r="J120" s="14">
        <v>3.0</v>
      </c>
      <c r="K120" s="20">
        <v>6.303803771005386</v>
      </c>
      <c r="L120" s="20">
        <v>46.185146281567874</v>
      </c>
      <c r="M120" s="15"/>
      <c r="N120" s="20">
        <v>6.303803771005386</v>
      </c>
      <c r="O120" s="14">
        <v>3.62</v>
      </c>
      <c r="P120" s="20">
        <v>3.47</v>
      </c>
      <c r="Q120" s="20">
        <v>-3.5</v>
      </c>
      <c r="R120" s="20">
        <f t="array" ref="R120">XLOOKUP(E120, 'Conference Match'!$A$2:$A$40,'Conference Match'!$C$2:$C$40)</f>
        <v>0.9</v>
      </c>
      <c r="S120" s="20">
        <f t="shared" si="1"/>
        <v>3.243684679</v>
      </c>
      <c r="T120" s="20">
        <f t="shared" si="2"/>
        <v>21.37619266</v>
      </c>
      <c r="U120" s="20">
        <f t="shared" si="3"/>
        <v>-24.80895362</v>
      </c>
      <c r="W120" s="20">
        <f>IFERROR(__xludf.DUMMYFUNCTION("iferror(PERCENTRANK.INC(FILTER($S$3:$S$435, $P$3:$P$435&lt;3.75), $S120), 1)"),0.728)</f>
        <v>0.728</v>
      </c>
      <c r="X120" s="20">
        <f>IFERROR(__xludf.DUMMYFUNCTION("iferror(PERCENTRANK.INC(FILTER($S$3:$S$435, $P$3:$P$435&lt;4.5), $S120), 1)"),0.527)</f>
        <v>0.527</v>
      </c>
      <c r="Y120" s="20">
        <f>IFERROR(__xludf.DUMMYFUNCTION("iferror(PERCENTRANK.INC(FILTER($S$3:$S$435, $P$3:$P$435&gt;=4.1), $S120), 0.01)"),0.023)</f>
        <v>0.023</v>
      </c>
    </row>
    <row r="121" ht="14.25" customHeight="1">
      <c r="A121" s="14" t="s">
        <v>1078</v>
      </c>
      <c r="B121" s="14" t="s">
        <v>461</v>
      </c>
      <c r="C121" s="14" t="s">
        <v>959</v>
      </c>
      <c r="D121" s="14" t="s">
        <v>959</v>
      </c>
      <c r="E121" s="14" t="s">
        <v>102</v>
      </c>
      <c r="F121" s="14">
        <v>18.0</v>
      </c>
      <c r="G121" s="14">
        <v>12.0</v>
      </c>
      <c r="H121" s="14">
        <v>151.0</v>
      </c>
      <c r="I121" s="14">
        <v>12.6</v>
      </c>
      <c r="J121" s="14">
        <v>3.0</v>
      </c>
      <c r="K121" s="20">
        <v>5.786109198263809</v>
      </c>
      <c r="L121" s="20">
        <v>41.476457427563915</v>
      </c>
      <c r="M121" s="15"/>
      <c r="N121" s="20">
        <v>5.786109198263809</v>
      </c>
      <c r="O121" s="14">
        <v>3.58</v>
      </c>
      <c r="P121" s="20">
        <v>3.97</v>
      </c>
      <c r="Q121" s="20">
        <v>0.0</v>
      </c>
      <c r="R121" s="20">
        <f t="array" ref="R121">XLOOKUP(E121, 'Conference Match'!$A$2:$A$40,'Conference Match'!$C$2:$C$40)</f>
        <v>0.9</v>
      </c>
      <c r="S121" s="20">
        <f t="shared" si="1"/>
        <v>3.742499656</v>
      </c>
      <c r="T121" s="20">
        <f t="shared" si="2"/>
        <v>26.34542298</v>
      </c>
      <c r="U121" s="20">
        <f t="shared" si="3"/>
        <v>-15.13103444</v>
      </c>
      <c r="W121" s="20">
        <f>IFERROR(__xludf.DUMMYFUNCTION("iferror(PERCENTRANK.INC(FILTER($S$3:$S$435, $P$3:$P$435&lt;3.75), $S121), 1)"),0.881)</f>
        <v>0.881</v>
      </c>
      <c r="X121" s="20">
        <f>IFERROR(__xludf.DUMMYFUNCTION("iferror(PERCENTRANK.INC(FILTER($S$3:$S$435, $P$3:$P$435&lt;4.5), $S121), 1)"),0.709)</f>
        <v>0.709</v>
      </c>
      <c r="Y121" s="20">
        <f>IFERROR(__xludf.DUMMYFUNCTION("iferror(PERCENTRANK.INC(FILTER($S$3:$S$435, $P$3:$P$435&gt;=4.1), $S121), 0.01)"),0.147)</f>
        <v>0.147</v>
      </c>
    </row>
    <row r="122" ht="14.25" customHeight="1">
      <c r="A122" s="14" t="s">
        <v>1079</v>
      </c>
      <c r="B122" s="14" t="s">
        <v>710</v>
      </c>
      <c r="C122" s="14">
        <v>0.0</v>
      </c>
      <c r="D122" s="14" t="s">
        <v>959</v>
      </c>
      <c r="E122" s="14" t="s">
        <v>158</v>
      </c>
      <c r="F122" s="14">
        <v>49.0</v>
      </c>
      <c r="G122" s="14">
        <v>35.0</v>
      </c>
      <c r="H122" s="14">
        <v>430.0</v>
      </c>
      <c r="I122" s="14">
        <v>12.3</v>
      </c>
      <c r="J122" s="14">
        <v>5.0</v>
      </c>
      <c r="K122" s="20">
        <v>6.500330500879444</v>
      </c>
      <c r="L122" s="20">
        <v>54.223216603211796</v>
      </c>
      <c r="M122" s="15"/>
      <c r="N122" s="20">
        <v>6.500330500879444</v>
      </c>
      <c r="O122" s="14">
        <v>3.56</v>
      </c>
      <c r="P122" s="20">
        <v>5.03</v>
      </c>
      <c r="Q122" s="14">
        <v>3.5</v>
      </c>
      <c r="R122" s="20">
        <f t="array" ref="R122">XLOOKUP(E122, 'Conference Match'!$A$2:$A$40,'Conference Match'!$C$2:$C$40)</f>
        <v>0.95</v>
      </c>
      <c r="S122" s="20">
        <f t="shared" si="1"/>
        <v>4.812062795</v>
      </c>
      <c r="T122" s="20">
        <f t="shared" si="2"/>
        <v>37.00048716</v>
      </c>
      <c r="U122" s="20">
        <f t="shared" si="3"/>
        <v>-17.22272945</v>
      </c>
      <c r="W122" s="20">
        <f>IFERROR(__xludf.DUMMYFUNCTION("iferror(PERCENTRANK.INC(FILTER($S$3:$S$435, $P$3:$P$435&lt;3.75), $S122), 1)"),0.99)</f>
        <v>0.99</v>
      </c>
      <c r="X122" s="20">
        <f>IFERROR(__xludf.DUMMYFUNCTION("iferror(PERCENTRANK.INC(FILTER($S$3:$S$435, $P$3:$P$435&lt;4.5), $S122), 1)"),0.953)</f>
        <v>0.953</v>
      </c>
      <c r="Y122" s="20">
        <f>IFERROR(__xludf.DUMMYFUNCTION("iferror(PERCENTRANK.INC(FILTER($S$3:$S$435, $P$3:$P$435&gt;=4.1), $S122), 0.01)"),0.662)</f>
        <v>0.662</v>
      </c>
    </row>
    <row r="123" ht="14.25" customHeight="1">
      <c r="A123" s="14" t="s">
        <v>1080</v>
      </c>
      <c r="B123" s="14" t="s">
        <v>431</v>
      </c>
      <c r="C123" s="14">
        <v>4.0</v>
      </c>
      <c r="D123" s="14" t="s">
        <v>959</v>
      </c>
      <c r="E123" s="14" t="s">
        <v>144</v>
      </c>
      <c r="F123" s="14">
        <v>50.0</v>
      </c>
      <c r="G123" s="14">
        <v>26.0</v>
      </c>
      <c r="H123" s="14">
        <v>355.0</v>
      </c>
      <c r="I123" s="14">
        <v>13.7</v>
      </c>
      <c r="J123" s="14">
        <v>2.0</v>
      </c>
      <c r="K123" s="20">
        <v>6.041138971453514</v>
      </c>
      <c r="L123" s="20">
        <v>48.73505918829249</v>
      </c>
      <c r="M123" s="15"/>
      <c r="N123" s="20">
        <v>6.041138971453514</v>
      </c>
      <c r="O123" s="14">
        <v>3.56</v>
      </c>
      <c r="P123" s="20">
        <v>3.53</v>
      </c>
      <c r="Q123" s="20">
        <v>-2.0</v>
      </c>
      <c r="R123" s="20">
        <f t="array" ref="R123">XLOOKUP(E123, 'Conference Match'!$A$2:$A$40,'Conference Match'!$C$2:$C$40)</f>
        <v>0.95</v>
      </c>
      <c r="S123" s="20">
        <f t="shared" si="1"/>
        <v>3.424816405</v>
      </c>
      <c r="T123" s="20">
        <f t="shared" si="2"/>
        <v>23.18063981</v>
      </c>
      <c r="U123" s="20">
        <f t="shared" si="3"/>
        <v>-25.55441938</v>
      </c>
      <c r="W123" s="20">
        <f>IFERROR(__xludf.DUMMYFUNCTION("iferror(PERCENTRANK.INC(FILTER($S$3:$S$435, $P$3:$P$435&lt;3.75), $S123), 1)"),0.789)</f>
        <v>0.789</v>
      </c>
      <c r="X123" s="20">
        <f>IFERROR(__xludf.DUMMYFUNCTION("iferror(PERCENTRANK.INC(FILTER($S$3:$S$435, $P$3:$P$435&lt;4.5), $S123), 1)"),0.591)</f>
        <v>0.591</v>
      </c>
      <c r="Y123" s="20">
        <f>IFERROR(__xludf.DUMMYFUNCTION("iferror(PERCENTRANK.INC(FILTER($S$3:$S$435, $P$3:$P$435&gt;=4.1), $S123), 0.01)"),0.044)</f>
        <v>0.044</v>
      </c>
    </row>
    <row r="124" ht="14.25" customHeight="1">
      <c r="A124" s="14" t="s">
        <v>1081</v>
      </c>
      <c r="B124" s="14" t="s">
        <v>120</v>
      </c>
      <c r="C124" s="14" t="s">
        <v>959</v>
      </c>
      <c r="D124" s="14" t="s">
        <v>959</v>
      </c>
      <c r="E124" s="14" t="s">
        <v>121</v>
      </c>
      <c r="F124" s="14">
        <v>31.0</v>
      </c>
      <c r="G124" s="14">
        <v>26.0</v>
      </c>
      <c r="H124" s="14">
        <v>279.0</v>
      </c>
      <c r="I124" s="14">
        <v>10.7</v>
      </c>
      <c r="J124" s="14">
        <v>4.0</v>
      </c>
      <c r="K124" s="20">
        <v>5.797684985334743</v>
      </c>
      <c r="L124" s="20">
        <v>41.581744951187304</v>
      </c>
      <c r="M124" s="15"/>
      <c r="N124" s="20">
        <v>5.797684985334743</v>
      </c>
      <c r="O124" s="14">
        <v>3.56</v>
      </c>
      <c r="R124" s="20">
        <f t="array" ref="R124">XLOOKUP(E124, 'Conference Match'!$A$2:$A$40,'Conference Match'!$C$2:$C$40)</f>
        <v>0.9</v>
      </c>
      <c r="S124" s="20">
        <f t="shared" si="1"/>
        <v>1.755583297</v>
      </c>
      <c r="T124" s="20">
        <f t="shared" si="2"/>
        <v>6.55162071</v>
      </c>
      <c r="U124" s="20">
        <f t="shared" si="3"/>
        <v>-35.03012424</v>
      </c>
      <c r="W124" s="20">
        <f>IFERROR(__xludf.DUMMYFUNCTION("iferror(PERCENTRANK.INC(FILTER($S$3:$S$435, $P$3:$P$435&lt;3.75), $S124), 1)"),0.361)</f>
        <v>0.361</v>
      </c>
      <c r="X124" s="20">
        <f>IFERROR(__xludf.DUMMYFUNCTION("iferror(PERCENTRANK.INC(FILTER($S$3:$S$435, $P$3:$P$435&lt;4.5), $S124), 1)"),0.241)</f>
        <v>0.241</v>
      </c>
      <c r="Y124" s="20">
        <f>IFERROR(__xludf.DUMMYFUNCTION("iferror(PERCENTRANK.INC(FILTER($S$3:$S$435, $P$3:$P$435&gt;=4.1), $S124), 0.01)"),0.01)</f>
        <v>0.01</v>
      </c>
    </row>
    <row r="125" ht="14.25" customHeight="1">
      <c r="A125" s="14" t="s">
        <v>1082</v>
      </c>
      <c r="B125" s="14" t="s">
        <v>567</v>
      </c>
      <c r="C125" s="14" t="s">
        <v>959</v>
      </c>
      <c r="D125" s="14" t="s">
        <v>959</v>
      </c>
      <c r="E125" s="14" t="s">
        <v>138</v>
      </c>
      <c r="F125" s="14">
        <v>36.0</v>
      </c>
      <c r="G125" s="14">
        <v>19.0</v>
      </c>
      <c r="H125" s="14">
        <v>304.0</v>
      </c>
      <c r="I125" s="14">
        <v>16.0</v>
      </c>
      <c r="J125" s="14">
        <v>2.0</v>
      </c>
      <c r="K125" s="20">
        <v>6.640210158314368</v>
      </c>
      <c r="L125" s="20">
        <v>49.244929191689785</v>
      </c>
      <c r="M125" s="15"/>
      <c r="N125" s="20">
        <v>6.640210158314368</v>
      </c>
      <c r="O125" s="14">
        <v>3.54</v>
      </c>
      <c r="P125" s="20">
        <v>4.6</v>
      </c>
      <c r="Q125" s="20">
        <v>5.5</v>
      </c>
      <c r="R125" s="20">
        <f t="array" ref="R125">XLOOKUP(E125, 'Conference Match'!$A$2:$A$40,'Conference Match'!$C$2:$C$40)</f>
        <v>0.9</v>
      </c>
      <c r="S125" s="20">
        <f t="shared" si="1"/>
        <v>4.753237828</v>
      </c>
      <c r="T125" s="20">
        <f t="shared" si="2"/>
        <v>36.41446865</v>
      </c>
      <c r="U125" s="20">
        <f t="shared" si="3"/>
        <v>-12.83046054</v>
      </c>
      <c r="W125" s="20">
        <f>IFERROR(__xludf.DUMMYFUNCTION("iferror(PERCENTRANK.INC(FILTER($S$3:$S$435, $P$3:$P$435&lt;3.75), $S125), 1)"),0.986)</f>
        <v>0.986</v>
      </c>
      <c r="X125" s="20">
        <f>IFERROR(__xludf.DUMMYFUNCTION("iferror(PERCENTRANK.INC(FILTER($S$3:$S$435, $P$3:$P$435&lt;4.5), $S125), 1)"),0.95)</f>
        <v>0.95</v>
      </c>
      <c r="Y125" s="20">
        <f>IFERROR(__xludf.DUMMYFUNCTION("iferror(PERCENTRANK.INC(FILTER($S$3:$S$435, $P$3:$P$435&gt;=4.1), $S125), 0.01)"),0.636)</f>
        <v>0.636</v>
      </c>
    </row>
    <row r="126" ht="14.25" customHeight="1">
      <c r="A126" s="14" t="s">
        <v>1083</v>
      </c>
      <c r="B126" s="14" t="s">
        <v>224</v>
      </c>
      <c r="C126" s="14" t="s">
        <v>959</v>
      </c>
      <c r="D126" s="14" t="s">
        <v>959</v>
      </c>
      <c r="E126" s="14" t="s">
        <v>179</v>
      </c>
      <c r="F126" s="14">
        <v>32.0</v>
      </c>
      <c r="G126" s="14">
        <v>17.0</v>
      </c>
      <c r="H126" s="14">
        <v>286.0</v>
      </c>
      <c r="I126" s="14">
        <v>16.8</v>
      </c>
      <c r="J126" s="14">
        <v>1.0</v>
      </c>
      <c r="K126" s="20">
        <v>6.650340146513268</v>
      </c>
      <c r="L126" s="20">
        <v>49.337066457627785</v>
      </c>
      <c r="M126" s="15"/>
      <c r="N126" s="20">
        <v>6.650340146513268</v>
      </c>
      <c r="O126" s="14">
        <v>3.54</v>
      </c>
      <c r="P126" s="20">
        <v>3.53</v>
      </c>
      <c r="Q126" s="20">
        <v>-2.0</v>
      </c>
      <c r="R126" s="20">
        <f t="array" ref="R126">XLOOKUP(E126, 'Conference Match'!$A$2:$A$40,'Conference Match'!$C$2:$C$40)</f>
        <v>0.9</v>
      </c>
      <c r="S126" s="20">
        <f t="shared" si="1"/>
        <v>3.470061226</v>
      </c>
      <c r="T126" s="20">
        <f t="shared" si="2"/>
        <v>23.63137195</v>
      </c>
      <c r="U126" s="20">
        <f t="shared" si="3"/>
        <v>-25.70569451</v>
      </c>
      <c r="W126" s="20">
        <f>IFERROR(__xludf.DUMMYFUNCTION("iferror(PERCENTRANK.INC(FILTER($S$3:$S$435, $P$3:$P$435&lt;3.75), $S126), 1)"),0.803)</f>
        <v>0.803</v>
      </c>
      <c r="X126" s="20">
        <f>IFERROR(__xludf.DUMMYFUNCTION("iferror(PERCENTRANK.INC(FILTER($S$3:$S$435, $P$3:$P$435&lt;4.5), $S126), 1)"),0.605)</f>
        <v>0.605</v>
      </c>
      <c r="Y126" s="20">
        <f>IFERROR(__xludf.DUMMYFUNCTION("iferror(PERCENTRANK.INC(FILTER($S$3:$S$435, $P$3:$P$435&gt;=4.1), $S126), 0.01)"),0.049)</f>
        <v>0.049</v>
      </c>
    </row>
    <row r="127" ht="14.25" customHeight="1">
      <c r="A127" s="14" t="s">
        <v>1084</v>
      </c>
      <c r="B127" s="14" t="s">
        <v>228</v>
      </c>
      <c r="C127" s="14" t="s">
        <v>959</v>
      </c>
      <c r="D127" s="14" t="s">
        <v>959</v>
      </c>
      <c r="E127" s="14" t="s">
        <v>189</v>
      </c>
      <c r="F127" s="14">
        <v>57.0</v>
      </c>
      <c r="G127" s="14">
        <v>44.0</v>
      </c>
      <c r="H127" s="14">
        <v>479.0</v>
      </c>
      <c r="I127" s="14">
        <v>10.9</v>
      </c>
      <c r="J127" s="14">
        <v>3.0</v>
      </c>
      <c r="K127" s="20">
        <v>5.77948838702458</v>
      </c>
      <c r="L127" s="20">
        <v>41.41623786620842</v>
      </c>
      <c r="M127" s="15"/>
      <c r="N127" s="20">
        <v>5.77948838702458</v>
      </c>
      <c r="O127" s="14">
        <v>3.51</v>
      </c>
      <c r="P127" s="14">
        <v>3.47</v>
      </c>
      <c r="Q127" s="14">
        <v>-7.5</v>
      </c>
      <c r="R127" s="20">
        <f t="array" ref="R127">XLOOKUP(E127, 'Conference Match'!$A$2:$A$40,'Conference Match'!$C$2:$C$40)</f>
        <v>0.9</v>
      </c>
      <c r="S127" s="20">
        <f t="shared" si="1"/>
        <v>2.72730791</v>
      </c>
      <c r="T127" s="20">
        <f t="shared" si="2"/>
        <v>16.23201051</v>
      </c>
      <c r="U127" s="20">
        <f t="shared" si="3"/>
        <v>-25.18422736</v>
      </c>
      <c r="W127" s="20">
        <f>IFERROR(__xludf.DUMMYFUNCTION("iferror(PERCENTRANK.INC(FILTER($S$3:$S$435, $P$3:$P$435&lt;3.75), $S127), 1)"),0.571)</f>
        <v>0.571</v>
      </c>
      <c r="X127" s="20">
        <f>IFERROR(__xludf.DUMMYFUNCTION("iferror(PERCENTRANK.INC(FILTER($S$3:$S$435, $P$3:$P$435&lt;4.5), $S127), 1)"),0.382)</f>
        <v>0.382</v>
      </c>
      <c r="Y127" s="20">
        <f>IFERROR(__xludf.DUMMYFUNCTION("iferror(PERCENTRANK.INC(FILTER($S$3:$S$435, $P$3:$P$435&gt;=4.1), $S127), 0.01)"),0.01)</f>
        <v>0.01</v>
      </c>
    </row>
    <row r="128" ht="14.25" customHeight="1">
      <c r="A128" s="14" t="s">
        <v>1085</v>
      </c>
      <c r="B128" s="14" t="s">
        <v>285</v>
      </c>
      <c r="C128" s="14">
        <v>5.0</v>
      </c>
      <c r="D128" s="14" t="s">
        <v>959</v>
      </c>
      <c r="E128" s="14" t="s">
        <v>117</v>
      </c>
      <c r="F128" s="14">
        <v>40.0</v>
      </c>
      <c r="G128" s="14">
        <v>22.0</v>
      </c>
      <c r="H128" s="14">
        <v>308.0</v>
      </c>
      <c r="I128" s="14">
        <v>14.0</v>
      </c>
      <c r="J128" s="14">
        <v>2.0</v>
      </c>
      <c r="K128" s="20">
        <v>6.107250223346508</v>
      </c>
      <c r="L128" s="20">
        <v>49.52520651034726</v>
      </c>
      <c r="M128" s="15"/>
      <c r="N128" s="20">
        <v>6.107250223346508</v>
      </c>
      <c r="O128" s="14">
        <v>3.48</v>
      </c>
      <c r="P128" s="20">
        <v>3.53</v>
      </c>
      <c r="Q128" s="20">
        <v>-2.0</v>
      </c>
      <c r="R128" s="20">
        <f t="array" ref="R128">XLOOKUP(E128, 'Conference Match'!$A$2:$A$40,'Conference Match'!$C$2:$C$40)</f>
        <v>0.95</v>
      </c>
      <c r="S128" s="20">
        <f t="shared" si="1"/>
        <v>3.421377542</v>
      </c>
      <c r="T128" s="20">
        <f t="shared" si="2"/>
        <v>23.14638162</v>
      </c>
      <c r="U128" s="20">
        <f t="shared" si="3"/>
        <v>-26.37882489</v>
      </c>
      <c r="W128" s="20">
        <f>IFERROR(__xludf.DUMMYFUNCTION("iferror(PERCENTRANK.INC(FILTER($S$3:$S$435, $P$3:$P$435&lt;3.75), $S128), 1)"),0.776)</f>
        <v>0.776</v>
      </c>
      <c r="X128" s="20">
        <f>IFERROR(__xludf.DUMMYFUNCTION("iferror(PERCENTRANK.INC(FILTER($S$3:$S$435, $P$3:$P$435&lt;4.5), $S128), 1)"),0.582)</f>
        <v>0.582</v>
      </c>
      <c r="Y128" s="20">
        <f>IFERROR(__xludf.DUMMYFUNCTION("iferror(PERCENTRANK.INC(FILTER($S$3:$S$435, $P$3:$P$435&gt;=4.1), $S128), 0.01)"),0.043)</f>
        <v>0.043</v>
      </c>
    </row>
    <row r="129" ht="14.25" customHeight="1">
      <c r="A129" s="14" t="s">
        <v>1086</v>
      </c>
      <c r="B129" s="14" t="s">
        <v>651</v>
      </c>
      <c r="C129" s="14">
        <v>6.0</v>
      </c>
      <c r="D129" s="14" t="s">
        <v>959</v>
      </c>
      <c r="E129" s="14" t="s">
        <v>147</v>
      </c>
      <c r="F129" s="14">
        <v>51.0</v>
      </c>
      <c r="G129" s="14">
        <v>38.0</v>
      </c>
      <c r="H129" s="14">
        <v>439.0</v>
      </c>
      <c r="I129" s="14">
        <v>11.6</v>
      </c>
      <c r="J129" s="14">
        <v>3.0</v>
      </c>
      <c r="K129" s="20">
        <v>5.929994125032911</v>
      </c>
      <c r="L129" s="20">
        <v>47.40668012656223</v>
      </c>
      <c r="M129" s="15"/>
      <c r="N129" s="20">
        <v>5.929994125032911</v>
      </c>
      <c r="O129" s="14">
        <v>3.48</v>
      </c>
      <c r="R129" s="20">
        <f t="array" ref="R129">XLOOKUP(E129, 'Conference Match'!$A$2:$A$40,'Conference Match'!$C$2:$C$40)</f>
        <v>0.95</v>
      </c>
      <c r="S129" s="20">
        <f t="shared" si="1"/>
        <v>1.822698884</v>
      </c>
      <c r="T129" s="20">
        <f t="shared" si="2"/>
        <v>7.220230962</v>
      </c>
      <c r="U129" s="20">
        <f t="shared" si="3"/>
        <v>-40.18644917</v>
      </c>
      <c r="W129" s="20">
        <f>IFERROR(__xludf.DUMMYFUNCTION("iferror(PERCENTRANK.INC(FILTER($S$3:$S$435, $P$3:$P$435&lt;3.75), $S129), 1)"),0.401)</f>
        <v>0.401</v>
      </c>
      <c r="X129" s="20">
        <f>IFERROR(__xludf.DUMMYFUNCTION("iferror(PERCENTRANK.INC(FILTER($S$3:$S$435, $P$3:$P$435&lt;4.5), $S129), 1)"),0.268)</f>
        <v>0.268</v>
      </c>
      <c r="Y129" s="20">
        <f>IFERROR(__xludf.DUMMYFUNCTION("iferror(PERCENTRANK.INC(FILTER($S$3:$S$435, $P$3:$P$435&gt;=4.1), $S129), 0.01)"),0.01)</f>
        <v>0.01</v>
      </c>
    </row>
    <row r="130" ht="14.25" customHeight="1">
      <c r="A130" s="14" t="s">
        <v>1087</v>
      </c>
      <c r="B130" s="14" t="s">
        <v>537</v>
      </c>
      <c r="C130" s="14" t="s">
        <v>959</v>
      </c>
      <c r="D130" s="14" t="s">
        <v>959</v>
      </c>
      <c r="E130" s="14" t="s">
        <v>179</v>
      </c>
      <c r="F130" s="14">
        <v>40.0</v>
      </c>
      <c r="G130" s="14">
        <v>29.0</v>
      </c>
      <c r="H130" s="14">
        <v>356.0</v>
      </c>
      <c r="I130" s="14">
        <v>12.3</v>
      </c>
      <c r="J130" s="14">
        <v>2.0</v>
      </c>
      <c r="K130" s="20">
        <v>5.846000223346508</v>
      </c>
      <c r="L130" s="20">
        <v>42.021195999514426</v>
      </c>
      <c r="M130" s="15"/>
      <c r="N130" s="20">
        <v>5.846000223346508</v>
      </c>
      <c r="O130" s="14">
        <v>3.45</v>
      </c>
      <c r="R130" s="20">
        <f t="array" ref="R130">XLOOKUP(E130, 'Conference Match'!$A$2:$A$40,'Conference Match'!$C$2:$C$40)</f>
        <v>0.9</v>
      </c>
      <c r="S130" s="20">
        <f t="shared" si="1"/>
        <v>1.74228004</v>
      </c>
      <c r="T130" s="20">
        <f t="shared" si="2"/>
        <v>6.419092714</v>
      </c>
      <c r="U130" s="20">
        <f t="shared" si="3"/>
        <v>-35.60210329</v>
      </c>
      <c r="W130" s="20">
        <f>IFERROR(__xludf.DUMMYFUNCTION("iferror(PERCENTRANK.INC(FILTER($S$3:$S$435, $P$3:$P$435&lt;3.75), $S130), 1)"),0.34)</f>
        <v>0.34</v>
      </c>
      <c r="X130" s="20">
        <f>IFERROR(__xludf.DUMMYFUNCTION("iferror(PERCENTRANK.INC(FILTER($S$3:$S$435, $P$3:$P$435&lt;4.5), $S130), 1)"),0.227)</f>
        <v>0.227</v>
      </c>
      <c r="Y130" s="20">
        <f>IFERROR(__xludf.DUMMYFUNCTION("iferror(PERCENTRANK.INC(FILTER($S$3:$S$435, $P$3:$P$435&gt;=4.1), $S130), 0.01)"),0.01)</f>
        <v>0.01</v>
      </c>
    </row>
    <row r="131" ht="14.25" customHeight="1">
      <c r="A131" s="14" t="s">
        <v>1088</v>
      </c>
      <c r="B131" s="14" t="s">
        <v>475</v>
      </c>
      <c r="C131" s="14" t="s">
        <v>959</v>
      </c>
      <c r="D131" s="14" t="s">
        <v>959</v>
      </c>
      <c r="E131" s="14" t="s">
        <v>138</v>
      </c>
      <c r="F131" s="14">
        <v>29.0</v>
      </c>
      <c r="G131" s="14">
        <v>19.0</v>
      </c>
      <c r="H131" s="14">
        <v>301.0</v>
      </c>
      <c r="I131" s="14">
        <v>15.8</v>
      </c>
      <c r="J131" s="14">
        <v>2.0</v>
      </c>
      <c r="K131" s="20">
        <v>6.742143221512789</v>
      </c>
      <c r="L131" s="20">
        <v>50.172060948152065</v>
      </c>
      <c r="M131" s="15"/>
      <c r="N131" s="20">
        <v>6.742143221512789</v>
      </c>
      <c r="O131" s="14">
        <v>3.43</v>
      </c>
      <c r="R131" s="20">
        <f t="array" ref="R131">XLOOKUP(E131, 'Conference Match'!$A$2:$A$40,'Conference Match'!$C$2:$C$40)</f>
        <v>0.9</v>
      </c>
      <c r="S131" s="20">
        <f t="shared" si="1"/>
        <v>1.89958578</v>
      </c>
      <c r="T131" s="20">
        <f t="shared" si="2"/>
        <v>7.986183697</v>
      </c>
      <c r="U131" s="20">
        <f t="shared" si="3"/>
        <v>-42.18587725</v>
      </c>
      <c r="W131" s="20">
        <f>IFERROR(__xludf.DUMMYFUNCTION("iferror(PERCENTRANK.INC(FILTER($S$3:$S$435, $P$3:$P$435&lt;3.75), $S131), 1)"),0.442)</f>
        <v>0.442</v>
      </c>
      <c r="X131" s="20">
        <f>IFERROR(__xludf.DUMMYFUNCTION("iferror(PERCENTRANK.INC(FILTER($S$3:$S$435, $P$3:$P$435&lt;4.5), $S131), 1)"),0.295)</f>
        <v>0.295</v>
      </c>
      <c r="Y131" s="20">
        <f>IFERROR(__xludf.DUMMYFUNCTION("iferror(PERCENTRANK.INC(FILTER($S$3:$S$435, $P$3:$P$435&gt;=4.1), $S131), 0.01)"),0.01)</f>
        <v>0.01</v>
      </c>
    </row>
    <row r="132" ht="14.25" customHeight="1">
      <c r="A132" s="14" t="s">
        <v>1089</v>
      </c>
      <c r="B132" s="14" t="s">
        <v>203</v>
      </c>
      <c r="C132" s="14" t="s">
        <v>959</v>
      </c>
      <c r="D132" s="14" t="s">
        <v>959</v>
      </c>
      <c r="E132" s="14" t="s">
        <v>138</v>
      </c>
      <c r="F132" s="14">
        <v>27.0</v>
      </c>
      <c r="G132" s="14">
        <v>17.0</v>
      </c>
      <c r="H132" s="14">
        <v>344.0</v>
      </c>
      <c r="I132" s="14">
        <v>20.2</v>
      </c>
      <c r="J132" s="14">
        <v>3.0</v>
      </c>
      <c r="K132" s="20">
        <v>8.247753060042802</v>
      </c>
      <c r="L132" s="20">
        <v>63.86632903294398</v>
      </c>
      <c r="M132" s="15"/>
      <c r="N132" s="20">
        <v>8.247753060042802</v>
      </c>
      <c r="O132" s="14">
        <v>3.38</v>
      </c>
      <c r="P132" s="20">
        <v>3.53</v>
      </c>
      <c r="Q132" s="20">
        <v>-2.0</v>
      </c>
      <c r="R132" s="20">
        <f t="array" ref="R132">XLOOKUP(E132, 'Conference Match'!$A$2:$A$40,'Conference Match'!$C$2:$C$40)</f>
        <v>0.9</v>
      </c>
      <c r="S132" s="20">
        <f t="shared" si="1"/>
        <v>3.725595551</v>
      </c>
      <c r="T132" s="20">
        <f t="shared" si="2"/>
        <v>26.17702309</v>
      </c>
      <c r="U132" s="20">
        <f t="shared" si="3"/>
        <v>-37.68930594</v>
      </c>
      <c r="W132" s="20">
        <f>IFERROR(__xludf.DUMMYFUNCTION("iferror(PERCENTRANK.INC(FILTER($S$3:$S$435, $P$3:$P$435&lt;3.75), $S132), 1)"),0.878)</f>
        <v>0.878</v>
      </c>
      <c r="X132" s="20">
        <f>IFERROR(__xludf.DUMMYFUNCTION("iferror(PERCENTRANK.INC(FILTER($S$3:$S$435, $P$3:$P$435&lt;4.5), $S132), 1)"),0.695)</f>
        <v>0.695</v>
      </c>
      <c r="Y132" s="20">
        <f>IFERROR(__xludf.DUMMYFUNCTION("iferror(PERCENTRANK.INC(FILTER($S$3:$S$435, $P$3:$P$435&gt;=4.1), $S132), 0.01)"),0.13)</f>
        <v>0.13</v>
      </c>
    </row>
    <row r="133" ht="14.25" customHeight="1">
      <c r="A133" s="14" t="s">
        <v>1090</v>
      </c>
      <c r="B133" s="14" t="s">
        <v>469</v>
      </c>
      <c r="C133" s="14" t="s">
        <v>959</v>
      </c>
      <c r="D133" s="14" t="s">
        <v>959</v>
      </c>
      <c r="E133" s="14" t="s">
        <v>210</v>
      </c>
      <c r="F133" s="14">
        <v>50.0</v>
      </c>
      <c r="G133" s="14">
        <v>32.0</v>
      </c>
      <c r="H133" s="14">
        <v>402.0</v>
      </c>
      <c r="I133" s="14">
        <v>12.6</v>
      </c>
      <c r="J133" s="14">
        <v>2.0</v>
      </c>
      <c r="K133" s="20">
        <v>5.890138971453514</v>
      </c>
      <c r="L133" s="20">
        <v>42.422659801115636</v>
      </c>
      <c r="M133" s="15"/>
      <c r="N133" s="20">
        <v>5.890138971453514</v>
      </c>
      <c r="O133" s="14">
        <v>3.38</v>
      </c>
      <c r="P133" s="20">
        <v>3.84</v>
      </c>
      <c r="Q133" s="20">
        <v>-2.0</v>
      </c>
      <c r="R133" s="20">
        <f t="array" ref="R133">XLOOKUP(E133, 'Conference Match'!$A$2:$A$40,'Conference Match'!$C$2:$C$40)</f>
        <v>0.9</v>
      </c>
      <c r="S133" s="20">
        <f t="shared" si="1"/>
        <v>3.456225015</v>
      </c>
      <c r="T133" s="20">
        <f t="shared" si="2"/>
        <v>23.49353462</v>
      </c>
      <c r="U133" s="20">
        <f t="shared" si="3"/>
        <v>-18.92912518</v>
      </c>
      <c r="W133" s="20">
        <f>IFERROR(__xludf.DUMMYFUNCTION("iferror(PERCENTRANK.INC(FILTER($S$3:$S$435, $P$3:$P$435&lt;3.75), $S133), 1)"),0.8)</f>
        <v>0.8</v>
      </c>
      <c r="X133" s="20">
        <f>IFERROR(__xludf.DUMMYFUNCTION("iferror(PERCENTRANK.INC(FILTER($S$3:$S$435, $P$3:$P$435&lt;4.5), $S133), 1)"),0.6)</f>
        <v>0.6</v>
      </c>
      <c r="Y133" s="20">
        <f>IFERROR(__xludf.DUMMYFUNCTION("iferror(PERCENTRANK.INC(FILTER($S$3:$S$435, $P$3:$P$435&gt;=4.1), $S133), 0.01)"),0.047)</f>
        <v>0.047</v>
      </c>
    </row>
    <row r="134" ht="14.25" customHeight="1">
      <c r="A134" s="14" t="s">
        <v>1091</v>
      </c>
      <c r="B134" s="14" t="s">
        <v>493</v>
      </c>
      <c r="C134" s="14" t="s">
        <v>959</v>
      </c>
      <c r="D134" s="14" t="s">
        <v>959</v>
      </c>
      <c r="E134" s="14" t="s">
        <v>121</v>
      </c>
      <c r="F134" s="14">
        <v>34.0</v>
      </c>
      <c r="G134" s="14">
        <v>19.0</v>
      </c>
      <c r="H134" s="14">
        <v>251.0</v>
      </c>
      <c r="I134" s="14">
        <v>13.2</v>
      </c>
      <c r="J134" s="14">
        <v>3.0</v>
      </c>
      <c r="K134" s="20">
        <v>6.022312997991882</v>
      </c>
      <c r="L134" s="20">
        <v>43.62484811507486</v>
      </c>
      <c r="M134" s="15"/>
      <c r="N134" s="20">
        <v>6.022312997991882</v>
      </c>
      <c r="O134" s="14">
        <v>3.38</v>
      </c>
      <c r="R134" s="20">
        <f t="array" ref="R134">XLOOKUP(E134, 'Conference Match'!$A$2:$A$40,'Conference Match'!$C$2:$C$40)</f>
        <v>0.9</v>
      </c>
      <c r="S134" s="20">
        <f t="shared" si="1"/>
        <v>1.76001634</v>
      </c>
      <c r="T134" s="20">
        <f t="shared" si="2"/>
        <v>6.595782993</v>
      </c>
      <c r="U134" s="20">
        <f t="shared" si="3"/>
        <v>-37.02906512</v>
      </c>
      <c r="W134" s="20">
        <f>IFERROR(__xludf.DUMMYFUNCTION("iferror(PERCENTRANK.INC(FILTER($S$3:$S$435, $P$3:$P$435&lt;3.75), $S134), 1)"),0.367)</f>
        <v>0.367</v>
      </c>
      <c r="X134" s="20">
        <f>IFERROR(__xludf.DUMMYFUNCTION("iferror(PERCENTRANK.INC(FILTER($S$3:$S$435, $P$3:$P$435&lt;4.5), $S134), 1)"),0.245)</f>
        <v>0.245</v>
      </c>
      <c r="Y134" s="20">
        <f>IFERROR(__xludf.DUMMYFUNCTION("iferror(PERCENTRANK.INC(FILTER($S$3:$S$435, $P$3:$P$435&gt;=4.1), $S134), 0.01)"),0.01)</f>
        <v>0.01</v>
      </c>
    </row>
    <row r="135" ht="14.25" customHeight="1">
      <c r="A135" s="14" t="s">
        <v>1092</v>
      </c>
      <c r="B135" s="14" t="s">
        <v>291</v>
      </c>
      <c r="C135" s="14" t="s">
        <v>959</v>
      </c>
      <c r="D135" s="14" t="s">
        <v>959</v>
      </c>
      <c r="E135" s="14" t="s">
        <v>138</v>
      </c>
      <c r="F135" s="14">
        <v>63.0</v>
      </c>
      <c r="G135" s="14">
        <v>42.0</v>
      </c>
      <c r="H135" s="14">
        <v>583.0</v>
      </c>
      <c r="I135" s="14">
        <v>13.9</v>
      </c>
      <c r="J135" s="14">
        <v>3.0</v>
      </c>
      <c r="K135" s="20">
        <v>6.622672571239377</v>
      </c>
      <c r="L135" s="20">
        <v>49.08541614068596</v>
      </c>
      <c r="M135" s="15"/>
      <c r="N135" s="20">
        <v>6.622672571239377</v>
      </c>
      <c r="O135" s="14">
        <v>3.37</v>
      </c>
      <c r="P135" s="16">
        <v>3.63</v>
      </c>
      <c r="Q135" s="16">
        <v>-3.5</v>
      </c>
      <c r="R135" s="20">
        <f t="array" ref="R135">XLOOKUP(E135, 'Conference Match'!$A$2:$A$40,'Conference Match'!$C$2:$C$40)</f>
        <v>0.9</v>
      </c>
      <c r="S135" s="20">
        <f t="shared" si="1"/>
        <v>3.331081063</v>
      </c>
      <c r="T135" s="20">
        <f t="shared" si="2"/>
        <v>22.24684166</v>
      </c>
      <c r="U135" s="20">
        <f t="shared" si="3"/>
        <v>-26.83857448</v>
      </c>
      <c r="W135" s="20">
        <f>IFERROR(__xludf.DUMMYFUNCTION("iferror(PERCENTRANK.INC(FILTER($S$3:$S$435, $P$3:$P$435&lt;3.75), $S135), 1)"),0.748)</f>
        <v>0.748</v>
      </c>
      <c r="X135" s="20">
        <f>IFERROR(__xludf.DUMMYFUNCTION("iferror(PERCENTRANK.INC(FILTER($S$3:$S$435, $P$3:$P$435&lt;4.5), $S135), 1)"),0.55)</f>
        <v>0.55</v>
      </c>
      <c r="Y135" s="20">
        <f>IFERROR(__xludf.DUMMYFUNCTION("iferror(PERCENTRANK.INC(FILTER($S$3:$S$435, $P$3:$P$435&gt;=4.1), $S135), 0.01)"),0.032)</f>
        <v>0.032</v>
      </c>
    </row>
    <row r="136" ht="14.25" customHeight="1">
      <c r="A136" s="14" t="s">
        <v>1093</v>
      </c>
      <c r="B136" s="14" t="s">
        <v>1094</v>
      </c>
      <c r="C136" s="14" t="s">
        <v>959</v>
      </c>
      <c r="D136" s="14" t="s">
        <v>959</v>
      </c>
      <c r="E136" s="14" t="s">
        <v>210</v>
      </c>
      <c r="F136" s="14">
        <v>53.0</v>
      </c>
      <c r="G136" s="14">
        <v>24.0</v>
      </c>
      <c r="H136" s="14">
        <v>391.0</v>
      </c>
      <c r="I136" s="14">
        <v>16.3</v>
      </c>
      <c r="J136" s="14">
        <v>4.0</v>
      </c>
      <c r="K136" s="20">
        <v>7.122087812523911</v>
      </c>
      <c r="L136" s="20">
        <v>53.62784541071433</v>
      </c>
      <c r="M136" s="15"/>
      <c r="N136" s="20">
        <v>7.122087812523911</v>
      </c>
      <c r="O136" s="14">
        <v>3.35</v>
      </c>
      <c r="R136" s="20">
        <f t="array" ref="R136">XLOOKUP(E136, 'Conference Match'!$A$2:$A$40,'Conference Match'!$C$2:$C$40)</f>
        <v>0.9</v>
      </c>
      <c r="S136" s="20">
        <f t="shared" si="1"/>
        <v>1.951975806</v>
      </c>
      <c r="T136" s="20">
        <f t="shared" si="2"/>
        <v>8.508096871</v>
      </c>
      <c r="U136" s="20">
        <f t="shared" si="3"/>
        <v>-45.11974854</v>
      </c>
      <c r="W136" s="20">
        <f>IFERROR(__xludf.DUMMYFUNCTION("iferror(PERCENTRANK.INC(FILTER($S$3:$S$435, $P$3:$P$435&lt;3.75), $S136), 1)"),0.456)</f>
        <v>0.456</v>
      </c>
      <c r="X136" s="20">
        <f>IFERROR(__xludf.DUMMYFUNCTION("iferror(PERCENTRANK.INC(FILTER($S$3:$S$435, $P$3:$P$435&lt;4.5), $S136), 1)"),0.305)</f>
        <v>0.305</v>
      </c>
      <c r="Y136" s="20">
        <f>IFERROR(__xludf.DUMMYFUNCTION("iferror(PERCENTRANK.INC(FILTER($S$3:$S$435, $P$3:$P$435&gt;=4.1), $S136), 0.01)"),0.01)</f>
        <v>0.01</v>
      </c>
    </row>
    <row r="137" ht="14.25" customHeight="1">
      <c r="A137" s="14" t="s">
        <v>1095</v>
      </c>
      <c r="B137" s="14" t="s">
        <v>305</v>
      </c>
      <c r="C137" s="14">
        <v>1.0</v>
      </c>
      <c r="D137" s="14" t="s">
        <v>959</v>
      </c>
      <c r="E137" s="14" t="s">
        <v>132</v>
      </c>
      <c r="F137" s="14">
        <v>51.0</v>
      </c>
      <c r="G137" s="14">
        <v>24.0</v>
      </c>
      <c r="H137" s="14">
        <v>376.0</v>
      </c>
      <c r="I137" s="14">
        <v>15.7</v>
      </c>
      <c r="J137" s="14">
        <v>3.0</v>
      </c>
      <c r="K137" s="20">
        <v>6.762837262287814</v>
      </c>
      <c r="L137" s="20">
        <v>57.3606403943059</v>
      </c>
      <c r="M137" s="15"/>
      <c r="N137" s="20">
        <v>6.762837262287814</v>
      </c>
      <c r="O137" s="14">
        <v>3.33</v>
      </c>
      <c r="P137" s="20">
        <v>4.49</v>
      </c>
      <c r="Q137" s="20">
        <v>-2.5</v>
      </c>
      <c r="R137" s="20">
        <f t="array" ref="R137">XLOOKUP(E137, 'Conference Match'!$A$2:$A$40,'Conference Match'!$C$2:$C$40)</f>
        <v>0.95</v>
      </c>
      <c r="S137" s="20">
        <f t="shared" si="1"/>
        <v>3.94593908</v>
      </c>
      <c r="T137" s="20">
        <f t="shared" si="2"/>
        <v>28.37210102</v>
      </c>
      <c r="U137" s="20">
        <f t="shared" si="3"/>
        <v>-28.98853938</v>
      </c>
      <c r="W137" s="20">
        <f>IFERROR(__xludf.DUMMYFUNCTION("iferror(PERCENTRANK.INC(FILTER($S$3:$S$435, $P$3:$P$435&lt;3.75), $S137), 1)"),0.949)</f>
        <v>0.949</v>
      </c>
      <c r="X137" s="20">
        <f>IFERROR(__xludf.DUMMYFUNCTION("iferror(PERCENTRANK.INC(FILTER($S$3:$S$435, $P$3:$P$435&lt;4.5), $S137), 1)"),0.809)</f>
        <v>0.809</v>
      </c>
      <c r="Y137" s="20">
        <f>IFERROR(__xludf.DUMMYFUNCTION("iferror(PERCENTRANK.INC(FILTER($S$3:$S$435, $P$3:$P$435&gt;=4.1), $S137), 0.01)"),0.208)</f>
        <v>0.208</v>
      </c>
    </row>
    <row r="138" ht="14.25" customHeight="1">
      <c r="A138" s="14" t="s">
        <v>1096</v>
      </c>
      <c r="B138" s="14" t="s">
        <v>301</v>
      </c>
      <c r="C138" s="14">
        <v>0.0</v>
      </c>
      <c r="D138" s="14" t="s">
        <v>959</v>
      </c>
      <c r="E138" s="14" t="s">
        <v>144</v>
      </c>
      <c r="F138" s="14">
        <v>28.0</v>
      </c>
      <c r="G138" s="14">
        <v>17.0</v>
      </c>
      <c r="H138" s="14">
        <v>270.0</v>
      </c>
      <c r="I138" s="14">
        <v>15.9</v>
      </c>
      <c r="J138" s="14">
        <v>1.0</v>
      </c>
      <c r="K138" s="20">
        <v>6.469624969066695</v>
      </c>
      <c r="L138" s="20">
        <v>53.85623075678764</v>
      </c>
      <c r="M138" s="15"/>
      <c r="N138" s="20">
        <v>6.469624969066695</v>
      </c>
      <c r="O138" s="14">
        <v>3.32</v>
      </c>
      <c r="P138" s="20">
        <v>3.31</v>
      </c>
      <c r="Q138" s="20">
        <v>-0.5</v>
      </c>
      <c r="R138" s="20">
        <f t="array" ref="R138">XLOOKUP(E138, 'Conference Match'!$A$2:$A$40,'Conference Match'!$C$2:$C$40)</f>
        <v>0.95</v>
      </c>
      <c r="S138" s="20">
        <f t="shared" si="1"/>
        <v>3.498228744</v>
      </c>
      <c r="T138" s="20">
        <f t="shared" si="2"/>
        <v>23.91197877</v>
      </c>
      <c r="U138" s="20">
        <f t="shared" si="3"/>
        <v>-29.94425199</v>
      </c>
      <c r="W138" s="20">
        <f>IFERROR(__xludf.DUMMYFUNCTION("iferror(PERCENTRANK.INC(FILTER($S$3:$S$435, $P$3:$P$435&lt;3.75), $S138), 1)"),0.823)</f>
        <v>0.823</v>
      </c>
      <c r="X138" s="20">
        <f>IFERROR(__xludf.DUMMYFUNCTION("iferror(PERCENTRANK.INC(FILTER($S$3:$S$435, $P$3:$P$435&lt;4.5), $S138), 1)"),0.623)</f>
        <v>0.623</v>
      </c>
      <c r="Y138" s="20">
        <f>IFERROR(__xludf.DUMMYFUNCTION("iferror(PERCENTRANK.INC(FILTER($S$3:$S$435, $P$3:$P$435&gt;=4.1), $S138), 0.01)"),0.052)</f>
        <v>0.052</v>
      </c>
    </row>
    <row r="139" ht="14.25" customHeight="1">
      <c r="A139" s="14" t="s">
        <v>1097</v>
      </c>
      <c r="B139" s="14" t="s">
        <v>397</v>
      </c>
      <c r="C139" s="14">
        <v>1.0</v>
      </c>
      <c r="D139" s="14" t="s">
        <v>959</v>
      </c>
      <c r="E139" s="14" t="s">
        <v>117</v>
      </c>
      <c r="F139" s="14">
        <v>35.0</v>
      </c>
      <c r="G139" s="14">
        <v>14.0</v>
      </c>
      <c r="H139" s="14">
        <v>315.0</v>
      </c>
      <c r="I139" s="14">
        <v>22.5</v>
      </c>
      <c r="J139" s="14">
        <v>4.0</v>
      </c>
      <c r="K139" s="20">
        <v>8.67923162845964</v>
      </c>
      <c r="L139" s="20">
        <v>80.26496958296534</v>
      </c>
      <c r="M139" s="15"/>
      <c r="N139" s="20">
        <v>8.67923162845964</v>
      </c>
      <c r="O139" s="14">
        <v>3.3</v>
      </c>
      <c r="P139" s="20">
        <v>3.81</v>
      </c>
      <c r="Q139" s="20">
        <v>0.0</v>
      </c>
      <c r="R139" s="20">
        <f t="array" ref="R139">XLOOKUP(E139, 'Conference Match'!$A$2:$A$40,'Conference Match'!$C$2:$C$40)</f>
        <v>0.95</v>
      </c>
      <c r="S139" s="20">
        <f t="shared" si="1"/>
        <v>4.214054009</v>
      </c>
      <c r="T139" s="20">
        <f t="shared" si="2"/>
        <v>31.04308104</v>
      </c>
      <c r="U139" s="20">
        <f t="shared" si="3"/>
        <v>-49.22188854</v>
      </c>
      <c r="W139" s="20">
        <f>IFERROR(__xludf.DUMMYFUNCTION("iferror(PERCENTRANK.INC(FILTER($S$3:$S$435, $P$3:$P$435&lt;3.75), $S139), 1)"),0.967)</f>
        <v>0.967</v>
      </c>
      <c r="X139" s="20">
        <f>IFERROR(__xludf.DUMMYFUNCTION("iferror(PERCENTRANK.INC(FILTER($S$3:$S$435, $P$3:$P$435&lt;4.5), $S139), 1)"),0.873)</f>
        <v>0.873</v>
      </c>
      <c r="Y139" s="20">
        <f>IFERROR(__xludf.DUMMYFUNCTION("iferror(PERCENTRANK.INC(FILTER($S$3:$S$435, $P$3:$P$435&gt;=4.1), $S139), 0.01)"),0.317)</f>
        <v>0.317</v>
      </c>
    </row>
    <row r="140" ht="14.25" customHeight="1">
      <c r="A140" s="14" t="s">
        <v>1098</v>
      </c>
      <c r="B140" s="14" t="s">
        <v>295</v>
      </c>
      <c r="C140" s="14">
        <v>7.0</v>
      </c>
      <c r="D140" s="14" t="s">
        <v>959</v>
      </c>
      <c r="E140" s="14" t="s">
        <v>158</v>
      </c>
      <c r="F140" s="14">
        <v>28.0</v>
      </c>
      <c r="G140" s="14">
        <v>21.0</v>
      </c>
      <c r="H140" s="14">
        <v>326.0</v>
      </c>
      <c r="I140" s="14">
        <v>15.5</v>
      </c>
      <c r="J140" s="14">
        <v>1.0</v>
      </c>
      <c r="K140" s="20">
        <v>6.60533925478098</v>
      </c>
      <c r="L140" s="20">
        <v>55.47825842002543</v>
      </c>
      <c r="M140" s="15"/>
      <c r="N140" s="20">
        <v>6.60533925478098</v>
      </c>
      <c r="O140" s="14">
        <v>3.3</v>
      </c>
      <c r="P140" s="20">
        <v>3.97</v>
      </c>
      <c r="Q140" s="20">
        <v>0.0</v>
      </c>
      <c r="R140" s="20">
        <f t="array" ref="R140">XLOOKUP(E140, 'Conference Match'!$A$2:$A$40,'Conference Match'!$C$2:$C$40)</f>
        <v>0.95</v>
      </c>
      <c r="S140" s="20">
        <f t="shared" si="1"/>
        <v>3.900014458</v>
      </c>
      <c r="T140" s="20">
        <f t="shared" si="2"/>
        <v>27.91459667</v>
      </c>
      <c r="U140" s="20">
        <f t="shared" si="3"/>
        <v>-27.56366175</v>
      </c>
      <c r="W140" s="20">
        <f>IFERROR(__xludf.DUMMYFUNCTION("iferror(PERCENTRANK.INC(FILTER($S$3:$S$435, $P$3:$P$435&lt;3.75), $S140), 1)"),0.946)</f>
        <v>0.946</v>
      </c>
      <c r="X140" s="20">
        <f>IFERROR(__xludf.DUMMYFUNCTION("iferror(PERCENTRANK.INC(FILTER($S$3:$S$435, $P$3:$P$435&lt;4.5), $S140), 1)"),0.795)</f>
        <v>0.795</v>
      </c>
      <c r="Y140" s="20">
        <f>IFERROR(__xludf.DUMMYFUNCTION("iferror(PERCENTRANK.INC(FILTER($S$3:$S$435, $P$3:$P$435&gt;=4.1), $S140), 0.01)"),0.195)</f>
        <v>0.195</v>
      </c>
    </row>
    <row r="141" ht="14.25" customHeight="1">
      <c r="A141" s="14" t="s">
        <v>1099</v>
      </c>
      <c r="B141" s="14" t="s">
        <v>493</v>
      </c>
      <c r="C141" s="14" t="s">
        <v>959</v>
      </c>
      <c r="D141" s="14" t="s">
        <v>959</v>
      </c>
      <c r="E141" s="14" t="s">
        <v>121</v>
      </c>
      <c r="F141" s="14">
        <v>49.0</v>
      </c>
      <c r="G141" s="14">
        <v>27.0</v>
      </c>
      <c r="H141" s="14">
        <v>390.0</v>
      </c>
      <c r="I141" s="14">
        <v>14.4</v>
      </c>
      <c r="J141" s="14">
        <v>2.0</v>
      </c>
      <c r="K141" s="20">
        <v>6.302881521287607</v>
      </c>
      <c r="L141" s="20">
        <v>46.17675796305853</v>
      </c>
      <c r="M141" s="15"/>
      <c r="N141" s="20">
        <v>6.302881521287607</v>
      </c>
      <c r="O141" s="14">
        <v>3.3</v>
      </c>
      <c r="R141" s="20">
        <f t="array" ref="R141">XLOOKUP(E141, 'Conference Match'!$A$2:$A$40,'Conference Match'!$C$2:$C$40)</f>
        <v>0.9</v>
      </c>
      <c r="S141" s="20">
        <f t="shared" si="1"/>
        <v>1.794518674</v>
      </c>
      <c r="T141" s="20">
        <f t="shared" si="2"/>
        <v>6.939497703</v>
      </c>
      <c r="U141" s="20">
        <f t="shared" si="3"/>
        <v>-39.23726026</v>
      </c>
      <c r="W141" s="20">
        <f>IFERROR(__xludf.DUMMYFUNCTION("iferror(PERCENTRANK.INC(FILTER($S$3:$S$435, $P$3:$P$435&lt;3.75), $S141), 1)"),0.388)</f>
        <v>0.388</v>
      </c>
      <c r="X141" s="20">
        <f>IFERROR(__xludf.DUMMYFUNCTION("iferror(PERCENTRANK.INC(FILTER($S$3:$S$435, $P$3:$P$435&lt;4.5), $S141), 1)"),0.259)</f>
        <v>0.259</v>
      </c>
      <c r="Y141" s="20">
        <f>IFERROR(__xludf.DUMMYFUNCTION("iferror(PERCENTRANK.INC(FILTER($S$3:$S$435, $P$3:$P$435&gt;=4.1), $S141), 0.01)"),0.01)</f>
        <v>0.01</v>
      </c>
    </row>
    <row r="142" ht="14.25" customHeight="1">
      <c r="A142" s="14" t="s">
        <v>1100</v>
      </c>
      <c r="B142" s="14" t="s">
        <v>129</v>
      </c>
      <c r="C142" s="14" t="s">
        <v>959</v>
      </c>
      <c r="D142" s="14" t="s">
        <v>959</v>
      </c>
      <c r="E142" s="14" t="s">
        <v>124</v>
      </c>
      <c r="F142" s="14">
        <v>38.0</v>
      </c>
      <c r="G142" s="14">
        <v>18.0</v>
      </c>
      <c r="H142" s="14">
        <v>218.0</v>
      </c>
      <c r="I142" s="14">
        <v>12.1</v>
      </c>
      <c r="J142" s="14">
        <v>4.0</v>
      </c>
      <c r="K142" s="20">
        <v>5.79935183930327</v>
      </c>
      <c r="L142" s="20">
        <v>41.596905814592326</v>
      </c>
      <c r="M142" s="15"/>
      <c r="N142" s="20">
        <v>5.79935183930327</v>
      </c>
      <c r="O142" s="14">
        <v>3.3</v>
      </c>
      <c r="R142" s="20">
        <f t="array" ref="R142">XLOOKUP(E142, 'Conference Match'!$A$2:$A$40,'Conference Match'!$C$2:$C$40)</f>
        <v>0.9</v>
      </c>
      <c r="S142" s="20">
        <f t="shared" si="1"/>
        <v>1.703883331</v>
      </c>
      <c r="T142" s="20">
        <f t="shared" si="2"/>
        <v>6.036581963</v>
      </c>
      <c r="U142" s="20">
        <f t="shared" si="3"/>
        <v>-35.56032385</v>
      </c>
      <c r="W142" s="20">
        <f>IFERROR(__xludf.DUMMYFUNCTION("iferror(PERCENTRANK.INC(FILTER($S$3:$S$435, $P$3:$P$435&lt;3.75), $S142), 1)"),0.327)</f>
        <v>0.327</v>
      </c>
      <c r="X142" s="20">
        <f>IFERROR(__xludf.DUMMYFUNCTION("iferror(PERCENTRANK.INC(FILTER($S$3:$S$435, $P$3:$P$435&lt;4.5), $S142), 1)"),0.218)</f>
        <v>0.218</v>
      </c>
      <c r="Y142" s="20">
        <f>IFERROR(__xludf.DUMMYFUNCTION("iferror(PERCENTRANK.INC(FILTER($S$3:$S$435, $P$3:$P$435&gt;=4.1), $S142), 0.01)"),0.01)</f>
        <v>0.01</v>
      </c>
    </row>
    <row r="143" ht="14.25" customHeight="1">
      <c r="A143" s="14" t="s">
        <v>1101</v>
      </c>
      <c r="B143" s="14" t="s">
        <v>295</v>
      </c>
      <c r="C143" s="14">
        <v>1.0</v>
      </c>
      <c r="D143" s="14" t="s">
        <v>959</v>
      </c>
      <c r="E143" s="14" t="s">
        <v>158</v>
      </c>
      <c r="F143" s="14">
        <v>27.0</v>
      </c>
      <c r="G143" s="14">
        <v>21.0</v>
      </c>
      <c r="H143" s="14">
        <v>295.0</v>
      </c>
      <c r="I143" s="14">
        <v>14.1</v>
      </c>
      <c r="J143" s="14">
        <v>0.0</v>
      </c>
      <c r="K143" s="20">
        <v>5.978308615598358</v>
      </c>
      <c r="L143" s="20">
        <v>47.98412442301147</v>
      </c>
      <c r="M143" s="15"/>
      <c r="N143" s="20">
        <v>5.978308615598358</v>
      </c>
      <c r="O143" s="14">
        <v>3.27</v>
      </c>
      <c r="P143" s="20">
        <v>4.6</v>
      </c>
      <c r="Q143" s="20">
        <v>0.5</v>
      </c>
      <c r="R143" s="20">
        <f t="array" ref="R143">XLOOKUP(E143, 'Conference Match'!$A$2:$A$40,'Conference Match'!$C$2:$C$40)</f>
        <v>0.95</v>
      </c>
      <c r="S143" s="20">
        <f t="shared" si="1"/>
        <v>4.139878637</v>
      </c>
      <c r="T143" s="20">
        <f t="shared" si="2"/>
        <v>30.3041407</v>
      </c>
      <c r="U143" s="20">
        <f t="shared" si="3"/>
        <v>-17.67998372</v>
      </c>
      <c r="W143" s="20">
        <f>IFERROR(__xludf.DUMMYFUNCTION("iferror(PERCENTRANK.INC(FILTER($S$3:$S$435, $P$3:$P$435&lt;3.75), $S143), 1)"),0.961)</f>
        <v>0.961</v>
      </c>
      <c r="X143" s="20">
        <f>IFERROR(__xludf.DUMMYFUNCTION("iferror(PERCENTRANK.INC(FILTER($S$3:$S$435, $P$3:$P$435&lt;4.5), $S143), 1)"),0.865)</f>
        <v>0.865</v>
      </c>
      <c r="Y143" s="20">
        <f>IFERROR(__xludf.DUMMYFUNCTION("iferror(PERCENTRANK.INC(FILTER($S$3:$S$435, $P$3:$P$435&gt;=4.1), $S143), 0.01)"),0.299)</f>
        <v>0.299</v>
      </c>
    </row>
    <row r="144" ht="14.25" customHeight="1">
      <c r="A144" s="14" t="s">
        <v>1102</v>
      </c>
      <c r="B144" s="14" t="s">
        <v>157</v>
      </c>
      <c r="C144" s="14">
        <v>84.0</v>
      </c>
      <c r="D144" s="14" t="s">
        <v>959</v>
      </c>
      <c r="E144" s="14" t="s">
        <v>158</v>
      </c>
      <c r="F144" s="14">
        <v>29.0</v>
      </c>
      <c r="G144" s="14">
        <v>17.0</v>
      </c>
      <c r="H144" s="14">
        <v>338.0</v>
      </c>
      <c r="I144" s="14">
        <v>19.9</v>
      </c>
      <c r="J144" s="14">
        <v>3.0</v>
      </c>
      <c r="K144" s="20">
        <v>8.077488049098996</v>
      </c>
      <c r="L144" s="20">
        <v>73.07306103213283</v>
      </c>
      <c r="M144" s="15"/>
      <c r="N144" s="20">
        <v>8.077488049098996</v>
      </c>
      <c r="O144" s="14">
        <v>3.23</v>
      </c>
      <c r="P144" s="20">
        <v>5.19</v>
      </c>
      <c r="Q144" s="20">
        <v>2.5</v>
      </c>
      <c r="R144" s="20">
        <f t="array" ref="R144">XLOOKUP(E144, 'Conference Match'!$A$2:$A$40,'Conference Match'!$C$2:$C$40)</f>
        <v>0.95</v>
      </c>
      <c r="S144" s="20">
        <f t="shared" si="1"/>
        <v>5.025722729</v>
      </c>
      <c r="T144" s="20">
        <f t="shared" si="2"/>
        <v>39.12898264</v>
      </c>
      <c r="U144" s="20">
        <f t="shared" si="3"/>
        <v>-33.94407839</v>
      </c>
      <c r="W144" s="20">
        <f>IFERROR(__xludf.DUMMYFUNCTION("iferror(PERCENTRANK.INC(FILTER($S$3:$S$435, $P$3:$P$435&lt;3.75), $S144), 1)"),1.0)</f>
        <v>1</v>
      </c>
      <c r="X144" s="20">
        <f>IFERROR(__xludf.DUMMYFUNCTION("iferror(PERCENTRANK.INC(FILTER($S$3:$S$435, $P$3:$P$435&lt;4.5), $S144), 1)"),0.978)</f>
        <v>0.978</v>
      </c>
      <c r="Y144" s="20">
        <f>IFERROR(__xludf.DUMMYFUNCTION("iferror(PERCENTRANK.INC(FILTER($S$3:$S$435, $P$3:$P$435&gt;=4.1), $S144), 0.01)"),0.74)</f>
        <v>0.74</v>
      </c>
    </row>
    <row r="145" ht="14.25" customHeight="1">
      <c r="A145" s="14" t="s">
        <v>1103</v>
      </c>
      <c r="B145" s="14" t="s">
        <v>503</v>
      </c>
      <c r="C145" s="14" t="s">
        <v>959</v>
      </c>
      <c r="D145" s="14" t="s">
        <v>959</v>
      </c>
      <c r="E145" s="14" t="s">
        <v>189</v>
      </c>
      <c r="F145" s="14">
        <v>50.0</v>
      </c>
      <c r="G145" s="14">
        <v>30.0</v>
      </c>
      <c r="H145" s="14">
        <v>503.0</v>
      </c>
      <c r="I145" s="14">
        <v>16.8</v>
      </c>
      <c r="J145" s="14">
        <v>3.0</v>
      </c>
      <c r="K145" s="20">
        <v>7.332138971453514</v>
      </c>
      <c r="L145" s="20">
        <v>55.538364861564666</v>
      </c>
      <c r="M145" s="15"/>
      <c r="N145" s="20">
        <v>7.332138971453514</v>
      </c>
      <c r="O145" s="14">
        <v>3.21</v>
      </c>
      <c r="P145" s="20">
        <v>3.97</v>
      </c>
      <c r="Q145" s="20">
        <v>-4.0</v>
      </c>
      <c r="R145" s="20">
        <f t="array" ref="R145">XLOOKUP(E145, 'Conference Match'!$A$2:$A$40,'Conference Match'!$C$2:$C$40)</f>
        <v>0.9</v>
      </c>
      <c r="S145" s="20">
        <f t="shared" si="1"/>
        <v>3.546785015</v>
      </c>
      <c r="T145" s="20">
        <f t="shared" si="2"/>
        <v>24.39569979</v>
      </c>
      <c r="U145" s="20">
        <f t="shared" si="3"/>
        <v>-31.14266507</v>
      </c>
      <c r="W145" s="20">
        <f>IFERROR(__xludf.DUMMYFUNCTION("iferror(PERCENTRANK.INC(FILTER($S$3:$S$435, $P$3:$P$435&lt;3.75), $S145), 1)"),0.852)</f>
        <v>0.852</v>
      </c>
      <c r="X145" s="20">
        <f>IFERROR(__xludf.DUMMYFUNCTION("iferror(PERCENTRANK.INC(FILTER($S$3:$S$435, $P$3:$P$435&lt;4.5), $S145), 1)"),0.655)</f>
        <v>0.655</v>
      </c>
      <c r="Y145" s="20">
        <f>IFERROR(__xludf.DUMMYFUNCTION("iferror(PERCENTRANK.INC(FILTER($S$3:$S$435, $P$3:$P$435&gt;=4.1), $S145), 0.01)"),0.06)</f>
        <v>0.06</v>
      </c>
    </row>
    <row r="146" ht="14.25" customHeight="1">
      <c r="A146" s="14" t="s">
        <v>1104</v>
      </c>
      <c r="B146" s="14" t="s">
        <v>716</v>
      </c>
      <c r="C146" s="14">
        <v>2.0</v>
      </c>
      <c r="D146" s="14" t="s">
        <v>959</v>
      </c>
      <c r="E146" s="14" t="s">
        <v>147</v>
      </c>
      <c r="F146" s="14">
        <v>43.0</v>
      </c>
      <c r="G146" s="14">
        <v>27.0</v>
      </c>
      <c r="H146" s="14">
        <v>305.0</v>
      </c>
      <c r="I146" s="14">
        <v>11.3</v>
      </c>
      <c r="J146" s="14">
        <v>0.0</v>
      </c>
      <c r="K146" s="20">
        <f>0.35*LN(F146+1)+0.25*(G146/F146)+0.25*(I146)+0.1*(H146/F146)+0.2*J146</f>
        <v>5.015745442</v>
      </c>
      <c r="L146" s="20">
        <v>36.47977845413324</v>
      </c>
      <c r="M146" s="15"/>
      <c r="N146" s="20">
        <v>5.015745441638834</v>
      </c>
      <c r="O146" s="14">
        <v>3.16</v>
      </c>
      <c r="P146" s="20">
        <v>3.83</v>
      </c>
      <c r="Q146" s="20">
        <v>-7.0</v>
      </c>
      <c r="R146" s="20">
        <f t="array" ref="R146">XLOOKUP(E146, 'Conference Match'!$A$2:$A$40,'Conference Match'!$C$2:$C$40)</f>
        <v>0.95</v>
      </c>
      <c r="S146" s="20">
        <f t="shared" si="1"/>
        <v>2.799991634</v>
      </c>
      <c r="T146" s="20">
        <f t="shared" si="2"/>
        <v>16.95609094</v>
      </c>
      <c r="U146" s="20">
        <f t="shared" si="3"/>
        <v>-19.52368751</v>
      </c>
      <c r="W146" s="20">
        <f>IFERROR(__xludf.DUMMYFUNCTION("iferror(PERCENTRANK.INC(FILTER($S$3:$S$435, $P$3:$P$435&lt;3.75), $S146), 1)"),0.606)</f>
        <v>0.606</v>
      </c>
      <c r="X146" s="20">
        <f>IFERROR(__xludf.DUMMYFUNCTION("iferror(PERCENTRANK.INC(FILTER($S$3:$S$435, $P$3:$P$435&lt;4.5), $S146), 1)"),0.409)</f>
        <v>0.409</v>
      </c>
      <c r="Y146" s="20">
        <f>IFERROR(__xludf.DUMMYFUNCTION("iferror(PERCENTRANK.INC(FILTER($S$3:$S$435, $P$3:$P$435&gt;=4.1), $S146), 0.01)"),0.01)</f>
        <v>0.01</v>
      </c>
    </row>
    <row r="147" ht="14.25" customHeight="1">
      <c r="A147" s="14" t="s">
        <v>1105</v>
      </c>
      <c r="B147" s="14" t="s">
        <v>747</v>
      </c>
      <c r="C147" s="14">
        <v>5.0</v>
      </c>
      <c r="D147" s="14" t="s">
        <v>959</v>
      </c>
      <c r="E147" s="14" t="s">
        <v>147</v>
      </c>
      <c r="F147" s="14">
        <v>46.0</v>
      </c>
      <c r="G147" s="14">
        <v>26.0</v>
      </c>
      <c r="H147" s="14">
        <v>360.0</v>
      </c>
      <c r="I147" s="14">
        <v>13.8</v>
      </c>
      <c r="J147" s="14">
        <v>5.0</v>
      </c>
      <c r="K147" s="20">
        <v>6.721464704076781</v>
      </c>
      <c r="L147" s="20">
        <v>56.86616456544223</v>
      </c>
      <c r="M147" s="15"/>
      <c r="N147" s="20">
        <v>6.721464704076781</v>
      </c>
      <c r="O147" s="14">
        <v>3.15</v>
      </c>
      <c r="P147" s="20">
        <v>3.24</v>
      </c>
      <c r="Q147" s="20">
        <v>0.0</v>
      </c>
      <c r="R147" s="20">
        <f t="array" ref="R147">XLOOKUP(E147, 'Conference Match'!$A$2:$A$40,'Conference Match'!$C$2:$C$40)</f>
        <v>0.95</v>
      </c>
      <c r="S147" s="20">
        <f t="shared" si="1"/>
        <v>3.527078294</v>
      </c>
      <c r="T147" s="20">
        <f t="shared" si="2"/>
        <v>24.19938003</v>
      </c>
      <c r="U147" s="20">
        <f t="shared" si="3"/>
        <v>-32.66678453</v>
      </c>
      <c r="W147" s="20">
        <f>IFERROR(__xludf.DUMMYFUNCTION("iferror(PERCENTRANK.INC(FILTER($S$3:$S$435, $P$3:$P$435&lt;3.75), $S147), 1)"),0.844)</f>
        <v>0.844</v>
      </c>
      <c r="X147" s="20">
        <f>IFERROR(__xludf.DUMMYFUNCTION("iferror(PERCENTRANK.INC(FILTER($S$3:$S$435, $P$3:$P$435&lt;4.5), $S147), 1)"),0.641)</f>
        <v>0.641</v>
      </c>
      <c r="Y147" s="20">
        <f>IFERROR(__xludf.DUMMYFUNCTION("iferror(PERCENTRANK.INC(FILTER($S$3:$S$435, $P$3:$P$435&gt;=4.1), $S147), 0.01)"),0.057)</f>
        <v>0.057</v>
      </c>
    </row>
    <row r="148" ht="14.25" customHeight="1">
      <c r="A148" s="14" t="s">
        <v>1106</v>
      </c>
      <c r="B148" s="14" t="s">
        <v>565</v>
      </c>
      <c r="C148" s="14">
        <v>1.0</v>
      </c>
      <c r="D148" s="14" t="s">
        <v>959</v>
      </c>
      <c r="E148" s="14" t="s">
        <v>506</v>
      </c>
      <c r="F148" s="14">
        <v>48.0</v>
      </c>
      <c r="G148" s="14">
        <v>28.0</v>
      </c>
      <c r="H148" s="14">
        <v>299.0</v>
      </c>
      <c r="I148" s="14">
        <v>10.7</v>
      </c>
      <c r="J148" s="14">
        <v>3.0</v>
      </c>
      <c r="K148" s="20">
        <v>5.405887104338719</v>
      </c>
      <c r="L148" s="20">
        <v>41.14266686083391</v>
      </c>
      <c r="M148" s="15"/>
      <c r="N148" s="20">
        <v>5.405887104338719</v>
      </c>
      <c r="O148" s="14">
        <v>3.11</v>
      </c>
      <c r="P148" s="14">
        <v>3.53</v>
      </c>
      <c r="Q148" s="14">
        <v>-2.0</v>
      </c>
      <c r="R148" s="20">
        <f t="array" ref="R148">XLOOKUP(E148, 'Conference Match'!$A$2:$A$40,'Conference Match'!$C$2:$C$40)</f>
        <v>0.95</v>
      </c>
      <c r="S148" s="20">
        <f t="shared" si="1"/>
        <v>3.21411855</v>
      </c>
      <c r="T148" s="20">
        <f t="shared" si="2"/>
        <v>21.08165278</v>
      </c>
      <c r="U148" s="20">
        <f t="shared" si="3"/>
        <v>-20.06101409</v>
      </c>
      <c r="W148" s="20">
        <f>IFERROR(__xludf.DUMMYFUNCTION("iferror(PERCENTRANK.INC(FILTER($S$3:$S$435, $P$3:$P$435&lt;3.75), $S148), 1)"),0.701)</f>
        <v>0.701</v>
      </c>
      <c r="X148" s="20">
        <f>IFERROR(__xludf.DUMMYFUNCTION("iferror(PERCENTRANK.INC(FILTER($S$3:$S$435, $P$3:$P$435&lt;4.5), $S148), 1)"),0.509)</f>
        <v>0.509</v>
      </c>
      <c r="Y148" s="20">
        <f>IFERROR(__xludf.DUMMYFUNCTION("iferror(PERCENTRANK.INC(FILTER($S$3:$S$435, $P$3:$P$435&gt;=4.1), $S148), 0.01)"),0.02)</f>
        <v>0.02</v>
      </c>
    </row>
    <row r="149" ht="14.25" customHeight="1">
      <c r="A149" s="14" t="s">
        <v>1107</v>
      </c>
      <c r="B149" s="14" t="s">
        <v>151</v>
      </c>
      <c r="C149" s="14" t="s">
        <v>959</v>
      </c>
      <c r="D149" s="14" t="s">
        <v>959</v>
      </c>
      <c r="E149" s="14" t="s">
        <v>124</v>
      </c>
      <c r="F149" s="14">
        <v>28.0</v>
      </c>
      <c r="G149" s="14">
        <v>15.0</v>
      </c>
      <c r="H149" s="14">
        <v>290.0</v>
      </c>
      <c r="I149" s="14">
        <v>19.3</v>
      </c>
      <c r="J149" s="14">
        <v>3.0</v>
      </c>
      <c r="K149" s="20">
        <v>7.773196397638124</v>
      </c>
      <c r="L149" s="20">
        <v>59.55000086472564</v>
      </c>
      <c r="M149" s="15"/>
      <c r="N149" s="20">
        <v>7.773196397638124</v>
      </c>
      <c r="O149" s="14">
        <v>3.11</v>
      </c>
      <c r="R149" s="20">
        <f t="array" ref="R149">XLOOKUP(E149, 'Conference Match'!$A$2:$A$40,'Conference Match'!$C$2:$C$40)</f>
        <v>0.9</v>
      </c>
      <c r="S149" s="20">
        <f t="shared" si="1"/>
        <v>2.021175352</v>
      </c>
      <c r="T149" s="20">
        <f t="shared" si="2"/>
        <v>9.19746767</v>
      </c>
      <c r="U149" s="20">
        <f t="shared" si="3"/>
        <v>-50.35253319</v>
      </c>
      <c r="W149" s="20">
        <f>IFERROR(__xludf.DUMMYFUNCTION("iferror(PERCENTRANK.INC(FILTER($S$3:$S$435, $P$3:$P$435&lt;3.75), $S149), 1)"),0.469)</f>
        <v>0.469</v>
      </c>
      <c r="X149" s="20">
        <f>IFERROR(__xludf.DUMMYFUNCTION("iferror(PERCENTRANK.INC(FILTER($S$3:$S$435, $P$3:$P$435&lt;4.5), $S149), 1)"),0.314)</f>
        <v>0.314</v>
      </c>
      <c r="Y149" s="20">
        <f>IFERROR(__xludf.DUMMYFUNCTION("iferror(PERCENTRANK.INC(FILTER($S$3:$S$435, $P$3:$P$435&gt;=4.1), $S149), 0.01)"),0.01)</f>
        <v>0.01</v>
      </c>
    </row>
    <row r="150" ht="14.25" customHeight="1">
      <c r="A150" s="14" t="s">
        <v>1108</v>
      </c>
      <c r="B150" s="14" t="s">
        <v>466</v>
      </c>
      <c r="C150" s="14" t="s">
        <v>959</v>
      </c>
      <c r="D150" s="14" t="s">
        <v>959</v>
      </c>
      <c r="E150" s="14" t="s">
        <v>124</v>
      </c>
      <c r="F150" s="14">
        <v>28.0</v>
      </c>
      <c r="G150" s="14">
        <v>16.0</v>
      </c>
      <c r="H150" s="14">
        <v>278.0</v>
      </c>
      <c r="I150" s="14">
        <v>17.4</v>
      </c>
      <c r="J150" s="14">
        <v>4.0</v>
      </c>
      <c r="K150" s="20">
        <v>7.464267826209551</v>
      </c>
      <c r="L150" s="20">
        <v>56.74014231576376</v>
      </c>
      <c r="M150" s="15"/>
      <c r="N150" s="20">
        <v>7.464267826209551</v>
      </c>
      <c r="O150" s="14">
        <v>3.11</v>
      </c>
      <c r="R150" s="20">
        <f t="array" ref="R150">XLOOKUP(E150, 'Conference Match'!$A$2:$A$40,'Conference Match'!$C$2:$C$40)</f>
        <v>0.9</v>
      </c>
      <c r="S150" s="20">
        <f t="shared" si="1"/>
        <v>1.965568209</v>
      </c>
      <c r="T150" s="20">
        <f t="shared" si="2"/>
        <v>8.643505352</v>
      </c>
      <c r="U150" s="20">
        <f t="shared" si="3"/>
        <v>-48.09663696</v>
      </c>
      <c r="W150" s="20">
        <f>IFERROR(__xludf.DUMMYFUNCTION("iferror(PERCENTRANK.INC(FILTER($S$3:$S$435, $P$3:$P$435&lt;3.75), $S150), 1)"),0.463)</f>
        <v>0.463</v>
      </c>
      <c r="X150" s="20">
        <f>IFERROR(__xludf.DUMMYFUNCTION("iferror(PERCENTRANK.INC(FILTER($S$3:$S$435, $P$3:$P$435&lt;4.5), $S150), 1)"),0.309)</f>
        <v>0.309</v>
      </c>
      <c r="Y150" s="20">
        <f>IFERROR(__xludf.DUMMYFUNCTION("iferror(PERCENTRANK.INC(FILTER($S$3:$S$435, $P$3:$P$435&gt;=4.1), $S150), 0.01)"),0.01)</f>
        <v>0.01</v>
      </c>
    </row>
    <row r="151" ht="14.25" customHeight="1">
      <c r="A151" s="14" t="s">
        <v>1109</v>
      </c>
      <c r="B151" s="14" t="s">
        <v>590</v>
      </c>
      <c r="C151" s="14" t="s">
        <v>959</v>
      </c>
      <c r="D151" s="14" t="s">
        <v>959</v>
      </c>
      <c r="E151" s="14" t="s">
        <v>124</v>
      </c>
      <c r="F151" s="14">
        <v>26.0</v>
      </c>
      <c r="G151" s="14">
        <v>15.0</v>
      </c>
      <c r="H151" s="14">
        <v>221.0</v>
      </c>
      <c r="I151" s="14">
        <v>14.7</v>
      </c>
      <c r="J151" s="14">
        <v>3.0</v>
      </c>
      <c r="K151" s="20">
        <v>6.4227736723322835</v>
      </c>
      <c r="L151" s="20">
        <v>47.26723652905353</v>
      </c>
      <c r="M151" s="15"/>
      <c r="N151" s="20">
        <v>6.4227736723322835</v>
      </c>
      <c r="O151" s="14">
        <v>3.09</v>
      </c>
      <c r="R151" s="20">
        <f t="array" ref="R151">XLOOKUP(E151, 'Conference Match'!$A$2:$A$40,'Conference Match'!$C$2:$C$40)</f>
        <v>0.9</v>
      </c>
      <c r="S151" s="20">
        <f t="shared" si="1"/>
        <v>1.774099261</v>
      </c>
      <c r="T151" s="20">
        <f t="shared" si="2"/>
        <v>6.736078058</v>
      </c>
      <c r="U151" s="20">
        <f t="shared" si="3"/>
        <v>-40.53115847</v>
      </c>
      <c r="W151" s="20">
        <f>IFERROR(__xludf.DUMMYFUNCTION("iferror(PERCENTRANK.INC(FILTER($S$3:$S$435, $P$3:$P$435&lt;3.75), $S151), 1)"),0.374)</f>
        <v>0.374</v>
      </c>
      <c r="X151" s="20">
        <f>IFERROR(__xludf.DUMMYFUNCTION("iferror(PERCENTRANK.INC(FILTER($S$3:$S$435, $P$3:$P$435&lt;4.5), $S151), 1)"),0.25)</f>
        <v>0.25</v>
      </c>
      <c r="Y151" s="20">
        <f>IFERROR(__xludf.DUMMYFUNCTION("iferror(PERCENTRANK.INC(FILTER($S$3:$S$435, $P$3:$P$435&gt;=4.1), $S151), 0.01)"),0.01)</f>
        <v>0.01</v>
      </c>
    </row>
    <row r="152" ht="14.25" customHeight="1">
      <c r="A152" s="14" t="s">
        <v>1110</v>
      </c>
      <c r="B152" s="14" t="s">
        <v>259</v>
      </c>
      <c r="C152" s="14" t="s">
        <v>959</v>
      </c>
      <c r="D152" s="14" t="s">
        <v>959</v>
      </c>
      <c r="E152" s="14" t="s">
        <v>243</v>
      </c>
      <c r="F152" s="14">
        <v>46.0</v>
      </c>
      <c r="G152" s="14">
        <v>35.0</v>
      </c>
      <c r="H152" s="14">
        <v>508.0</v>
      </c>
      <c r="I152" s="14">
        <v>14.5</v>
      </c>
      <c r="J152" s="14">
        <v>4.0</v>
      </c>
      <c r="K152" s="20">
        <v>7.067116877989825</v>
      </c>
      <c r="L152" s="20">
        <v>53.12785750208305</v>
      </c>
      <c r="M152" s="15"/>
      <c r="N152" s="20">
        <v>7.067116877989825</v>
      </c>
      <c r="O152" s="14">
        <v>3.06</v>
      </c>
      <c r="R152" s="20">
        <f t="array" ref="R152">XLOOKUP(E152, 'Conference Match'!$A$2:$A$40,'Conference Match'!$C$2:$C$40)</f>
        <v>0.9</v>
      </c>
      <c r="S152" s="20">
        <f t="shared" si="1"/>
        <v>1.884081038</v>
      </c>
      <c r="T152" s="20">
        <f t="shared" si="2"/>
        <v>7.831724354</v>
      </c>
      <c r="U152" s="20">
        <f t="shared" si="3"/>
        <v>-45.29613315</v>
      </c>
      <c r="W152" s="20">
        <f>IFERROR(__xludf.DUMMYFUNCTION("iferror(PERCENTRANK.INC(FILTER($S$3:$S$435, $P$3:$P$435&lt;3.75), $S152), 1)"),0.435)</f>
        <v>0.435</v>
      </c>
      <c r="X152" s="20">
        <f>IFERROR(__xludf.DUMMYFUNCTION("iferror(PERCENTRANK.INC(FILTER($S$3:$S$435, $P$3:$P$435&lt;4.5), $S152), 1)"),0.291)</f>
        <v>0.291</v>
      </c>
      <c r="Y152" s="20">
        <f>IFERROR(__xludf.DUMMYFUNCTION("iferror(PERCENTRANK.INC(FILTER($S$3:$S$435, $P$3:$P$435&gt;=4.1), $S152), 0.01)"),0.01)</f>
        <v>0.01</v>
      </c>
    </row>
    <row r="153" ht="14.25" customHeight="1">
      <c r="A153" s="17" t="s">
        <v>1111</v>
      </c>
      <c r="B153" s="17" t="s">
        <v>710</v>
      </c>
      <c r="C153" s="18">
        <v>3.0</v>
      </c>
      <c r="D153" s="17" t="s">
        <v>959</v>
      </c>
      <c r="E153" s="17" t="s">
        <v>158</v>
      </c>
      <c r="F153" s="18">
        <v>56.0</v>
      </c>
      <c r="G153" s="18">
        <v>32.0</v>
      </c>
      <c r="H153" s="18">
        <v>477.0</v>
      </c>
      <c r="I153" s="18">
        <v>14.9</v>
      </c>
      <c r="J153" s="18">
        <v>3.0</v>
      </c>
      <c r="K153" s="22">
        <v>6.73</v>
      </c>
      <c r="L153" s="22">
        <v>57.02</v>
      </c>
      <c r="M153" s="15"/>
      <c r="N153" s="38">
        <v>6.73</v>
      </c>
      <c r="O153" s="16">
        <v>3.06</v>
      </c>
      <c r="P153" s="16">
        <v>5.04</v>
      </c>
      <c r="Q153" s="16">
        <v>-2.5</v>
      </c>
      <c r="R153" s="20">
        <f t="array" ref="R153">XLOOKUP(E153, 'Conference Match'!$A$2:$A$40,'Conference Match'!$C$2:$C$40)</f>
        <v>0.95</v>
      </c>
      <c r="S153" s="20">
        <f t="shared" si="1"/>
        <v>4.1607</v>
      </c>
      <c r="T153" s="20">
        <f t="shared" si="2"/>
        <v>30.5115646</v>
      </c>
      <c r="U153" s="20">
        <f t="shared" si="3"/>
        <v>-26.5084354</v>
      </c>
      <c r="W153" s="20">
        <f>IFERROR(__xludf.DUMMYFUNCTION("iferror(PERCENTRANK.INC(FILTER($S$3:$S$435, $P$3:$P$435&lt;3.75), $S153), 1)"),0.963)</f>
        <v>0.963</v>
      </c>
      <c r="X153" s="20">
        <f>IFERROR(__xludf.DUMMYFUNCTION("iferror(PERCENTRANK.INC(FILTER($S$3:$S$435, $P$3:$P$435&lt;4.5), $S153), 1)"),0.866)</f>
        <v>0.866</v>
      </c>
      <c r="Y153" s="20">
        <f>IFERROR(__xludf.DUMMYFUNCTION("iferror(PERCENTRANK.INC(FILTER($S$3:$S$435, $P$3:$P$435&gt;=4.1), $S153), 0.01)"),0.312)</f>
        <v>0.312</v>
      </c>
    </row>
    <row r="154" ht="14.25" customHeight="1">
      <c r="A154" s="14" t="s">
        <v>1112</v>
      </c>
      <c r="B154" s="14" t="s">
        <v>283</v>
      </c>
      <c r="C154" s="14" t="s">
        <v>959</v>
      </c>
      <c r="D154" s="14" t="s">
        <v>959</v>
      </c>
      <c r="E154" s="14" t="s">
        <v>124</v>
      </c>
      <c r="F154" s="14">
        <v>44.0</v>
      </c>
      <c r="G154" s="14">
        <v>30.0</v>
      </c>
      <c r="H154" s="14">
        <v>368.0</v>
      </c>
      <c r="I154" s="14">
        <v>12.3</v>
      </c>
      <c r="J154" s="14">
        <v>3.0</v>
      </c>
      <c r="K154" s="20">
        <v>6.014150053237794</v>
      </c>
      <c r="L154" s="20">
        <v>43.55060208468695</v>
      </c>
      <c r="M154" s="15"/>
      <c r="N154" s="20">
        <v>6.014150053237794</v>
      </c>
      <c r="O154" s="14">
        <v>3.03</v>
      </c>
      <c r="R154" s="20">
        <f t="array" ref="R154">XLOOKUP(E154, 'Conference Match'!$A$2:$A$40,'Conference Match'!$C$2:$C$40)</f>
        <v>0.9</v>
      </c>
      <c r="S154" s="20">
        <f t="shared" si="1"/>
        <v>1.68854701</v>
      </c>
      <c r="T154" s="20">
        <f t="shared" si="2"/>
        <v>5.883800436</v>
      </c>
      <c r="U154" s="20">
        <f t="shared" si="3"/>
        <v>-37.66680165</v>
      </c>
      <c r="W154" s="20">
        <f>IFERROR(__xludf.DUMMYFUNCTION("iferror(PERCENTRANK.INC(FILTER($S$3:$S$435, $P$3:$P$435&lt;3.75), $S154), 1)"),0.313)</f>
        <v>0.313</v>
      </c>
      <c r="X154" s="20">
        <f>IFERROR(__xludf.DUMMYFUNCTION("iferror(PERCENTRANK.INC(FILTER($S$3:$S$435, $P$3:$P$435&lt;4.5), $S154), 1)"),0.209)</f>
        <v>0.209</v>
      </c>
      <c r="Y154" s="20">
        <f>IFERROR(__xludf.DUMMYFUNCTION("iferror(PERCENTRANK.INC(FILTER($S$3:$S$435, $P$3:$P$435&gt;=4.1), $S154), 0.01)"),0.01)</f>
        <v>0.01</v>
      </c>
    </row>
    <row r="155" ht="14.25" customHeight="1">
      <c r="A155" s="14" t="s">
        <v>1113</v>
      </c>
      <c r="B155" s="14" t="s">
        <v>475</v>
      </c>
      <c r="C155" s="14" t="s">
        <v>959</v>
      </c>
      <c r="D155" s="14" t="s">
        <v>959</v>
      </c>
      <c r="E155" s="14" t="s">
        <v>138</v>
      </c>
      <c r="F155" s="14">
        <v>23.0</v>
      </c>
      <c r="G155" s="14">
        <v>16.0</v>
      </c>
      <c r="H155" s="14">
        <v>261.0</v>
      </c>
      <c r="I155" s="14">
        <v>16.3</v>
      </c>
      <c r="J155" s="14">
        <v>2.0</v>
      </c>
      <c r="K155" s="20">
        <v>6.896014492795695</v>
      </c>
      <c r="L155" s="20">
        <v>51.571596462314986</v>
      </c>
      <c r="M155" s="15"/>
      <c r="N155" s="20">
        <v>6.896014492795695</v>
      </c>
      <c r="O155" s="14">
        <v>3.02</v>
      </c>
      <c r="R155" s="20">
        <f t="array" ref="R155">XLOOKUP(E155, 'Conference Match'!$A$2:$A$40,'Conference Match'!$C$2:$C$40)</f>
        <v>0.9</v>
      </c>
      <c r="S155" s="20">
        <f t="shared" si="1"/>
        <v>1.845282609</v>
      </c>
      <c r="T155" s="20">
        <f t="shared" si="2"/>
        <v>7.445211638</v>
      </c>
      <c r="U155" s="20">
        <f t="shared" si="3"/>
        <v>-44.12638482</v>
      </c>
      <c r="W155" s="20">
        <f>IFERROR(__xludf.DUMMYFUNCTION("iferror(PERCENTRANK.INC(FILTER($S$3:$S$435, $P$3:$P$435&lt;3.75), $S155), 1)"),0.422)</f>
        <v>0.422</v>
      </c>
      <c r="X155" s="20">
        <f>IFERROR(__xludf.DUMMYFUNCTION("iferror(PERCENTRANK.INC(FILTER($S$3:$S$435, $P$3:$P$435&lt;4.5), $S155), 1)"),0.282)</f>
        <v>0.282</v>
      </c>
      <c r="Y155" s="20">
        <f>IFERROR(__xludf.DUMMYFUNCTION("iferror(PERCENTRANK.INC(FILTER($S$3:$S$435, $P$3:$P$435&gt;=4.1), $S155), 0.01)"),0.01)</f>
        <v>0.01</v>
      </c>
    </row>
    <row r="156" ht="14.25" customHeight="1">
      <c r="A156" s="14" t="s">
        <v>1114</v>
      </c>
      <c r="B156" s="14" t="s">
        <v>505</v>
      </c>
      <c r="C156" s="14">
        <v>0.0</v>
      </c>
      <c r="D156" s="14" t="s">
        <v>959</v>
      </c>
      <c r="E156" s="14" t="s">
        <v>506</v>
      </c>
      <c r="F156" s="14">
        <v>40.0</v>
      </c>
      <c r="G156" s="14">
        <v>33.0</v>
      </c>
      <c r="H156" s="14">
        <v>360.0</v>
      </c>
      <c r="I156" s="14">
        <v>10.9</v>
      </c>
      <c r="J156" s="14">
        <v>2.0</v>
      </c>
      <c r="K156" s="20">
        <v>5.531000223346508</v>
      </c>
      <c r="L156" s="20">
        <v>42.63799168236253</v>
      </c>
      <c r="M156" s="15"/>
      <c r="N156" s="20">
        <v>5.531000223346508</v>
      </c>
      <c r="O156" s="14">
        <v>3.01</v>
      </c>
      <c r="P156" s="16">
        <v>4.74</v>
      </c>
      <c r="Q156" s="16">
        <v>-4.5</v>
      </c>
      <c r="R156" s="20">
        <f t="array" ref="R156">XLOOKUP(E156, 'Conference Match'!$A$2:$A$40,'Conference Match'!$C$2:$C$40)</f>
        <v>0.95</v>
      </c>
      <c r="S156" s="20">
        <f t="shared" si="1"/>
        <v>3.572890042</v>
      </c>
      <c r="T156" s="20">
        <f t="shared" si="2"/>
        <v>24.65575994</v>
      </c>
      <c r="U156" s="20">
        <f t="shared" si="3"/>
        <v>-17.98223174</v>
      </c>
      <c r="W156" s="20">
        <f>IFERROR(__xludf.DUMMYFUNCTION("iferror(PERCENTRANK.INC(FILTER($S$3:$S$435, $P$3:$P$435&lt;3.75), $S156), 1)"),0.855)</f>
        <v>0.855</v>
      </c>
      <c r="X156" s="20">
        <f>IFERROR(__xludf.DUMMYFUNCTION("iferror(PERCENTRANK.INC(FILTER($S$3:$S$435, $P$3:$P$435&lt;4.5), $S156), 1)"),0.662)</f>
        <v>0.662</v>
      </c>
      <c r="Y156" s="20">
        <f>IFERROR(__xludf.DUMMYFUNCTION("iferror(PERCENTRANK.INC(FILTER($S$3:$S$435, $P$3:$P$435&gt;=4.1), $S156), 0.01)"),0.065)</f>
        <v>0.065</v>
      </c>
    </row>
    <row r="157" ht="14.25" customHeight="1">
      <c r="A157" s="14" t="s">
        <v>1115</v>
      </c>
      <c r="B157" s="14" t="s">
        <v>703</v>
      </c>
      <c r="C157" s="14" t="s">
        <v>959</v>
      </c>
      <c r="D157" s="14" t="s">
        <v>959</v>
      </c>
      <c r="E157" s="14" t="s">
        <v>179</v>
      </c>
      <c r="F157" s="14">
        <v>45.0</v>
      </c>
      <c r="G157" s="14">
        <v>25.0</v>
      </c>
      <c r="H157" s="14">
        <v>341.0</v>
      </c>
      <c r="I157" s="14">
        <v>13.6</v>
      </c>
      <c r="J157" s="14">
        <v>1.0</v>
      </c>
      <c r="K157" s="20">
        <v>5.83669115543785</v>
      </c>
      <c r="L157" s="20">
        <v>41.93652541069497</v>
      </c>
      <c r="M157" s="15"/>
      <c r="N157" s="20">
        <v>5.83669115543785</v>
      </c>
      <c r="O157" s="14">
        <v>2.99</v>
      </c>
      <c r="P157" s="20">
        <v>3.47</v>
      </c>
      <c r="Q157" s="20">
        <v>-7.5</v>
      </c>
      <c r="R157" s="20">
        <f t="array" ref="R157">XLOOKUP(E157, 'Conference Match'!$A$2:$A$40,'Conference Match'!$C$2:$C$40)</f>
        <v>0.9</v>
      </c>
      <c r="S157" s="20">
        <f t="shared" si="1"/>
        <v>2.633604408</v>
      </c>
      <c r="T157" s="20">
        <f t="shared" si="2"/>
        <v>15.29852955</v>
      </c>
      <c r="U157" s="20">
        <f t="shared" si="3"/>
        <v>-26.63799586</v>
      </c>
      <c r="W157" s="20">
        <f>IFERROR(__xludf.DUMMYFUNCTION("iferror(PERCENTRANK.INC(FILTER($S$3:$S$435, $P$3:$P$435&lt;3.75), $S157), 1)"),0.558)</f>
        <v>0.558</v>
      </c>
      <c r="X157" s="20">
        <f>IFERROR(__xludf.DUMMYFUNCTION("iferror(PERCENTRANK.INC(FILTER($S$3:$S$435, $P$3:$P$435&lt;4.5), $S157), 1)"),0.373)</f>
        <v>0.373</v>
      </c>
      <c r="Y157" s="20">
        <f>IFERROR(__xludf.DUMMYFUNCTION("iferror(PERCENTRANK.INC(FILTER($S$3:$S$435, $P$3:$P$435&gt;=4.1), $S157), 0.01)"),0.01)</f>
        <v>0.01</v>
      </c>
    </row>
    <row r="158" ht="14.25" customHeight="1">
      <c r="A158" s="14" t="s">
        <v>1116</v>
      </c>
      <c r="B158" s="14" t="s">
        <v>477</v>
      </c>
      <c r="C158" s="14" t="s">
        <v>959</v>
      </c>
      <c r="D158" s="14" t="s">
        <v>959</v>
      </c>
      <c r="E158" s="14" t="s">
        <v>179</v>
      </c>
      <c r="F158" s="14">
        <v>46.0</v>
      </c>
      <c r="G158" s="14">
        <v>21.0</v>
      </c>
      <c r="H158" s="14">
        <v>336.0</v>
      </c>
      <c r="I158" s="14">
        <v>16.0</v>
      </c>
      <c r="J158" s="14">
        <v>1.0</v>
      </c>
      <c r="K158" s="20">
        <v>6.3921168779898245</v>
      </c>
      <c r="L158" s="20">
        <v>46.98839778238603</v>
      </c>
      <c r="M158" s="15"/>
      <c r="N158" s="20">
        <v>6.3921168779898245</v>
      </c>
      <c r="O158" s="14">
        <v>2.98</v>
      </c>
      <c r="P158" s="20">
        <v>3.81</v>
      </c>
      <c r="Q158" s="20">
        <v>0.0</v>
      </c>
      <c r="R158" s="20">
        <f t="array" ref="R158">XLOOKUP(E158, 'Conference Match'!$A$2:$A$40,'Conference Match'!$C$2:$C$40)</f>
        <v>0.9</v>
      </c>
      <c r="S158" s="20">
        <f t="shared" si="1"/>
        <v>3.651581038</v>
      </c>
      <c r="T158" s="20">
        <f t="shared" si="2"/>
        <v>25.43968524</v>
      </c>
      <c r="U158" s="20">
        <f t="shared" si="3"/>
        <v>-21.54871254</v>
      </c>
      <c r="W158" s="20">
        <f>IFERROR(__xludf.DUMMYFUNCTION("iferror(PERCENTRANK.INC(FILTER($S$3:$S$435, $P$3:$P$435&lt;3.75), $S158), 1)"),0.863)</f>
        <v>0.863</v>
      </c>
      <c r="X158" s="20">
        <f>IFERROR(__xludf.DUMMYFUNCTION("iferror(PERCENTRANK.INC(FILTER($S$3:$S$435, $P$3:$P$435&lt;4.5), $S158), 1)"),0.677)</f>
        <v>0.677</v>
      </c>
      <c r="Y158" s="20">
        <f>IFERROR(__xludf.DUMMYFUNCTION("iferror(PERCENTRANK.INC(FILTER($S$3:$S$435, $P$3:$P$435&gt;=4.1), $S158), 0.01)"),0.11)</f>
        <v>0.11</v>
      </c>
    </row>
    <row r="159" ht="14.25" customHeight="1">
      <c r="A159" s="14" t="s">
        <v>1117</v>
      </c>
      <c r="B159" s="14" t="s">
        <v>169</v>
      </c>
      <c r="C159" s="14" t="s">
        <v>959</v>
      </c>
      <c r="D159" s="14" t="s">
        <v>959</v>
      </c>
      <c r="E159" s="14" t="s">
        <v>121</v>
      </c>
      <c r="F159" s="14">
        <v>49.0</v>
      </c>
      <c r="G159" s="14">
        <v>30.0</v>
      </c>
      <c r="H159" s="14">
        <v>357.0</v>
      </c>
      <c r="I159" s="14">
        <v>11.9</v>
      </c>
      <c r="J159" s="14">
        <v>4.0</v>
      </c>
      <c r="K159" s="20">
        <v>6.025840704961076</v>
      </c>
      <c r="L159" s="20">
        <v>43.656934359282644</v>
      </c>
      <c r="M159" s="15"/>
      <c r="N159" s="20">
        <v>6.025840704961076</v>
      </c>
      <c r="O159" s="14">
        <v>2.98</v>
      </c>
      <c r="R159" s="20">
        <f t="array" ref="R159">XLOOKUP(E159, 'Conference Match'!$A$2:$A$40,'Conference Match'!$C$2:$C$40)</f>
        <v>0.9</v>
      </c>
      <c r="S159" s="20">
        <f t="shared" si="1"/>
        <v>1.680651327</v>
      </c>
      <c r="T159" s="20">
        <f t="shared" si="2"/>
        <v>5.805143083</v>
      </c>
      <c r="U159" s="20">
        <f t="shared" si="3"/>
        <v>-37.85179128</v>
      </c>
      <c r="W159" s="20">
        <f>IFERROR(__xludf.DUMMYFUNCTION("iferror(PERCENTRANK.INC(FILTER($S$3:$S$435, $P$3:$P$435&lt;3.75), $S159), 1)"),0.306)</f>
        <v>0.306</v>
      </c>
      <c r="X159" s="20">
        <f>IFERROR(__xludf.DUMMYFUNCTION("iferror(PERCENTRANK.INC(FILTER($S$3:$S$435, $P$3:$P$435&lt;4.5), $S159), 1)"),0.205)</f>
        <v>0.205</v>
      </c>
      <c r="Y159" s="20">
        <f>IFERROR(__xludf.DUMMYFUNCTION("iferror(PERCENTRANK.INC(FILTER($S$3:$S$435, $P$3:$P$435&gt;=4.1), $S159), 0.01)"),0.01)</f>
        <v>0.01</v>
      </c>
    </row>
    <row r="160" ht="14.25" customHeight="1">
      <c r="A160" s="14" t="s">
        <v>1118</v>
      </c>
      <c r="B160" s="14" t="s">
        <v>1094</v>
      </c>
      <c r="C160" s="14" t="s">
        <v>959</v>
      </c>
      <c r="D160" s="14" t="s">
        <v>959</v>
      </c>
      <c r="E160" s="14" t="s">
        <v>210</v>
      </c>
      <c r="F160" s="14">
        <v>67.0</v>
      </c>
      <c r="G160" s="14">
        <v>39.0</v>
      </c>
      <c r="H160" s="14">
        <v>487.0</v>
      </c>
      <c r="I160" s="14">
        <v>12.5</v>
      </c>
      <c r="J160" s="14">
        <v>2.0</v>
      </c>
      <c r="K160" s="20">
        <v>5.874215756513131</v>
      </c>
      <c r="L160" s="20">
        <v>42.277830265212586</v>
      </c>
      <c r="M160" s="15"/>
      <c r="N160" s="20">
        <v>5.874215756513131</v>
      </c>
      <c r="O160" s="14">
        <v>2.96</v>
      </c>
      <c r="R160" s="20">
        <f t="array" ref="R160">XLOOKUP(E160, 'Conference Match'!$A$2:$A$40,'Conference Match'!$C$2:$C$40)</f>
        <v>0.9</v>
      </c>
      <c r="S160" s="20">
        <f t="shared" si="1"/>
        <v>1.649358836</v>
      </c>
      <c r="T160" s="20">
        <f t="shared" si="2"/>
        <v>5.493405062</v>
      </c>
      <c r="U160" s="20">
        <f t="shared" si="3"/>
        <v>-36.7844252</v>
      </c>
      <c r="W160" s="20">
        <f>IFERROR(__xludf.DUMMYFUNCTION("iferror(PERCENTRANK.INC(FILTER($S$3:$S$435, $P$3:$P$435&lt;3.75), $S160), 1)"),0.272)</f>
        <v>0.272</v>
      </c>
      <c r="X160" s="20">
        <f>IFERROR(__xludf.DUMMYFUNCTION("iferror(PERCENTRANK.INC(FILTER($S$3:$S$435, $P$3:$P$435&lt;4.5), $S160), 1)"),0.182)</f>
        <v>0.182</v>
      </c>
      <c r="Y160" s="20">
        <f>IFERROR(__xludf.DUMMYFUNCTION("iferror(PERCENTRANK.INC(FILTER($S$3:$S$435, $P$3:$P$435&gt;=4.1), $S160), 0.01)"),0.01)</f>
        <v>0.01</v>
      </c>
    </row>
    <row r="161" ht="14.25" customHeight="1">
      <c r="A161" s="14" t="s">
        <v>1119</v>
      </c>
      <c r="B161" s="14" t="s">
        <v>169</v>
      </c>
      <c r="C161" s="14" t="s">
        <v>959</v>
      </c>
      <c r="D161" s="14" t="s">
        <v>959</v>
      </c>
      <c r="E161" s="14" t="s">
        <v>121</v>
      </c>
      <c r="F161" s="14">
        <v>35.0</v>
      </c>
      <c r="G161" s="14">
        <v>27.0</v>
      </c>
      <c r="H161" s="14">
        <v>370.0</v>
      </c>
      <c r="I161" s="14">
        <v>13.7</v>
      </c>
      <c r="J161" s="14">
        <v>1.0</v>
      </c>
      <c r="K161" s="20">
        <v>6.129231628459638</v>
      </c>
      <c r="L161" s="20">
        <v>44.597326078099975</v>
      </c>
      <c r="M161" s="15"/>
      <c r="N161" s="20">
        <v>6.129231628459638</v>
      </c>
      <c r="O161" s="14">
        <v>2.94</v>
      </c>
      <c r="P161" s="16">
        <v>4.09</v>
      </c>
      <c r="Q161" s="16">
        <v>3.5</v>
      </c>
      <c r="R161" s="20">
        <f t="array" ref="R161">XLOOKUP(E161, 'Conference Match'!$A$2:$A$40,'Conference Match'!$C$2:$C$40)</f>
        <v>0.9</v>
      </c>
      <c r="S161" s="20">
        <f t="shared" si="1"/>
        <v>4.086261693</v>
      </c>
      <c r="T161" s="20">
        <f t="shared" si="2"/>
        <v>29.77000489</v>
      </c>
      <c r="U161" s="20">
        <f t="shared" si="3"/>
        <v>-14.82732119</v>
      </c>
      <c r="W161" s="20">
        <f>IFERROR(__xludf.DUMMYFUNCTION("iferror(PERCENTRANK.INC(FILTER($S$3:$S$435, $P$3:$P$435&lt;3.75), $S161), 1)"),0.958)</f>
        <v>0.958</v>
      </c>
      <c r="X161" s="20">
        <f>IFERROR(__xludf.DUMMYFUNCTION("iferror(PERCENTRANK.INC(FILTER($S$3:$S$435, $P$3:$P$435&lt;4.5), $S161), 1)"),0.845)</f>
        <v>0.845</v>
      </c>
      <c r="Y161" s="20">
        <f>IFERROR(__xludf.DUMMYFUNCTION("iferror(PERCENTRANK.INC(FILTER($S$3:$S$435, $P$3:$P$435&gt;=4.1), $S161), 0.01)"),0.267)</f>
        <v>0.267</v>
      </c>
    </row>
    <row r="162" ht="14.25" customHeight="1">
      <c r="A162" s="14" t="s">
        <v>1120</v>
      </c>
      <c r="B162" s="14" t="s">
        <v>201</v>
      </c>
      <c r="C162" s="14" t="s">
        <v>959</v>
      </c>
      <c r="D162" s="14" t="s">
        <v>959</v>
      </c>
      <c r="E162" s="14" t="s">
        <v>105</v>
      </c>
      <c r="F162" s="14">
        <v>40.0</v>
      </c>
      <c r="G162" s="14">
        <v>29.0</v>
      </c>
      <c r="H162" s="14">
        <v>348.0</v>
      </c>
      <c r="I162" s="14">
        <v>12.0</v>
      </c>
      <c r="J162" s="14">
        <v>3.0</v>
      </c>
      <c r="K162" s="20">
        <v>5.951000223346508</v>
      </c>
      <c r="L162" s="20">
        <v>42.97622306702285</v>
      </c>
      <c r="M162" s="15"/>
      <c r="N162" s="20">
        <v>5.951000223346508</v>
      </c>
      <c r="O162" s="14">
        <v>2.92</v>
      </c>
      <c r="R162" s="20">
        <f t="array" ref="R162">XLOOKUP(E162, 'Conference Match'!$A$2:$A$40,'Conference Match'!$C$2:$C$40)</f>
        <v>0.9</v>
      </c>
      <c r="S162" s="20">
        <f t="shared" si="1"/>
        <v>1.65518004</v>
      </c>
      <c r="T162" s="20">
        <f t="shared" si="2"/>
        <v>5.551396311</v>
      </c>
      <c r="U162" s="20">
        <f t="shared" si="3"/>
        <v>-37.42482676</v>
      </c>
      <c r="W162" s="20">
        <f>IFERROR(__xludf.DUMMYFUNCTION("iferror(PERCENTRANK.INC(FILTER($S$3:$S$435, $P$3:$P$435&lt;3.75), $S162), 1)"),0.286)</f>
        <v>0.286</v>
      </c>
      <c r="X162" s="20">
        <f>IFERROR(__xludf.DUMMYFUNCTION("iferror(PERCENTRANK.INC(FILTER($S$3:$S$435, $P$3:$P$435&lt;4.5), $S162), 1)"),0.191)</f>
        <v>0.191</v>
      </c>
      <c r="Y162" s="20">
        <f>IFERROR(__xludf.DUMMYFUNCTION("iferror(PERCENTRANK.INC(FILTER($S$3:$S$435, $P$3:$P$435&gt;=4.1), $S162), 0.01)"),0.01)</f>
        <v>0.01</v>
      </c>
    </row>
    <row r="163" ht="14.25" customHeight="1">
      <c r="A163" s="14" t="s">
        <v>1121</v>
      </c>
      <c r="B163" s="14" t="s">
        <v>384</v>
      </c>
      <c r="C163" s="14" t="s">
        <v>959</v>
      </c>
      <c r="D163" s="14" t="s">
        <v>959</v>
      </c>
      <c r="E163" s="14" t="s">
        <v>124</v>
      </c>
      <c r="F163" s="14">
        <v>47.0</v>
      </c>
      <c r="G163" s="14">
        <v>22.0</v>
      </c>
      <c r="H163" s="14">
        <v>312.0</v>
      </c>
      <c r="I163" s="14">
        <v>14.2</v>
      </c>
      <c r="J163" s="14">
        <v>2.0</v>
      </c>
      <c r="K163" s="20">
        <v>6.08577141764755</v>
      </c>
      <c r="L163" s="20">
        <v>44.20203390966983</v>
      </c>
      <c r="M163" s="15"/>
      <c r="N163" s="20">
        <v>6.08577141764755</v>
      </c>
      <c r="O163" s="14">
        <v>2.9</v>
      </c>
      <c r="R163" s="20">
        <f t="array" ref="R163">XLOOKUP(E163, 'Conference Match'!$A$2:$A$40,'Conference Match'!$C$2:$C$40)</f>
        <v>0.9</v>
      </c>
      <c r="S163" s="20">
        <f t="shared" si="1"/>
        <v>1.675438855</v>
      </c>
      <c r="T163" s="20">
        <f t="shared" si="2"/>
        <v>5.753216069</v>
      </c>
      <c r="U163" s="20">
        <f t="shared" si="3"/>
        <v>-38.44881784</v>
      </c>
      <c r="W163" s="20">
        <f>IFERROR(__xludf.DUMMYFUNCTION("iferror(PERCENTRANK.INC(FILTER($S$3:$S$435, $P$3:$P$435&lt;3.75), $S163), 1)"),0.299)</f>
        <v>0.299</v>
      </c>
      <c r="X163" s="20">
        <f>IFERROR(__xludf.DUMMYFUNCTION("iferror(PERCENTRANK.INC(FILTER($S$3:$S$435, $P$3:$P$435&lt;4.5), $S163), 1)"),0.2)</f>
        <v>0.2</v>
      </c>
      <c r="Y163" s="20">
        <f>IFERROR(__xludf.DUMMYFUNCTION("iferror(PERCENTRANK.INC(FILTER($S$3:$S$435, $P$3:$P$435&gt;=4.1), $S163), 0.01)"),0.01)</f>
        <v>0.01</v>
      </c>
    </row>
    <row r="164" ht="14.25" customHeight="1">
      <c r="A164" s="14" t="s">
        <v>1122</v>
      </c>
      <c r="B164" s="14" t="s">
        <v>577</v>
      </c>
      <c r="C164" s="14">
        <v>9.0</v>
      </c>
      <c r="D164" s="14" t="s">
        <v>959</v>
      </c>
      <c r="E164" s="14" t="s">
        <v>144</v>
      </c>
      <c r="F164" s="14">
        <v>30.0</v>
      </c>
      <c r="G164" s="14">
        <v>20.0</v>
      </c>
      <c r="H164" s="14">
        <v>399.0</v>
      </c>
      <c r="I164" s="14">
        <v>19.9</v>
      </c>
      <c r="J164" s="14">
        <v>3.0</v>
      </c>
      <c r="K164" s="20">
        <v>8.273562188236468</v>
      </c>
      <c r="L164" s="20">
        <v>75.41649655222297</v>
      </c>
      <c r="M164" s="15"/>
      <c r="N164" s="20">
        <v>8.273562188236468</v>
      </c>
      <c r="O164" s="14">
        <v>2.89</v>
      </c>
      <c r="P164" s="20">
        <v>5.19</v>
      </c>
      <c r="Q164" s="20">
        <v>8.5</v>
      </c>
      <c r="R164" s="20">
        <f t="array" ref="R164">XLOOKUP(E164, 'Conference Match'!$A$2:$A$40,'Conference Match'!$C$2:$C$40)</f>
        <v>0.95</v>
      </c>
      <c r="S164" s="20">
        <f t="shared" si="1"/>
        <v>5.594976816</v>
      </c>
      <c r="T164" s="20">
        <f t="shared" si="2"/>
        <v>44.79993239</v>
      </c>
      <c r="U164" s="20">
        <f t="shared" si="3"/>
        <v>-30.61656416</v>
      </c>
      <c r="W164" s="20">
        <f>IFERROR(__xludf.DUMMYFUNCTION("iferror(PERCENTRANK.INC(FILTER($S$3:$S$435, $P$3:$P$435&lt;3.75), $S164), 1)"),1.0)</f>
        <v>1</v>
      </c>
      <c r="X164" s="20">
        <f>IFERROR(__xludf.DUMMYFUNCTION("iferror(PERCENTRANK.INC(FILTER($S$3:$S$435, $P$3:$P$435&lt;4.5), $S164), 1)"),0.998)</f>
        <v>0.998</v>
      </c>
      <c r="Y164" s="20">
        <f>IFERROR(__xludf.DUMMYFUNCTION("iferror(PERCENTRANK.INC(FILTER($S$3:$S$435, $P$3:$P$435&gt;=4.1), $S164), 0.01)"),0.922)</f>
        <v>0.922</v>
      </c>
    </row>
    <row r="165" ht="14.25" customHeight="1">
      <c r="A165" s="14" t="s">
        <v>1123</v>
      </c>
      <c r="B165" s="14" t="s">
        <v>525</v>
      </c>
      <c r="C165" s="14">
        <v>17.0</v>
      </c>
      <c r="D165" s="14" t="s">
        <v>959</v>
      </c>
      <c r="E165" s="14" t="s">
        <v>132</v>
      </c>
      <c r="F165" s="14">
        <v>22.0</v>
      </c>
      <c r="G165" s="14">
        <v>12.0</v>
      </c>
      <c r="H165" s="14">
        <v>167.0</v>
      </c>
      <c r="I165" s="14">
        <v>13.9</v>
      </c>
      <c r="J165" s="14">
        <v>3.0</v>
      </c>
      <c r="K165" s="20">
        <v>6.067877521029748</v>
      </c>
      <c r="L165" s="20">
        <v>49.054632524726756</v>
      </c>
      <c r="M165" s="15"/>
      <c r="N165" s="20">
        <v>6.067877521029748</v>
      </c>
      <c r="O165" s="14">
        <v>2.89</v>
      </c>
      <c r="P165" s="20">
        <v>4.17</v>
      </c>
      <c r="Q165" s="20">
        <v>2.5</v>
      </c>
      <c r="R165" s="20">
        <f t="array" ref="R165">XLOOKUP(E165, 'Conference Match'!$A$2:$A$40,'Conference Match'!$C$2:$C$40)</f>
        <v>0.95</v>
      </c>
      <c r="S165" s="20">
        <f t="shared" si="1"/>
        <v>4.065896729</v>
      </c>
      <c r="T165" s="20">
        <f t="shared" si="2"/>
        <v>29.56712766</v>
      </c>
      <c r="U165" s="20">
        <f t="shared" si="3"/>
        <v>-19.48750486</v>
      </c>
      <c r="W165" s="20">
        <f>IFERROR(__xludf.DUMMYFUNCTION("iferror(PERCENTRANK.INC(FILTER($S$3:$S$435, $P$3:$P$435&lt;3.75), $S165), 1)"),0.957)</f>
        <v>0.957</v>
      </c>
      <c r="X165" s="20">
        <f>IFERROR(__xludf.DUMMYFUNCTION("iferror(PERCENTRANK.INC(FILTER($S$3:$S$435, $P$3:$P$435&lt;4.5), $S165), 1)"),0.841)</f>
        <v>0.841</v>
      </c>
      <c r="Y165" s="20">
        <f>IFERROR(__xludf.DUMMYFUNCTION("iferror(PERCENTRANK.INC(FILTER($S$3:$S$435, $P$3:$P$435&gt;=4.1), $S165), 0.01)"),0.26)</f>
        <v>0.26</v>
      </c>
    </row>
    <row r="166" ht="14.25" customHeight="1">
      <c r="A166" s="14" t="s">
        <v>1124</v>
      </c>
      <c r="B166" s="14" t="s">
        <v>419</v>
      </c>
      <c r="C166" s="14">
        <v>9.0</v>
      </c>
      <c r="D166" s="14" t="s">
        <v>959</v>
      </c>
      <c r="E166" s="14" t="s">
        <v>117</v>
      </c>
      <c r="F166" s="14">
        <v>19.0</v>
      </c>
      <c r="G166" s="14">
        <v>10.0</v>
      </c>
      <c r="H166" s="14">
        <v>210.0</v>
      </c>
      <c r="I166" s="14">
        <v>21.0</v>
      </c>
      <c r="J166" s="14">
        <v>2.0</v>
      </c>
      <c r="K166" s="20">
        <f>0.35*LN(F166+1)+0.25*(G166/F166)+0.25*(I166)+0.1*(H166/F166)+0.2*J166</f>
        <v>7.935348401</v>
      </c>
      <c r="L166" s="20">
        <v>71.3</v>
      </c>
      <c r="M166" s="15"/>
      <c r="N166" s="20">
        <v>7.94</v>
      </c>
      <c r="O166" s="14">
        <v>2.88</v>
      </c>
      <c r="P166" s="14">
        <v>4.91</v>
      </c>
      <c r="Q166" s="14">
        <v>0.5</v>
      </c>
      <c r="R166" s="20">
        <f t="array" ref="R166">XLOOKUP(E166, 'Conference Match'!$A$2:$A$40,'Conference Match'!$C$2:$C$40)</f>
        <v>0.95</v>
      </c>
      <c r="S166" s="20">
        <f t="shared" si="1"/>
        <v>4.5896</v>
      </c>
      <c r="T166" s="20">
        <f t="shared" si="2"/>
        <v>34.78429695</v>
      </c>
      <c r="U166" s="20">
        <f t="shared" si="3"/>
        <v>-36.51570305</v>
      </c>
      <c r="W166" s="20">
        <f>IFERROR(__xludf.DUMMYFUNCTION("iferror(PERCENTRANK.INC(FILTER($S$3:$S$435, $P$3:$P$435&lt;3.75), $S166), 1)"),0.979)</f>
        <v>0.979</v>
      </c>
      <c r="X166" s="20">
        <f>IFERROR(__xludf.DUMMYFUNCTION("iferror(PERCENTRANK.INC(FILTER($S$3:$S$435, $P$3:$P$435&lt;4.5), $S166), 1)"),0.922)</f>
        <v>0.922</v>
      </c>
      <c r="Y166" s="20">
        <f>IFERROR(__xludf.DUMMYFUNCTION("iferror(PERCENTRANK.INC(FILTER($S$3:$S$435, $P$3:$P$435&gt;=4.1), $S166), 0.01)"),0.494)</f>
        <v>0.494</v>
      </c>
    </row>
    <row r="167" ht="14.25" customHeight="1">
      <c r="A167" s="14" t="s">
        <v>1125</v>
      </c>
      <c r="B167" s="14" t="s">
        <v>523</v>
      </c>
      <c r="C167" s="14" t="s">
        <v>959</v>
      </c>
      <c r="D167" s="14" t="s">
        <v>959</v>
      </c>
      <c r="E167" s="14" t="s">
        <v>189</v>
      </c>
      <c r="F167" s="14">
        <v>35.0</v>
      </c>
      <c r="G167" s="14">
        <v>20.0</v>
      </c>
      <c r="H167" s="14">
        <v>290.0</v>
      </c>
      <c r="I167" s="14">
        <v>14.5</v>
      </c>
      <c r="J167" s="14">
        <v>2.0</v>
      </c>
      <c r="K167" s="20">
        <v>6.250660199888211</v>
      </c>
      <c r="L167" s="20">
        <v>45.70177914936824</v>
      </c>
      <c r="M167" s="15"/>
      <c r="N167" s="20">
        <v>6.250660199888211</v>
      </c>
      <c r="O167" s="14">
        <v>2.87</v>
      </c>
      <c r="P167" s="14">
        <v>5.24</v>
      </c>
      <c r="Q167" s="14">
        <v>1.0</v>
      </c>
      <c r="R167" s="20">
        <f t="array" ref="R167">XLOOKUP(E167, 'Conference Match'!$A$2:$A$40,'Conference Match'!$C$2:$C$40)</f>
        <v>0.9</v>
      </c>
      <c r="S167" s="20">
        <f t="shared" si="1"/>
        <v>4.419118836</v>
      </c>
      <c r="T167" s="20">
        <f t="shared" si="2"/>
        <v>33.08595145</v>
      </c>
      <c r="U167" s="20">
        <f t="shared" si="3"/>
        <v>-12.6158277</v>
      </c>
      <c r="W167" s="20">
        <f>IFERROR(__xludf.DUMMYFUNCTION("iferror(PERCENTRANK.INC(FILTER($S$3:$S$435, $P$3:$P$435&lt;3.75), $S167), 1)"),0.974)</f>
        <v>0.974</v>
      </c>
      <c r="X167" s="20">
        <f>IFERROR(__xludf.DUMMYFUNCTION("iferror(PERCENTRANK.INC(FILTER($S$3:$S$435, $P$3:$P$435&lt;4.5), $S167), 1)"),0.895)</f>
        <v>0.895</v>
      </c>
      <c r="Y167" s="20">
        <f>IFERROR(__xludf.DUMMYFUNCTION("iferror(PERCENTRANK.INC(FILTER($S$3:$S$435, $P$3:$P$435&gt;=4.1), $S167), 0.01)"),0.377)</f>
        <v>0.377</v>
      </c>
    </row>
    <row r="168" ht="14.25" customHeight="1">
      <c r="A168" s="14" t="s">
        <v>1126</v>
      </c>
      <c r="B168" s="14" t="s">
        <v>355</v>
      </c>
      <c r="C168" s="14">
        <v>3.0</v>
      </c>
      <c r="D168" s="14" t="s">
        <v>959</v>
      </c>
      <c r="E168" s="14" t="s">
        <v>117</v>
      </c>
      <c r="F168" s="14">
        <v>52.0</v>
      </c>
      <c r="G168" s="14">
        <v>29.0</v>
      </c>
      <c r="H168" s="14">
        <v>355.0</v>
      </c>
      <c r="I168" s="14">
        <v>12.2</v>
      </c>
      <c r="J168" s="14">
        <v>3.0</v>
      </c>
      <c r="K168" s="20">
        <v>5.861717554358627</v>
      </c>
      <c r="L168" s="20">
        <v>46.59065338478023</v>
      </c>
      <c r="M168" s="15"/>
      <c r="N168" s="20">
        <v>5.861717554358627</v>
      </c>
      <c r="O168" s="14">
        <v>2.85</v>
      </c>
      <c r="P168" s="20">
        <v>4.84</v>
      </c>
      <c r="Q168" s="20">
        <v>-5.0</v>
      </c>
      <c r="R168" s="20">
        <f t="array" ref="R168">XLOOKUP(E168, 'Conference Match'!$A$2:$A$40,'Conference Match'!$C$2:$C$40)</f>
        <v>0.95</v>
      </c>
      <c r="S168" s="20">
        <f t="shared" si="1"/>
        <v>3.603726335</v>
      </c>
      <c r="T168" s="20">
        <f t="shared" si="2"/>
        <v>24.96295328</v>
      </c>
      <c r="U168" s="20">
        <f t="shared" si="3"/>
        <v>-21.6277001</v>
      </c>
      <c r="W168" s="20">
        <f>IFERROR(__xludf.DUMMYFUNCTION("iferror(PERCENTRANK.INC(FILTER($S$3:$S$435, $P$3:$P$435&lt;3.75), $S168), 1)"),0.859)</f>
        <v>0.859</v>
      </c>
      <c r="X168" s="20">
        <f>IFERROR(__xludf.DUMMYFUNCTION("iferror(PERCENTRANK.INC(FILTER($S$3:$S$435, $P$3:$P$435&lt;4.5), $S168), 1)"),0.67)</f>
        <v>0.67</v>
      </c>
      <c r="Y168" s="20">
        <f>IFERROR(__xludf.DUMMYFUNCTION("iferror(PERCENTRANK.INC(FILTER($S$3:$S$435, $P$3:$P$435&gt;=4.1), $S168), 0.01)"),0.078)</f>
        <v>0.078</v>
      </c>
    </row>
    <row r="169" ht="14.25" customHeight="1">
      <c r="A169" s="14" t="s">
        <v>1127</v>
      </c>
      <c r="B169" s="14" t="s">
        <v>176</v>
      </c>
      <c r="C169" s="14" t="s">
        <v>959</v>
      </c>
      <c r="D169" s="14" t="s">
        <v>959</v>
      </c>
      <c r="E169" s="14" t="s">
        <v>114</v>
      </c>
      <c r="F169" s="14">
        <v>75.0</v>
      </c>
      <c r="G169" s="14">
        <v>48.0</v>
      </c>
      <c r="H169" s="14">
        <v>642.0</v>
      </c>
      <c r="I169" s="14">
        <v>13.4</v>
      </c>
      <c r="J169" s="14">
        <v>6.0</v>
      </c>
      <c r="K169" s="20">
        <v>7.081756669100216</v>
      </c>
      <c r="L169" s="20">
        <v>53.26101366182678</v>
      </c>
      <c r="M169" s="15"/>
      <c r="N169" s="20">
        <v>7.081756669100216</v>
      </c>
      <c r="O169" s="14">
        <v>2.81</v>
      </c>
      <c r="P169" s="16">
        <v>4.76</v>
      </c>
      <c r="Q169" s="51">
        <v>5.5</v>
      </c>
      <c r="R169" s="20">
        <f t="array" ref="R169">XLOOKUP(E169, 'Conference Match'!$A$2:$A$40,'Conference Match'!$C$2:$C$40)</f>
        <v>0.9</v>
      </c>
      <c r="S169" s="20">
        <f t="shared" si="1"/>
        <v>4.7667162</v>
      </c>
      <c r="T169" s="20">
        <f t="shared" si="2"/>
        <v>36.54874115</v>
      </c>
      <c r="U169" s="20">
        <f t="shared" si="3"/>
        <v>-16.71227251</v>
      </c>
      <c r="W169" s="20">
        <f>IFERROR(__xludf.DUMMYFUNCTION("iferror(PERCENTRANK.INC(FILTER($S$3:$S$435, $P$3:$P$435&lt;3.75), $S169), 1)"),0.987)</f>
        <v>0.987</v>
      </c>
      <c r="X169" s="20">
        <f>IFERROR(__xludf.DUMMYFUNCTION("iferror(PERCENTRANK.INC(FILTER($S$3:$S$435, $P$3:$P$435&lt;4.5), $S169), 1)"),0.95)</f>
        <v>0.95</v>
      </c>
      <c r="Y169" s="20">
        <f>IFERROR(__xludf.DUMMYFUNCTION("iferror(PERCENTRANK.INC(FILTER($S$3:$S$435, $P$3:$P$435&gt;=4.1), $S169), 0.01)"),0.649)</f>
        <v>0.649</v>
      </c>
    </row>
    <row r="170" ht="14.25" customHeight="1">
      <c r="A170" s="14" t="s">
        <v>1128</v>
      </c>
      <c r="B170" s="14" t="s">
        <v>333</v>
      </c>
      <c r="C170" s="14">
        <v>2.0</v>
      </c>
      <c r="D170" s="14" t="s">
        <v>959</v>
      </c>
      <c r="E170" s="14" t="s">
        <v>147</v>
      </c>
      <c r="F170" s="14">
        <v>38.0</v>
      </c>
      <c r="G170" s="14">
        <v>19.0</v>
      </c>
      <c r="H170" s="14">
        <v>263.0</v>
      </c>
      <c r="I170" s="14">
        <v>13.8</v>
      </c>
      <c r="J170" s="14">
        <v>1.0</v>
      </c>
      <c r="K170" s="20">
        <v>5.749351839303272</v>
      </c>
      <c r="L170" s="20">
        <v>45.24768276632236</v>
      </c>
      <c r="M170" s="15"/>
      <c r="N170" s="20">
        <v>5.749351839303272</v>
      </c>
      <c r="O170" s="14">
        <v>2.81</v>
      </c>
      <c r="R170" s="20">
        <f t="array" ref="R170">XLOOKUP(E170, 'Conference Match'!$A$2:$A$40,'Conference Match'!$C$2:$C$40)</f>
        <v>0.95</v>
      </c>
      <c r="S170" s="20">
        <f t="shared" si="1"/>
        <v>1.654376849</v>
      </c>
      <c r="T170" s="20">
        <f t="shared" si="2"/>
        <v>5.543394868</v>
      </c>
      <c r="U170" s="20">
        <f t="shared" si="3"/>
        <v>-39.7042879</v>
      </c>
      <c r="W170" s="20">
        <f>IFERROR(__xludf.DUMMYFUNCTION("iferror(PERCENTRANK.INC(FILTER($S$3:$S$435, $P$3:$P$435&lt;3.75), $S170), 1)"),0.279)</f>
        <v>0.279</v>
      </c>
      <c r="X170" s="20">
        <f>IFERROR(__xludf.DUMMYFUNCTION("iferror(PERCENTRANK.INC(FILTER($S$3:$S$435, $P$3:$P$435&lt;4.5), $S170), 1)"),0.186)</f>
        <v>0.186</v>
      </c>
      <c r="Y170" s="20">
        <f>IFERROR(__xludf.DUMMYFUNCTION("iferror(PERCENTRANK.INC(FILTER($S$3:$S$435, $P$3:$P$435&gt;=4.1), $S170), 0.01)"),0.01)</f>
        <v>0.01</v>
      </c>
    </row>
    <row r="171" ht="14.25" customHeight="1">
      <c r="A171" s="17" t="s">
        <v>1129</v>
      </c>
      <c r="B171" s="17" t="s">
        <v>562</v>
      </c>
      <c r="C171" s="18">
        <v>7.0</v>
      </c>
      <c r="D171" s="17" t="s">
        <v>959</v>
      </c>
      <c r="E171" s="17" t="s">
        <v>135</v>
      </c>
      <c r="F171" s="18">
        <v>33.0</v>
      </c>
      <c r="G171" s="18">
        <v>12.0</v>
      </c>
      <c r="H171" s="18">
        <v>244.0</v>
      </c>
      <c r="I171" s="18">
        <v>20.3</v>
      </c>
      <c r="J171" s="18">
        <v>1.0</v>
      </c>
      <c r="K171" s="22">
        <v>7.34</v>
      </c>
      <c r="L171" s="22">
        <v>52.6</v>
      </c>
      <c r="M171" s="15"/>
      <c r="N171" s="38">
        <v>7.34</v>
      </c>
      <c r="O171" s="16">
        <v>2.76</v>
      </c>
      <c r="P171" s="16">
        <v>3.91</v>
      </c>
      <c r="Q171" s="16">
        <v>-1.5</v>
      </c>
      <c r="R171" s="20">
        <f t="array" ref="R171">XLOOKUP(E171, 'Conference Match'!$A$2:$A$40,'Conference Match'!$C$2:$C$40)</f>
        <v>1</v>
      </c>
      <c r="S171" s="20">
        <f t="shared" si="1"/>
        <v>3.825</v>
      </c>
      <c r="T171" s="20">
        <f t="shared" si="2"/>
        <v>27.16729729</v>
      </c>
      <c r="U171" s="20">
        <f t="shared" si="3"/>
        <v>-25.43270271</v>
      </c>
      <c r="V171" s="52"/>
      <c r="W171" s="20">
        <f>IFERROR(__xludf.DUMMYFUNCTION("iferror(PERCENTRANK.INC(FILTER($S$3:$S$435, $P$3:$P$435&lt;3.75), $S171), 1)"),0.904)</f>
        <v>0.904</v>
      </c>
      <c r="X171" s="20">
        <f>IFERROR(__xludf.DUMMYFUNCTION("iferror(PERCENTRANK.INC(FILTER($S$3:$S$435, $P$3:$P$435&lt;4.5), $S171), 1)"),0.745)</f>
        <v>0.745</v>
      </c>
      <c r="Y171" s="20">
        <f>IFERROR(__xludf.DUMMYFUNCTION("iferror(PERCENTRANK.INC(FILTER($S$3:$S$435, $P$3:$P$435&gt;=4.1), $S171), 0.01)"),0.186)</f>
        <v>0.186</v>
      </c>
    </row>
    <row r="172" ht="14.25" customHeight="1">
      <c r="A172" s="14" t="s">
        <v>1130</v>
      </c>
      <c r="B172" s="14" t="s">
        <v>662</v>
      </c>
      <c r="C172" s="14" t="s">
        <v>959</v>
      </c>
      <c r="D172" s="14" t="s">
        <v>959</v>
      </c>
      <c r="E172" s="14" t="s">
        <v>114</v>
      </c>
      <c r="F172" s="14">
        <v>32.0</v>
      </c>
      <c r="G172" s="14">
        <v>19.0</v>
      </c>
      <c r="H172" s="14">
        <v>230.0</v>
      </c>
      <c r="I172" s="14">
        <v>12.1</v>
      </c>
      <c r="J172" s="14">
        <v>4.0</v>
      </c>
      <c r="K172" s="20">
        <v>5.915965146513268</v>
      </c>
      <c r="L172" s="20">
        <v>42.65756166999445</v>
      </c>
      <c r="M172" s="15"/>
      <c r="N172" s="20">
        <v>5.915965146513268</v>
      </c>
      <c r="O172" s="14">
        <v>2.76</v>
      </c>
      <c r="R172" s="20">
        <f t="array" ref="R172">XLOOKUP(E172, 'Conference Match'!$A$2:$A$40,'Conference Match'!$C$2:$C$40)</f>
        <v>0.9</v>
      </c>
      <c r="S172" s="20">
        <f t="shared" si="1"/>
        <v>1.616873726</v>
      </c>
      <c r="T172" s="20">
        <f t="shared" si="2"/>
        <v>5.169786084</v>
      </c>
      <c r="U172" s="20">
        <f t="shared" si="3"/>
        <v>-37.48777559</v>
      </c>
      <c r="W172" s="20">
        <f>IFERROR(__xludf.DUMMYFUNCTION("iferror(PERCENTRANK.INC(FILTER($S$3:$S$435, $P$3:$P$435&lt;3.75), $S172), 1)"),0.259)</f>
        <v>0.259</v>
      </c>
      <c r="X172" s="20">
        <f>IFERROR(__xludf.DUMMYFUNCTION("iferror(PERCENTRANK.INC(FILTER($S$3:$S$435, $P$3:$P$435&lt;4.5), $S172), 1)"),0.173)</f>
        <v>0.173</v>
      </c>
      <c r="Y172" s="20">
        <f>IFERROR(__xludf.DUMMYFUNCTION("iferror(PERCENTRANK.INC(FILTER($S$3:$S$435, $P$3:$P$435&gt;=4.1), $S172), 0.01)"),0.01)</f>
        <v>0.01</v>
      </c>
    </row>
    <row r="173" ht="14.25" customHeight="1">
      <c r="A173" s="14" t="s">
        <v>1131</v>
      </c>
      <c r="B173" s="14" t="s">
        <v>469</v>
      </c>
      <c r="C173" s="14" t="s">
        <v>959</v>
      </c>
      <c r="D173" s="14" t="s">
        <v>959</v>
      </c>
      <c r="E173" s="14" t="s">
        <v>210</v>
      </c>
      <c r="F173" s="14">
        <v>56.0</v>
      </c>
      <c r="G173" s="14">
        <v>39.0</v>
      </c>
      <c r="H173" s="14">
        <v>464.0</v>
      </c>
      <c r="I173" s="14">
        <v>11.9</v>
      </c>
      <c r="J173" s="14">
        <v>2.0</v>
      </c>
      <c r="K173" s="20">
        <v>5.7927465151706645</v>
      </c>
      <c r="L173" s="20">
        <v>41.536827116151336</v>
      </c>
      <c r="M173" s="15"/>
      <c r="N173" s="20">
        <v>5.7927465151706645</v>
      </c>
      <c r="O173" s="14">
        <v>2.75</v>
      </c>
      <c r="R173" s="20">
        <f t="array" ref="R173">XLOOKUP(E173, 'Conference Match'!$A$2:$A$40,'Conference Match'!$C$2:$C$40)</f>
        <v>0.9</v>
      </c>
      <c r="S173" s="20">
        <f t="shared" si="1"/>
        <v>1.592694373</v>
      </c>
      <c r="T173" s="20">
        <f t="shared" si="2"/>
        <v>4.928909641</v>
      </c>
      <c r="U173" s="20">
        <f t="shared" si="3"/>
        <v>-36.60791747</v>
      </c>
      <c r="W173" s="20">
        <f>IFERROR(__xludf.DUMMYFUNCTION("iferror(PERCENTRANK.INC(FILTER($S$3:$S$435, $P$3:$P$435&lt;3.75), $S173), 1)"),0.252)</f>
        <v>0.252</v>
      </c>
      <c r="X173" s="20">
        <f>IFERROR(__xludf.DUMMYFUNCTION("iferror(PERCENTRANK.INC(FILTER($S$3:$S$435, $P$3:$P$435&lt;4.5), $S173), 1)"),0.168)</f>
        <v>0.168</v>
      </c>
      <c r="Y173" s="20">
        <f>IFERROR(__xludf.DUMMYFUNCTION("iferror(PERCENTRANK.INC(FILTER($S$3:$S$435, $P$3:$P$435&gt;=4.1), $S173), 0.01)"),0.01)</f>
        <v>0.01</v>
      </c>
    </row>
    <row r="174" ht="14.25" customHeight="1">
      <c r="A174" s="14" t="s">
        <v>1132</v>
      </c>
      <c r="B174" s="14" t="s">
        <v>427</v>
      </c>
      <c r="C174" s="14" t="s">
        <v>959</v>
      </c>
      <c r="D174" s="14" t="s">
        <v>959</v>
      </c>
      <c r="E174" s="14" t="s">
        <v>124</v>
      </c>
      <c r="F174" s="14">
        <v>24.0</v>
      </c>
      <c r="G174" s="14">
        <v>12.0</v>
      </c>
      <c r="H174" s="14">
        <v>228.0</v>
      </c>
      <c r="I174" s="14">
        <v>19.0</v>
      </c>
      <c r="J174" s="14">
        <v>2.0</v>
      </c>
      <c r="K174" s="20">
        <v>7.35160653870387</v>
      </c>
      <c r="L174" s="20">
        <v>55.715432039304005</v>
      </c>
      <c r="M174" s="15"/>
      <c r="N174" s="20">
        <v>7.35160653870387</v>
      </c>
      <c r="O174" s="14">
        <v>2.73</v>
      </c>
      <c r="P174" s="20">
        <v>3.97</v>
      </c>
      <c r="Q174" s="20">
        <v>0.0</v>
      </c>
      <c r="R174" s="20">
        <f t="array" ref="R174">XLOOKUP(E174, 'Conference Match'!$A$2:$A$40,'Conference Match'!$C$2:$C$40)</f>
        <v>0.9</v>
      </c>
      <c r="S174" s="20">
        <f t="shared" si="1"/>
        <v>3.854289177</v>
      </c>
      <c r="T174" s="20">
        <f t="shared" si="2"/>
        <v>27.45907816</v>
      </c>
      <c r="U174" s="20">
        <f t="shared" si="3"/>
        <v>-28.25635388</v>
      </c>
      <c r="W174" s="20">
        <f>IFERROR(__xludf.DUMMYFUNCTION("iferror(PERCENTRANK.INC(FILTER($S$3:$S$435, $P$3:$P$435&lt;3.75), $S174), 1)"),0.916)</f>
        <v>0.916</v>
      </c>
      <c r="X174" s="20">
        <f>IFERROR(__xludf.DUMMYFUNCTION("iferror(PERCENTRANK.INC(FILTER($S$3:$S$435, $P$3:$P$435&lt;4.5), $S174), 1)"),0.759)</f>
        <v>0.759</v>
      </c>
      <c r="Y174" s="20">
        <f>IFERROR(__xludf.DUMMYFUNCTION("iferror(PERCENTRANK.INC(FILTER($S$3:$S$435, $P$3:$P$435&gt;=4.1), $S174), 0.01)"),0.19)</f>
        <v>0.19</v>
      </c>
    </row>
    <row r="175" ht="14.25" customHeight="1">
      <c r="A175" s="14" t="s">
        <v>1133</v>
      </c>
      <c r="B175" s="14" t="s">
        <v>321</v>
      </c>
      <c r="C175" s="14" t="s">
        <v>959</v>
      </c>
      <c r="D175" s="14" t="s">
        <v>959</v>
      </c>
      <c r="E175" s="14" t="s">
        <v>102</v>
      </c>
      <c r="F175" s="14">
        <v>35.0</v>
      </c>
      <c r="G175" s="14">
        <v>21.0</v>
      </c>
      <c r="H175" s="14">
        <v>346.0</v>
      </c>
      <c r="I175" s="14">
        <v>16.5</v>
      </c>
      <c r="J175" s="14">
        <v>3.0</v>
      </c>
      <c r="K175" s="20">
        <v>7.117803057031066</v>
      </c>
      <c r="L175" s="20">
        <v>53.58887343477794</v>
      </c>
      <c r="M175" s="15"/>
      <c r="N175" s="20">
        <v>7.117803057031066</v>
      </c>
      <c r="O175" s="14">
        <v>2.73</v>
      </c>
      <c r="P175" s="20">
        <v>3.31</v>
      </c>
      <c r="Q175" s="20">
        <v>-3.5</v>
      </c>
      <c r="R175" s="20">
        <f t="array" ref="R175">XLOOKUP(E175, 'Conference Match'!$A$2:$A$40,'Conference Match'!$C$2:$C$40)</f>
        <v>0.9</v>
      </c>
      <c r="S175" s="20">
        <f t="shared" si="1"/>
        <v>3.13220455</v>
      </c>
      <c r="T175" s="20">
        <f t="shared" si="2"/>
        <v>20.26561968</v>
      </c>
      <c r="U175" s="20">
        <f t="shared" si="3"/>
        <v>-33.32325376</v>
      </c>
      <c r="W175" s="20">
        <f>IFERROR(__xludf.DUMMYFUNCTION("iferror(PERCENTRANK.INC(FILTER($S$3:$S$435, $P$3:$P$435&lt;3.75), $S175), 1)"),0.673)</f>
        <v>0.673</v>
      </c>
      <c r="X175" s="20">
        <f>IFERROR(__xludf.DUMMYFUNCTION("iferror(PERCENTRANK.INC(FILTER($S$3:$S$435, $P$3:$P$435&lt;4.5), $S175), 1)"),0.486)</f>
        <v>0.486</v>
      </c>
      <c r="Y175" s="20">
        <f>IFERROR(__xludf.DUMMYFUNCTION("iferror(PERCENTRANK.INC(FILTER($S$3:$S$435, $P$3:$P$435&gt;=4.1), $S175), 0.01)"),0.014)</f>
        <v>0.014</v>
      </c>
    </row>
    <row r="176" ht="14.25" customHeight="1">
      <c r="A176" s="14" t="s">
        <v>1134</v>
      </c>
      <c r="B176" s="14" t="s">
        <v>477</v>
      </c>
      <c r="C176" s="14" t="s">
        <v>959</v>
      </c>
      <c r="D176" s="14" t="s">
        <v>959</v>
      </c>
      <c r="E176" s="14" t="s">
        <v>179</v>
      </c>
      <c r="F176" s="14">
        <v>35.0</v>
      </c>
      <c r="G176" s="14">
        <v>13.0</v>
      </c>
      <c r="H176" s="14">
        <v>226.0</v>
      </c>
      <c r="I176" s="14">
        <v>17.4</v>
      </c>
      <c r="J176" s="14">
        <v>2.0</v>
      </c>
      <c r="K176" s="20">
        <v>6.742803057031067</v>
      </c>
      <c r="L176" s="20">
        <v>50.17806247939071</v>
      </c>
      <c r="M176" s="15"/>
      <c r="N176" s="20">
        <v>6.742803057031067</v>
      </c>
      <c r="O176" s="14">
        <v>2.69</v>
      </c>
      <c r="R176" s="20">
        <f t="array" ref="R176">XLOOKUP(E176, 'Conference Match'!$A$2:$A$40,'Conference Match'!$C$2:$C$40)</f>
        <v>0.9</v>
      </c>
      <c r="S176" s="20">
        <f t="shared" si="1"/>
        <v>1.75170455</v>
      </c>
      <c r="T176" s="20">
        <f t="shared" si="2"/>
        <v>6.512980355</v>
      </c>
      <c r="U176" s="20">
        <f t="shared" si="3"/>
        <v>-43.66508212</v>
      </c>
      <c r="W176" s="20">
        <f>IFERROR(__xludf.DUMMYFUNCTION("iferror(PERCENTRANK.INC(FILTER($S$3:$S$435, $P$3:$P$435&lt;3.75), $S176), 1)"),0.354)</f>
        <v>0.354</v>
      </c>
      <c r="X176" s="20">
        <f>IFERROR(__xludf.DUMMYFUNCTION("iferror(PERCENTRANK.INC(FILTER($S$3:$S$435, $P$3:$P$435&lt;4.5), $S176), 1)"),0.236)</f>
        <v>0.236</v>
      </c>
      <c r="Y176" s="20">
        <f>IFERROR(__xludf.DUMMYFUNCTION("iferror(PERCENTRANK.INC(FILTER($S$3:$S$435, $P$3:$P$435&gt;=4.1), $S176), 0.01)"),0.01)</f>
        <v>0.01</v>
      </c>
    </row>
    <row r="177" ht="14.25" customHeight="1">
      <c r="A177" s="14" t="s">
        <v>1135</v>
      </c>
      <c r="B177" s="14" t="s">
        <v>297</v>
      </c>
      <c r="C177" s="14" t="s">
        <v>959</v>
      </c>
      <c r="D177" s="14" t="s">
        <v>959</v>
      </c>
      <c r="E177" s="14" t="s">
        <v>114</v>
      </c>
      <c r="F177" s="14">
        <v>35.0</v>
      </c>
      <c r="G177" s="14">
        <v>23.0</v>
      </c>
      <c r="H177" s="14">
        <v>380.0</v>
      </c>
      <c r="I177" s="14">
        <v>16.5</v>
      </c>
      <c r="J177" s="14">
        <v>2.0</v>
      </c>
      <c r="K177" s="20">
        <v>7.029231628459639</v>
      </c>
      <c r="L177" s="20">
        <v>52.783272371029355</v>
      </c>
      <c r="M177" s="15"/>
      <c r="N177" s="20">
        <v>7.029231628459639</v>
      </c>
      <c r="O177" s="14">
        <v>2.68</v>
      </c>
      <c r="R177" s="20">
        <f t="array" ref="R177">XLOOKUP(E177, 'Conference Match'!$A$2:$A$40,'Conference Match'!$C$2:$C$40)</f>
        <v>0.9</v>
      </c>
      <c r="S177" s="20">
        <f t="shared" si="1"/>
        <v>1.801261693</v>
      </c>
      <c r="T177" s="20">
        <f t="shared" si="2"/>
        <v>7.006672142</v>
      </c>
      <c r="U177" s="20">
        <f t="shared" si="3"/>
        <v>-45.77660023</v>
      </c>
      <c r="W177" s="20">
        <f>IFERROR(__xludf.DUMMYFUNCTION("iferror(PERCENTRANK.INC(FILTER($S$3:$S$435, $P$3:$P$435&lt;3.75), $S177), 1)"),0.395)</f>
        <v>0.395</v>
      </c>
      <c r="X177" s="20">
        <f>IFERROR(__xludf.DUMMYFUNCTION("iferror(PERCENTRANK.INC(FILTER($S$3:$S$435, $P$3:$P$435&lt;4.5), $S177), 1)"),0.264)</f>
        <v>0.264</v>
      </c>
      <c r="Y177" s="20">
        <f>IFERROR(__xludf.DUMMYFUNCTION("iferror(PERCENTRANK.INC(FILTER($S$3:$S$435, $P$3:$P$435&gt;=4.1), $S177), 0.01)"),0.01)</f>
        <v>0.01</v>
      </c>
    </row>
    <row r="178" ht="14.25" customHeight="1">
      <c r="A178" s="14" t="s">
        <v>1136</v>
      </c>
      <c r="B178" s="14" t="s">
        <v>531</v>
      </c>
      <c r="C178" s="14" t="s">
        <v>959</v>
      </c>
      <c r="D178" s="14" t="s">
        <v>959</v>
      </c>
      <c r="E178" s="14" t="s">
        <v>114</v>
      </c>
      <c r="F178" s="14">
        <v>19.0</v>
      </c>
      <c r="G178" s="14">
        <v>9.0</v>
      </c>
      <c r="H178" s="14">
        <v>154.0</v>
      </c>
      <c r="I178" s="14">
        <v>17.1</v>
      </c>
      <c r="J178" s="14">
        <v>0.0</v>
      </c>
      <c r="K178" s="20">
        <v>6.25245366416495</v>
      </c>
      <c r="L178" s="20">
        <v>45.7180915963101</v>
      </c>
      <c r="M178" s="15"/>
      <c r="N178" s="20">
        <v>6.25245366416495</v>
      </c>
      <c r="O178" s="14">
        <v>2.68</v>
      </c>
      <c r="R178" s="20">
        <f t="array" ref="R178">XLOOKUP(E178, 'Conference Match'!$A$2:$A$40,'Conference Match'!$C$2:$C$40)</f>
        <v>0.9</v>
      </c>
      <c r="S178" s="20">
        <f t="shared" si="1"/>
        <v>1.66144166</v>
      </c>
      <c r="T178" s="20">
        <f t="shared" si="2"/>
        <v>5.613775009</v>
      </c>
      <c r="U178" s="20">
        <f t="shared" si="3"/>
        <v>-40.10431659</v>
      </c>
      <c r="W178" s="20">
        <f>IFERROR(__xludf.DUMMYFUNCTION("iferror(PERCENTRANK.INC(FILTER($S$3:$S$435, $P$3:$P$435&lt;3.75), $S178), 1)"),0.293)</f>
        <v>0.293</v>
      </c>
      <c r="X178" s="20">
        <f>IFERROR(__xludf.DUMMYFUNCTION("iferror(PERCENTRANK.INC(FILTER($S$3:$S$435, $P$3:$P$435&lt;4.5), $S178), 1)"),0.195)</f>
        <v>0.195</v>
      </c>
      <c r="Y178" s="20">
        <f>IFERROR(__xludf.DUMMYFUNCTION("iferror(PERCENTRANK.INC(FILTER($S$3:$S$435, $P$3:$P$435&gt;=4.1), $S178), 0.01)"),0.01)</f>
        <v>0.01</v>
      </c>
    </row>
    <row r="179" ht="14.25" customHeight="1">
      <c r="A179" s="14" t="s">
        <v>1137</v>
      </c>
      <c r="B179" s="14" t="s">
        <v>484</v>
      </c>
      <c r="C179" s="14" t="s">
        <v>959</v>
      </c>
      <c r="D179" s="14" t="s">
        <v>959</v>
      </c>
      <c r="E179" s="14" t="s">
        <v>114</v>
      </c>
      <c r="F179" s="14">
        <v>49.0</v>
      </c>
      <c r="G179" s="14">
        <v>32.0</v>
      </c>
      <c r="H179" s="14">
        <v>340.0</v>
      </c>
      <c r="I179" s="14">
        <v>10.6</v>
      </c>
      <c r="J179" s="14">
        <v>4.0</v>
      </c>
      <c r="K179" s="20">
        <v>5.676350909042708</v>
      </c>
      <c r="L179" s="20">
        <v>40.4781513600442</v>
      </c>
      <c r="M179" s="15"/>
      <c r="N179" s="20">
        <v>5.676350909042708</v>
      </c>
      <c r="O179" s="14">
        <v>2.68</v>
      </c>
      <c r="R179" s="20">
        <f t="array" ref="R179">XLOOKUP(E179, 'Conference Match'!$A$2:$A$40,'Conference Match'!$C$2:$C$40)</f>
        <v>0.9</v>
      </c>
      <c r="S179" s="20">
        <f t="shared" si="1"/>
        <v>1.557743164</v>
      </c>
      <c r="T179" s="20">
        <f t="shared" si="2"/>
        <v>4.580723207</v>
      </c>
      <c r="U179" s="20">
        <f t="shared" si="3"/>
        <v>-35.89742815</v>
      </c>
      <c r="W179" s="20">
        <f>IFERROR(__xludf.DUMMYFUNCTION("iferror(PERCENTRANK.INC(FILTER($S$3:$S$435, $P$3:$P$435&lt;3.75), $S179), 1)"),0.231)</f>
        <v>0.231</v>
      </c>
      <c r="X179" s="20">
        <f>IFERROR(__xludf.DUMMYFUNCTION("iferror(PERCENTRANK.INC(FILTER($S$3:$S$435, $P$3:$P$435&lt;4.5), $S179), 1)"),0.155)</f>
        <v>0.155</v>
      </c>
      <c r="Y179" s="20">
        <f>IFERROR(__xludf.DUMMYFUNCTION("iferror(PERCENTRANK.INC(FILTER($S$3:$S$435, $P$3:$P$435&gt;=4.1), $S179), 0.01)"),0.01)</f>
        <v>0.01</v>
      </c>
    </row>
    <row r="180" ht="14.25" customHeight="1">
      <c r="A180" s="14" t="s">
        <v>1138</v>
      </c>
      <c r="B180" s="14" t="s">
        <v>437</v>
      </c>
      <c r="C180" s="14" t="s">
        <v>959</v>
      </c>
      <c r="D180" s="14" t="s">
        <v>959</v>
      </c>
      <c r="E180" s="14" t="s">
        <v>127</v>
      </c>
      <c r="F180" s="14">
        <v>20.0</v>
      </c>
      <c r="G180" s="14">
        <v>7.0</v>
      </c>
      <c r="H180" s="14">
        <v>197.0</v>
      </c>
      <c r="I180" s="14">
        <v>28.1</v>
      </c>
      <c r="J180" s="14">
        <v>2.0</v>
      </c>
      <c r="K180" s="20">
        <v>9.563082853203198</v>
      </c>
      <c r="L180" s="20">
        <v>75.82990574883385</v>
      </c>
      <c r="M180" s="15"/>
      <c r="N180" s="20">
        <v>9.563082853203198</v>
      </c>
      <c r="O180" s="14">
        <v>2.67</v>
      </c>
      <c r="P180" s="20">
        <v>3.37</v>
      </c>
      <c r="Q180" s="20">
        <v>-5.0</v>
      </c>
      <c r="R180" s="20">
        <f t="array" ref="R180">XLOOKUP(E180, 'Conference Match'!$A$2:$A$40,'Conference Match'!$C$2:$C$40)</f>
        <v>0.9</v>
      </c>
      <c r="S180" s="20">
        <f t="shared" si="1"/>
        <v>3.440354914</v>
      </c>
      <c r="T180" s="20">
        <f t="shared" si="2"/>
        <v>23.33543554</v>
      </c>
      <c r="U180" s="20">
        <f t="shared" si="3"/>
        <v>-52.4944702</v>
      </c>
      <c r="W180" s="20">
        <f>IFERROR(__xludf.DUMMYFUNCTION("iferror(PERCENTRANK.INC(FILTER($S$3:$S$435, $P$3:$P$435&lt;3.75), $S180), 1)"),0.796)</f>
        <v>0.796</v>
      </c>
      <c r="X180" s="20">
        <f>IFERROR(__xludf.DUMMYFUNCTION("iferror(PERCENTRANK.INC(FILTER($S$3:$S$435, $P$3:$P$435&lt;4.5), $S180), 1)"),0.595)</f>
        <v>0.595</v>
      </c>
      <c r="Y180" s="20">
        <f>IFERROR(__xludf.DUMMYFUNCTION("iferror(PERCENTRANK.INC(FILTER($S$3:$S$435, $P$3:$P$435&gt;=4.1), $S180), 0.01)"),0.046)</f>
        <v>0.046</v>
      </c>
    </row>
    <row r="181" ht="14.25" customHeight="1">
      <c r="A181" s="14" t="s">
        <v>1139</v>
      </c>
      <c r="B181" s="14" t="s">
        <v>597</v>
      </c>
      <c r="C181" s="14" t="s">
        <v>959</v>
      </c>
      <c r="D181" s="14" t="s">
        <v>959</v>
      </c>
      <c r="E181" s="14" t="s">
        <v>121</v>
      </c>
      <c r="F181" s="14">
        <v>39.0</v>
      </c>
      <c r="G181" s="14">
        <v>23.0</v>
      </c>
      <c r="H181" s="14">
        <v>369.0</v>
      </c>
      <c r="I181" s="14">
        <v>16.0</v>
      </c>
      <c r="J181" s="14">
        <v>2.0</v>
      </c>
      <c r="K181" s="20">
        <v>6.784697552529622</v>
      </c>
      <c r="L181" s="20">
        <v>50.55911369063576</v>
      </c>
      <c r="M181" s="15"/>
      <c r="N181" s="20">
        <v>6.784697552529622</v>
      </c>
      <c r="O181" s="14">
        <v>2.64</v>
      </c>
      <c r="P181" s="14">
        <v>3.46</v>
      </c>
      <c r="Q181" s="14">
        <v>-8.5</v>
      </c>
      <c r="R181" s="20">
        <f t="array" ref="R181">XLOOKUP(E181, 'Conference Match'!$A$2:$A$40,'Conference Match'!$C$2:$C$40)</f>
        <v>0.9</v>
      </c>
      <c r="S181" s="20">
        <f t="shared" si="1"/>
        <v>2.629245559</v>
      </c>
      <c r="T181" s="20">
        <f t="shared" si="2"/>
        <v>15.25510639</v>
      </c>
      <c r="U181" s="20">
        <f t="shared" si="3"/>
        <v>-35.3040073</v>
      </c>
      <c r="W181" s="20">
        <f>IFERROR(__xludf.DUMMYFUNCTION("iferror(PERCENTRANK.INC(FILTER($S$3:$S$435, $P$3:$P$435&lt;3.75), $S181), 1)"),0.551)</f>
        <v>0.551</v>
      </c>
      <c r="X181" s="20">
        <f>IFERROR(__xludf.DUMMYFUNCTION("iferror(PERCENTRANK.INC(FILTER($S$3:$S$435, $P$3:$P$435&lt;4.5), $S181), 1)"),0.368)</f>
        <v>0.368</v>
      </c>
      <c r="Y181" s="20">
        <f>IFERROR(__xludf.DUMMYFUNCTION("iferror(PERCENTRANK.INC(FILTER($S$3:$S$435, $P$3:$P$435&gt;=4.1), $S181), 0.01)"),0.01)</f>
        <v>0.01</v>
      </c>
    </row>
    <row r="182" ht="14.25" customHeight="1">
      <c r="A182" s="14" t="s">
        <v>1140</v>
      </c>
      <c r="B182" s="14" t="s">
        <v>323</v>
      </c>
      <c r="C182" s="14" t="s">
        <v>959</v>
      </c>
      <c r="D182" s="14" t="s">
        <v>959</v>
      </c>
      <c r="E182" s="14" t="s">
        <v>189</v>
      </c>
      <c r="F182" s="14">
        <v>57.0</v>
      </c>
      <c r="G182" s="14">
        <v>32.0</v>
      </c>
      <c r="H182" s="14">
        <v>407.0</v>
      </c>
      <c r="I182" s="14">
        <v>12.7</v>
      </c>
      <c r="J182" s="14">
        <v>2.0</v>
      </c>
      <c r="K182" s="20">
        <v>5.850541018603527</v>
      </c>
      <c r="L182" s="20">
        <v>42.062496784071264</v>
      </c>
      <c r="M182" s="15"/>
      <c r="N182" s="20">
        <v>5.850541018603527</v>
      </c>
      <c r="O182" s="14">
        <v>2.63</v>
      </c>
      <c r="P182" s="20">
        <v>3.69</v>
      </c>
      <c r="Q182" s="20">
        <v>-2.0</v>
      </c>
      <c r="R182" s="20">
        <f t="array" ref="R182">XLOOKUP(E182, 'Conference Match'!$A$2:$A$40,'Conference Match'!$C$2:$C$40)</f>
        <v>0.9</v>
      </c>
      <c r="S182" s="20">
        <f t="shared" si="1"/>
        <v>3.224097383</v>
      </c>
      <c r="T182" s="20">
        <f t="shared" si="2"/>
        <v>21.18106263</v>
      </c>
      <c r="U182" s="20">
        <f t="shared" si="3"/>
        <v>-20.88143416</v>
      </c>
      <c r="W182" s="20">
        <f>IFERROR(__xludf.DUMMYFUNCTION("iferror(PERCENTRANK.INC(FILTER($S$3:$S$435, $P$3:$P$435&lt;3.75), $S182), 1)"),0.707)</f>
        <v>0.707</v>
      </c>
      <c r="X182" s="20">
        <f>IFERROR(__xludf.DUMMYFUNCTION("iferror(PERCENTRANK.INC(FILTER($S$3:$S$435, $P$3:$P$435&lt;4.5), $S182), 1)"),0.514)</f>
        <v>0.514</v>
      </c>
      <c r="Y182" s="20">
        <f>IFERROR(__xludf.DUMMYFUNCTION("iferror(PERCENTRANK.INC(FILTER($S$3:$S$435, $P$3:$P$435&gt;=4.1), $S182), 0.01)"),0.021)</f>
        <v>0.021</v>
      </c>
    </row>
    <row r="183" ht="14.25" customHeight="1">
      <c r="A183" s="14" t="s">
        <v>1141</v>
      </c>
      <c r="B183" s="14" t="s">
        <v>131</v>
      </c>
      <c r="C183" s="14">
        <v>1.0</v>
      </c>
      <c r="D183" s="14" t="s">
        <v>959</v>
      </c>
      <c r="E183" s="14" t="s">
        <v>132</v>
      </c>
      <c r="F183" s="14">
        <v>27.0</v>
      </c>
      <c r="G183" s="14">
        <v>20.0</v>
      </c>
      <c r="H183" s="14">
        <v>268.0</v>
      </c>
      <c r="I183" s="14">
        <v>13.4</v>
      </c>
      <c r="J183" s="14">
        <v>2.0</v>
      </c>
      <c r="K183" s="20">
        <v>6.0940493563391</v>
      </c>
      <c r="L183" s="20">
        <v>49.367432615343915</v>
      </c>
      <c r="M183" s="15"/>
      <c r="N183" s="20">
        <v>6.0940493563391</v>
      </c>
      <c r="O183" s="14">
        <v>2.62</v>
      </c>
      <c r="P183" s="20">
        <v>3.19</v>
      </c>
      <c r="Q183" s="20">
        <v>-5.5</v>
      </c>
      <c r="R183" s="20">
        <f t="array" ref="R183">XLOOKUP(E183, 'Conference Match'!$A$2:$A$40,'Conference Match'!$C$2:$C$40)</f>
        <v>0.95</v>
      </c>
      <c r="S183" s="20">
        <f t="shared" si="1"/>
        <v>2.726869378</v>
      </c>
      <c r="T183" s="20">
        <f t="shared" si="2"/>
        <v>16.22764182</v>
      </c>
      <c r="U183" s="20">
        <f t="shared" si="3"/>
        <v>-33.1397908</v>
      </c>
      <c r="W183" s="20">
        <f>IFERROR(__xludf.DUMMYFUNCTION("iferror(PERCENTRANK.INC(FILTER($S$3:$S$435, $P$3:$P$435&lt;3.75), $S183), 1)"),0.565)</f>
        <v>0.565</v>
      </c>
      <c r="X183" s="20">
        <f>IFERROR(__xludf.DUMMYFUNCTION("iferror(PERCENTRANK.INC(FILTER($S$3:$S$435, $P$3:$P$435&lt;4.5), $S183), 1)"),0.377)</f>
        <v>0.377</v>
      </c>
      <c r="Y183" s="20">
        <f>IFERROR(__xludf.DUMMYFUNCTION("iferror(PERCENTRANK.INC(FILTER($S$3:$S$435, $P$3:$P$435&gt;=4.1), $S183), 0.01)"),0.01)</f>
        <v>0.01</v>
      </c>
    </row>
    <row r="184" ht="14.25" customHeight="1">
      <c r="A184" s="14" t="s">
        <v>1142</v>
      </c>
      <c r="B184" s="14" t="s">
        <v>601</v>
      </c>
      <c r="C184" s="14" t="s">
        <v>959</v>
      </c>
      <c r="D184" s="14" t="s">
        <v>959</v>
      </c>
      <c r="E184" s="14" t="s">
        <v>172</v>
      </c>
      <c r="F184" s="14">
        <v>38.0</v>
      </c>
      <c r="G184" s="14">
        <v>14.0</v>
      </c>
      <c r="H184" s="14">
        <v>268.0</v>
      </c>
      <c r="I184" s="14">
        <v>19.1</v>
      </c>
      <c r="J184" s="14">
        <v>2.0</v>
      </c>
      <c r="K184" s="20">
        <v>7.254614997198009</v>
      </c>
      <c r="L184" s="20">
        <v>54.833245873042436</v>
      </c>
      <c r="M184" s="15"/>
      <c r="N184" s="20">
        <v>7.254614997198009</v>
      </c>
      <c r="O184" s="14">
        <v>2.6</v>
      </c>
      <c r="P184" s="20">
        <v>4.11</v>
      </c>
      <c r="Q184" s="20">
        <v>-5.0</v>
      </c>
      <c r="R184" s="20">
        <f t="array" ref="R184">XLOOKUP(E184, 'Conference Match'!$A$2:$A$40,'Conference Match'!$C$2:$C$40)</f>
        <v>0.9</v>
      </c>
      <c r="S184" s="20">
        <f t="shared" si="1"/>
        <v>3.380830699</v>
      </c>
      <c r="T184" s="20">
        <f t="shared" si="2"/>
        <v>22.74245108</v>
      </c>
      <c r="U184" s="20">
        <f t="shared" si="3"/>
        <v>-32.09079479</v>
      </c>
      <c r="W184" s="20">
        <f>IFERROR(__xludf.DUMMYFUNCTION("iferror(PERCENTRANK.INC(FILTER($S$3:$S$435, $P$3:$P$435&lt;3.75), $S184), 1)"),0.771)</f>
        <v>0.771</v>
      </c>
      <c r="X184" s="20">
        <f>IFERROR(__xludf.DUMMYFUNCTION("iferror(PERCENTRANK.INC(FILTER($S$3:$S$435, $P$3:$P$435&lt;4.5), $S184), 1)"),0.573)</f>
        <v>0.573</v>
      </c>
      <c r="Y184" s="20">
        <f>IFERROR(__xludf.DUMMYFUNCTION("iferror(PERCENTRANK.INC(FILTER($S$3:$S$435, $P$3:$P$435&gt;=4.1), $S184), 0.01)"),0.039)</f>
        <v>0.039</v>
      </c>
    </row>
    <row r="185" ht="14.25" customHeight="1">
      <c r="A185" s="14" t="s">
        <v>1143</v>
      </c>
      <c r="B185" s="14" t="s">
        <v>443</v>
      </c>
      <c r="C185" s="14" t="s">
        <v>959</v>
      </c>
      <c r="D185" s="14" t="s">
        <v>959</v>
      </c>
      <c r="E185" s="14" t="s">
        <v>138</v>
      </c>
      <c r="F185" s="14">
        <v>24.0</v>
      </c>
      <c r="G185" s="14">
        <v>13.0</v>
      </c>
      <c r="H185" s="14">
        <v>216.0</v>
      </c>
      <c r="I185" s="14">
        <v>16.6</v>
      </c>
      <c r="J185" s="14">
        <v>1.0</v>
      </c>
      <c r="K185" s="20">
        <v>6.512023205370538</v>
      </c>
      <c r="L185" s="20">
        <v>48.07900528918705</v>
      </c>
      <c r="M185" s="15"/>
      <c r="N185" s="20">
        <v>6.512023205370538</v>
      </c>
      <c r="O185" s="14">
        <v>2.59</v>
      </c>
      <c r="R185" s="20">
        <f t="array" ref="R185">XLOOKUP(E185, 'Conference Match'!$A$2:$A$40,'Conference Match'!$C$2:$C$40)</f>
        <v>0.9</v>
      </c>
      <c r="S185" s="20">
        <f t="shared" si="1"/>
        <v>1.690164177</v>
      </c>
      <c r="T185" s="20">
        <f t="shared" si="2"/>
        <v>5.899910773</v>
      </c>
      <c r="U185" s="20">
        <f t="shared" si="3"/>
        <v>-42.17909452</v>
      </c>
      <c r="W185" s="20">
        <f>IFERROR(__xludf.DUMMYFUNCTION("iferror(PERCENTRANK.INC(FILTER($S$3:$S$435, $P$3:$P$435&lt;3.75), $S185), 1)"),0.32)</f>
        <v>0.32</v>
      </c>
      <c r="X185" s="20">
        <f>IFERROR(__xludf.DUMMYFUNCTION("iferror(PERCENTRANK.INC(FILTER($S$3:$S$435, $P$3:$P$435&lt;4.5), $S185), 1)"),0.214)</f>
        <v>0.214</v>
      </c>
      <c r="Y185" s="20">
        <f>IFERROR(__xludf.DUMMYFUNCTION("iferror(PERCENTRANK.INC(FILTER($S$3:$S$435, $P$3:$P$435&gt;=4.1), $S185), 0.01)"),0.01)</f>
        <v>0.01</v>
      </c>
    </row>
    <row r="186" ht="14.25" customHeight="1">
      <c r="A186" s="17" t="s">
        <v>1144</v>
      </c>
      <c r="B186" s="17" t="s">
        <v>353</v>
      </c>
      <c r="D186" s="17" t="s">
        <v>959</v>
      </c>
      <c r="E186" s="17" t="s">
        <v>105</v>
      </c>
      <c r="F186" s="18">
        <v>32.0</v>
      </c>
      <c r="G186" s="18">
        <v>22.0</v>
      </c>
      <c r="H186" s="18">
        <v>378.0</v>
      </c>
      <c r="I186" s="18">
        <v>17.2</v>
      </c>
      <c r="J186" s="18">
        <v>5.0</v>
      </c>
      <c r="K186" s="18">
        <v>7.88</v>
      </c>
      <c r="L186" s="22">
        <v>60.49</v>
      </c>
      <c r="M186" s="15"/>
      <c r="N186" s="38">
        <v>7.88</v>
      </c>
      <c r="O186" s="16">
        <v>2.55</v>
      </c>
      <c r="P186" s="38">
        <v>3.31</v>
      </c>
      <c r="Q186" s="16">
        <v>-3.5</v>
      </c>
      <c r="R186" s="20">
        <f t="array" ref="R186">XLOOKUP(E186, 'Conference Match'!$A$2:$A$40,'Conference Match'!$C$2:$C$40)</f>
        <v>0.9</v>
      </c>
      <c r="S186" s="20">
        <f t="shared" si="1"/>
        <v>3.2334</v>
      </c>
      <c r="T186" s="20">
        <f t="shared" si="2"/>
        <v>21.27373596</v>
      </c>
      <c r="U186" s="20">
        <f t="shared" si="3"/>
        <v>-39.21626404</v>
      </c>
      <c r="W186" s="20">
        <f>IFERROR(__xludf.DUMMYFUNCTION("iferror(PERCENTRANK.INC(FILTER($S$3:$S$435, $P$3:$P$435&lt;3.75), $S186), 1)"),0.721)</f>
        <v>0.721</v>
      </c>
      <c r="X186" s="20">
        <f>IFERROR(__xludf.DUMMYFUNCTION("iferror(PERCENTRANK.INC(FILTER($S$3:$S$435, $P$3:$P$435&lt;4.5), $S186), 1)"),0.523)</f>
        <v>0.523</v>
      </c>
      <c r="Y186" s="20">
        <f>IFERROR(__xludf.DUMMYFUNCTION("iferror(PERCENTRANK.INC(FILTER($S$3:$S$435, $P$3:$P$435&gt;=4.1), $S186), 0.01)"),0.022)</f>
        <v>0.022</v>
      </c>
    </row>
    <row r="187" ht="14.25" customHeight="1">
      <c r="A187" s="14" t="s">
        <v>1144</v>
      </c>
      <c r="B187" s="14" t="s">
        <v>353</v>
      </c>
      <c r="C187" s="14" t="s">
        <v>959</v>
      </c>
      <c r="D187" s="14" t="s">
        <v>959</v>
      </c>
      <c r="E187" s="14" t="s">
        <v>105</v>
      </c>
      <c r="F187" s="14">
        <v>32.0</v>
      </c>
      <c r="G187" s="14">
        <v>22.0</v>
      </c>
      <c r="H187" s="14">
        <v>378.0</v>
      </c>
      <c r="I187" s="14">
        <v>17.2</v>
      </c>
      <c r="J187" s="14">
        <v>5.0</v>
      </c>
      <c r="K187" s="20">
        <v>7.876902646513268</v>
      </c>
      <c r="L187" s="20">
        <v>60.493260624206854</v>
      </c>
      <c r="M187" s="15"/>
      <c r="N187" s="20">
        <v>7.876902646513268</v>
      </c>
      <c r="O187" s="14">
        <v>2.55</v>
      </c>
      <c r="P187" s="20">
        <v>3.31</v>
      </c>
      <c r="Q187" s="20">
        <v>-3.5</v>
      </c>
      <c r="R187" s="20">
        <f t="array" ref="R187">XLOOKUP(E187, 'Conference Match'!$A$2:$A$40,'Conference Match'!$C$2:$C$40)</f>
        <v>0.9</v>
      </c>
      <c r="S187" s="20">
        <f t="shared" si="1"/>
        <v>3.232842476</v>
      </c>
      <c r="T187" s="20">
        <f t="shared" si="2"/>
        <v>21.26818187</v>
      </c>
      <c r="U187" s="20">
        <f t="shared" si="3"/>
        <v>-39.22507876</v>
      </c>
      <c r="W187" s="20">
        <f>IFERROR(__xludf.DUMMYFUNCTION("iferror(PERCENTRANK.INC(FILTER($S$3:$S$435, $P$3:$P$435&lt;3.75), $S187), 1)"),0.714)</f>
        <v>0.714</v>
      </c>
      <c r="X187" s="20">
        <f>IFERROR(__xludf.DUMMYFUNCTION("iferror(PERCENTRANK.INC(FILTER($S$3:$S$435, $P$3:$P$435&lt;4.5), $S187), 1)"),0.518)</f>
        <v>0.518</v>
      </c>
      <c r="Y187" s="20">
        <f>IFERROR(__xludf.DUMMYFUNCTION("iferror(PERCENTRANK.INC(FILTER($S$3:$S$435, $P$3:$P$435&gt;=4.1), $S187), 0.01)"),0.022)</f>
        <v>0.022</v>
      </c>
    </row>
    <row r="188" ht="14.25" customHeight="1">
      <c r="A188" s="14" t="s">
        <v>1145</v>
      </c>
      <c r="B188" s="14" t="s">
        <v>392</v>
      </c>
      <c r="C188" s="14" t="s">
        <v>959</v>
      </c>
      <c r="D188" s="14" t="s">
        <v>959</v>
      </c>
      <c r="E188" s="14" t="s">
        <v>121</v>
      </c>
      <c r="F188" s="14">
        <v>36.0</v>
      </c>
      <c r="G188" s="14">
        <v>27.0</v>
      </c>
      <c r="H188" s="14">
        <v>414.0</v>
      </c>
      <c r="I188" s="14">
        <v>15.3</v>
      </c>
      <c r="J188" s="14">
        <v>3.0</v>
      </c>
      <c r="K188" s="20">
        <v>7.026321269425479</v>
      </c>
      <c r="L188" s="20">
        <v>52.75680121242182</v>
      </c>
      <c r="M188" s="15"/>
      <c r="N188" s="20">
        <v>7.026321269425479</v>
      </c>
      <c r="O188" s="14">
        <v>2.54</v>
      </c>
      <c r="P188" s="20">
        <v>4.19</v>
      </c>
      <c r="Q188" s="20">
        <v>-8.5</v>
      </c>
      <c r="R188" s="20">
        <f t="array" ref="R188">XLOOKUP(E188, 'Conference Match'!$A$2:$A$40,'Conference Match'!$C$2:$C$40)</f>
        <v>0.9</v>
      </c>
      <c r="S188" s="20">
        <f t="shared" si="1"/>
        <v>3.017737828</v>
      </c>
      <c r="T188" s="20">
        <f t="shared" si="2"/>
        <v>19.12529404</v>
      </c>
      <c r="U188" s="20">
        <f t="shared" si="3"/>
        <v>-33.63150717</v>
      </c>
      <c r="W188" s="20">
        <f>IFERROR(__xludf.DUMMYFUNCTION("iferror(PERCENTRANK.INC(FILTER($S$3:$S$435, $P$3:$P$435&lt;3.75), $S188), 1)"),0.647)</f>
        <v>0.647</v>
      </c>
      <c r="X188" s="20">
        <f>IFERROR(__xludf.DUMMYFUNCTION("iferror(PERCENTRANK.INC(FILTER($S$3:$S$435, $P$3:$P$435&lt;4.5), $S188), 1)"),0.445)</f>
        <v>0.445</v>
      </c>
      <c r="Y188" s="20">
        <f>IFERROR(__xludf.DUMMYFUNCTION("iferror(PERCENTRANK.INC(FILTER($S$3:$S$435, $P$3:$P$435&gt;=4.1), $S188), 0.01)"),0.0)</f>
        <v>0</v>
      </c>
    </row>
    <row r="189" ht="14.25" customHeight="1">
      <c r="A189" s="14" t="s">
        <v>1146</v>
      </c>
      <c r="B189" s="14" t="s">
        <v>585</v>
      </c>
      <c r="C189" s="14">
        <v>23.0</v>
      </c>
      <c r="D189" s="14" t="s">
        <v>959</v>
      </c>
      <c r="E189" s="14" t="s">
        <v>144</v>
      </c>
      <c r="F189" s="14">
        <v>31.0</v>
      </c>
      <c r="G189" s="14">
        <v>15.0</v>
      </c>
      <c r="H189" s="14">
        <v>288.0</v>
      </c>
      <c r="I189" s="14">
        <v>19.2</v>
      </c>
      <c r="J189" s="14">
        <v>3.0</v>
      </c>
      <c r="K189" s="20">
        <v>7.663007565979903</v>
      </c>
      <c r="L189" s="20">
        <v>68.11928033061771</v>
      </c>
      <c r="M189" s="15"/>
      <c r="N189" s="20">
        <v>7.663007565979903</v>
      </c>
      <c r="O189" s="14">
        <v>2.49</v>
      </c>
      <c r="P189" s="20">
        <v>4.53</v>
      </c>
      <c r="Q189" s="20">
        <v>4.0</v>
      </c>
      <c r="R189" s="20">
        <f t="array" ref="R189">XLOOKUP(E189, 'Conference Match'!$A$2:$A$40,'Conference Match'!$C$2:$C$40)</f>
        <v>0.95</v>
      </c>
      <c r="S189" s="20">
        <f t="shared" si="1"/>
        <v>4.618971438</v>
      </c>
      <c r="T189" s="20">
        <f t="shared" si="2"/>
        <v>35.0768973</v>
      </c>
      <c r="U189" s="20">
        <f t="shared" si="3"/>
        <v>-33.04238303</v>
      </c>
      <c r="W189" s="20">
        <f>IFERROR(__xludf.DUMMYFUNCTION("iferror(PERCENTRANK.INC(FILTER($S$3:$S$435, $P$3:$P$435&lt;3.75), $S189), 1)"),0.98)</f>
        <v>0.98</v>
      </c>
      <c r="X189" s="20">
        <f>IFERROR(__xludf.DUMMYFUNCTION("iferror(PERCENTRANK.INC(FILTER($S$3:$S$435, $P$3:$P$435&lt;4.5), $S189), 1)"),0.942)</f>
        <v>0.942</v>
      </c>
      <c r="Y189" s="20">
        <f>IFERROR(__xludf.DUMMYFUNCTION("iferror(PERCENTRANK.INC(FILTER($S$3:$S$435, $P$3:$P$435&gt;=4.1), $S189), 0.01)"),0.558)</f>
        <v>0.558</v>
      </c>
    </row>
    <row r="190" ht="14.25" customHeight="1">
      <c r="A190" s="14" t="s">
        <v>1147</v>
      </c>
      <c r="B190" s="14" t="s">
        <v>309</v>
      </c>
      <c r="C190" s="14" t="s">
        <v>959</v>
      </c>
      <c r="D190" s="14" t="s">
        <v>959</v>
      </c>
      <c r="E190" s="14" t="s">
        <v>179</v>
      </c>
      <c r="F190" s="14">
        <v>31.0</v>
      </c>
      <c r="G190" s="14">
        <v>19.0</v>
      </c>
      <c r="H190" s="14">
        <v>317.0</v>
      </c>
      <c r="I190" s="14">
        <v>16.7</v>
      </c>
      <c r="J190" s="14">
        <v>3.0</v>
      </c>
      <c r="K190" s="20">
        <v>7.163814017592808</v>
      </c>
      <c r="L190" s="20">
        <v>54.00736593704961</v>
      </c>
      <c r="M190" s="15"/>
      <c r="N190" s="20">
        <v>7.163814017592808</v>
      </c>
      <c r="O190" s="14">
        <v>2.46</v>
      </c>
      <c r="R190" s="20">
        <f t="array" ref="R190">XLOOKUP(E190, 'Conference Match'!$A$2:$A$40,'Conference Match'!$C$2:$C$40)</f>
        <v>0.9</v>
      </c>
      <c r="S190" s="20">
        <f t="shared" si="1"/>
        <v>1.781486523</v>
      </c>
      <c r="T190" s="20">
        <f t="shared" si="2"/>
        <v>6.80967049</v>
      </c>
      <c r="U190" s="20">
        <f t="shared" si="3"/>
        <v>-47.19769545</v>
      </c>
      <c r="W190" s="20">
        <f>IFERROR(__xludf.DUMMYFUNCTION("iferror(PERCENTRANK.INC(FILTER($S$3:$S$435, $P$3:$P$435&lt;3.75), $S190), 1)"),0.381)</f>
        <v>0.381</v>
      </c>
      <c r="X190" s="20">
        <f>IFERROR(__xludf.DUMMYFUNCTION("iferror(PERCENTRANK.INC(FILTER($S$3:$S$435, $P$3:$P$435&lt;4.5), $S190), 1)"),0.255)</f>
        <v>0.255</v>
      </c>
      <c r="Y190" s="20">
        <f>IFERROR(__xludf.DUMMYFUNCTION("iferror(PERCENTRANK.INC(FILTER($S$3:$S$435, $P$3:$P$435&gt;=4.1), $S190), 0.01)"),0.01)</f>
        <v>0.01</v>
      </c>
    </row>
    <row r="191" ht="14.25" customHeight="1">
      <c r="A191" s="14" t="s">
        <v>1148</v>
      </c>
      <c r="B191" s="14" t="s">
        <v>169</v>
      </c>
      <c r="C191" s="14" t="s">
        <v>959</v>
      </c>
      <c r="D191" s="14" t="s">
        <v>959</v>
      </c>
      <c r="E191" s="14" t="s">
        <v>121</v>
      </c>
      <c r="F191" s="14">
        <v>58.0</v>
      </c>
      <c r="G191" s="14">
        <v>44.0</v>
      </c>
      <c r="H191" s="14">
        <v>466.0</v>
      </c>
      <c r="I191" s="14">
        <v>10.6</v>
      </c>
      <c r="J191" s="14">
        <v>6.0</v>
      </c>
      <c r="K191" s="20">
        <v>6.270241553642864</v>
      </c>
      <c r="L191" s="20">
        <v>45.87988127178873</v>
      </c>
      <c r="M191" s="15"/>
      <c r="N191" s="20">
        <v>6.270241553642864</v>
      </c>
      <c r="O191" s="14">
        <v>2.46</v>
      </c>
      <c r="R191" s="20">
        <f t="array" ref="R191">XLOOKUP(E191, 'Conference Match'!$A$2:$A$40,'Conference Match'!$C$2:$C$40)</f>
        <v>0.9</v>
      </c>
      <c r="S191" s="20">
        <f t="shared" si="1"/>
        <v>1.62064348</v>
      </c>
      <c r="T191" s="20">
        <f t="shared" si="2"/>
        <v>5.207340635</v>
      </c>
      <c r="U191" s="20">
        <f t="shared" si="3"/>
        <v>-40.67254064</v>
      </c>
      <c r="W191" s="20">
        <f>IFERROR(__xludf.DUMMYFUNCTION("iferror(PERCENTRANK.INC(FILTER($S$3:$S$435, $P$3:$P$435&lt;3.75), $S191), 1)"),0.265)</f>
        <v>0.265</v>
      </c>
      <c r="X191" s="20">
        <f>IFERROR(__xludf.DUMMYFUNCTION("iferror(PERCENTRANK.INC(FILTER($S$3:$S$435, $P$3:$P$435&lt;4.5), $S191), 1)"),0.177)</f>
        <v>0.177</v>
      </c>
      <c r="Y191" s="20">
        <f>IFERROR(__xludf.DUMMYFUNCTION("iferror(PERCENTRANK.INC(FILTER($S$3:$S$435, $P$3:$P$435&gt;=4.1), $S191), 0.01)"),0.01)</f>
        <v>0.01</v>
      </c>
    </row>
    <row r="192" ht="14.25" customHeight="1">
      <c r="A192" s="17" t="s">
        <v>1149</v>
      </c>
      <c r="B192" s="17" t="s">
        <v>369</v>
      </c>
      <c r="C192" s="18">
        <v>18.0</v>
      </c>
      <c r="D192" s="17" t="s">
        <v>959</v>
      </c>
      <c r="E192" s="17" t="s">
        <v>135</v>
      </c>
      <c r="F192" s="18">
        <v>16.0</v>
      </c>
      <c r="G192" s="18">
        <v>9.0</v>
      </c>
      <c r="H192" s="18">
        <v>102.0</v>
      </c>
      <c r="I192" s="18">
        <v>11.3</v>
      </c>
      <c r="J192" s="18">
        <v>1.0</v>
      </c>
      <c r="K192" s="22">
        <v>4.79</v>
      </c>
      <c r="L192" s="22">
        <v>33.84</v>
      </c>
      <c r="M192" s="15"/>
      <c r="N192" s="38">
        <v>4.79</v>
      </c>
      <c r="O192" s="16">
        <v>2.45</v>
      </c>
      <c r="P192" s="38">
        <v>3.76</v>
      </c>
      <c r="Q192" s="38">
        <v>-1.5</v>
      </c>
      <c r="R192" s="20">
        <f t="array" ref="R192">XLOOKUP(E192, 'Conference Match'!$A$2:$A$40,'Conference Match'!$C$2:$C$40)</f>
        <v>1</v>
      </c>
      <c r="S192" s="20">
        <f t="shared" si="1"/>
        <v>3.178</v>
      </c>
      <c r="T192" s="20">
        <f t="shared" si="2"/>
        <v>20.72183721</v>
      </c>
      <c r="U192" s="20">
        <f t="shared" si="3"/>
        <v>-13.11816279</v>
      </c>
      <c r="W192" s="20">
        <f>IFERROR(__xludf.DUMMYFUNCTION("iferror(PERCENTRANK.INC(FILTER($S$3:$S$435, $P$3:$P$435&lt;3.75), $S192), 1)"),0.679)</f>
        <v>0.679</v>
      </c>
      <c r="X192" s="20">
        <f>IFERROR(__xludf.DUMMYFUNCTION("iferror(PERCENTRANK.INC(FILTER($S$3:$S$435, $P$3:$P$435&lt;4.5), $S192), 1)"),0.491)</f>
        <v>0.491</v>
      </c>
      <c r="Y192" s="20">
        <f>IFERROR(__xludf.DUMMYFUNCTION("iferror(PERCENTRANK.INC(FILTER($S$3:$S$435, $P$3:$P$435&gt;=4.1), $S192), 0.01)"),0.017)</f>
        <v>0.017</v>
      </c>
    </row>
    <row r="193" ht="14.25" customHeight="1">
      <c r="A193" s="14" t="s">
        <v>1150</v>
      </c>
      <c r="B193" s="14" t="s">
        <v>101</v>
      </c>
      <c r="C193" s="14" t="s">
        <v>959</v>
      </c>
      <c r="D193" s="14" t="s">
        <v>959</v>
      </c>
      <c r="E193" s="14" t="s">
        <v>102</v>
      </c>
      <c r="F193" s="14">
        <v>19.0</v>
      </c>
      <c r="G193" s="14">
        <v>13.0</v>
      </c>
      <c r="H193" s="14">
        <v>170.0</v>
      </c>
      <c r="I193" s="14">
        <v>13.1</v>
      </c>
      <c r="J193" s="14">
        <v>2.0</v>
      </c>
      <c r="K193" s="20">
        <v>5.789295769428108</v>
      </c>
      <c r="L193" s="20">
        <v>41.50544087246342</v>
      </c>
      <c r="M193" s="15"/>
      <c r="N193" s="20">
        <v>5.789295769428108</v>
      </c>
      <c r="O193" s="14">
        <v>2.44</v>
      </c>
      <c r="P193" s="20">
        <v>3.26</v>
      </c>
      <c r="Q193" s="20">
        <v>-2.0</v>
      </c>
      <c r="R193" s="20">
        <f t="array" ref="R193">XLOOKUP(E193, 'Conference Match'!$A$2:$A$40,'Conference Match'!$C$2:$C$40)</f>
        <v>0.9</v>
      </c>
      <c r="S193" s="20">
        <f t="shared" si="1"/>
        <v>2.960073238</v>
      </c>
      <c r="T193" s="20">
        <f t="shared" si="2"/>
        <v>18.55083529</v>
      </c>
      <c r="U193" s="20">
        <f t="shared" si="3"/>
        <v>-22.95460558</v>
      </c>
      <c r="W193" s="20">
        <f>IFERROR(__xludf.DUMMYFUNCTION("iferror(PERCENTRANK.INC(FILTER($S$3:$S$435, $P$3:$P$435&lt;3.75), $S193), 1)"),0.633)</f>
        <v>0.633</v>
      </c>
      <c r="X193" s="20">
        <f>IFERROR(__xludf.DUMMYFUNCTION("iferror(PERCENTRANK.INC(FILTER($S$3:$S$435, $P$3:$P$435&lt;4.5), $S193), 1)"),0.432)</f>
        <v>0.432</v>
      </c>
      <c r="Y193" s="20">
        <f>IFERROR(__xludf.DUMMYFUNCTION("iferror(PERCENTRANK.INC(FILTER($S$3:$S$435, $P$3:$P$435&gt;=4.1), $S193), 0.01)"),0.01)</f>
        <v>0.01</v>
      </c>
    </row>
    <row r="194" ht="14.25" customHeight="1">
      <c r="A194" s="14" t="s">
        <v>1151</v>
      </c>
      <c r="B194" s="14" t="s">
        <v>357</v>
      </c>
      <c r="C194" s="14" t="s">
        <v>959</v>
      </c>
      <c r="D194" s="14" t="s">
        <v>959</v>
      </c>
      <c r="E194" s="14" t="s">
        <v>121</v>
      </c>
      <c r="F194" s="14">
        <v>42.0</v>
      </c>
      <c r="G194" s="14">
        <v>20.0</v>
      </c>
      <c r="H194" s="14">
        <v>276.0</v>
      </c>
      <c r="I194" s="14">
        <v>13.8</v>
      </c>
      <c r="J194" s="14">
        <v>1.0</v>
      </c>
      <c r="K194" s="20">
        <v>5.742610516683223</v>
      </c>
      <c r="L194" s="20">
        <v>41.08081534841735</v>
      </c>
      <c r="M194" s="15"/>
      <c r="N194" s="20">
        <v>5.742610516683223</v>
      </c>
      <c r="O194" s="14">
        <v>2.41</v>
      </c>
      <c r="R194" s="20">
        <f t="array" ref="R194">XLOOKUP(E194, 'Conference Match'!$A$2:$A$40,'Conference Match'!$C$2:$C$40)</f>
        <v>0.9</v>
      </c>
      <c r="S194" s="20">
        <f t="shared" si="1"/>
        <v>1.515669893</v>
      </c>
      <c r="T194" s="20">
        <f t="shared" si="2"/>
        <v>4.161586288</v>
      </c>
      <c r="U194" s="20">
        <f t="shared" si="3"/>
        <v>-36.91922906</v>
      </c>
      <c r="W194" s="20">
        <f>IFERROR(__xludf.DUMMYFUNCTION("iferror(PERCENTRANK.INC(FILTER($S$3:$S$435, $P$3:$P$435&lt;3.75), $S194), 1)"),0.224)</f>
        <v>0.224</v>
      </c>
      <c r="X194" s="20">
        <f>IFERROR(__xludf.DUMMYFUNCTION("iferror(PERCENTRANK.INC(FILTER($S$3:$S$435, $P$3:$P$435&lt;4.5), $S194), 1)"),0.15)</f>
        <v>0.15</v>
      </c>
      <c r="Y194" s="20">
        <f>IFERROR(__xludf.DUMMYFUNCTION("iferror(PERCENTRANK.INC(FILTER($S$3:$S$435, $P$3:$P$435&gt;=4.1), $S194), 0.01)"),0.01)</f>
        <v>0.01</v>
      </c>
    </row>
    <row r="195" ht="14.25" customHeight="1">
      <c r="A195" s="14" t="s">
        <v>1152</v>
      </c>
      <c r="B195" s="14" t="s">
        <v>137</v>
      </c>
      <c r="C195" s="14" t="s">
        <v>959</v>
      </c>
      <c r="D195" s="14" t="s">
        <v>959</v>
      </c>
      <c r="E195" s="14" t="s">
        <v>138</v>
      </c>
      <c r="F195" s="14">
        <v>39.0</v>
      </c>
      <c r="G195" s="14">
        <v>26.0</v>
      </c>
      <c r="H195" s="14">
        <v>412.0</v>
      </c>
      <c r="I195" s="14">
        <v>15.8</v>
      </c>
      <c r="J195" s="14">
        <v>3.0</v>
      </c>
      <c r="K195" s="20">
        <v>7.0641847320168</v>
      </c>
      <c r="L195" s="20">
        <v>53.10118818046281</v>
      </c>
      <c r="M195" s="15"/>
      <c r="N195" s="20">
        <v>7.0641847320168</v>
      </c>
      <c r="O195" s="14">
        <v>2.39</v>
      </c>
      <c r="R195" s="20">
        <f t="array" ref="R195">XLOOKUP(E195, 'Conference Match'!$A$2:$A$40,'Conference Match'!$C$2:$C$40)</f>
        <v>0.9</v>
      </c>
      <c r="S195" s="20">
        <f t="shared" si="1"/>
        <v>1.749553252</v>
      </c>
      <c r="T195" s="20">
        <f t="shared" si="2"/>
        <v>6.491548966</v>
      </c>
      <c r="U195" s="20">
        <f t="shared" si="3"/>
        <v>-46.60963921</v>
      </c>
      <c r="W195" s="20">
        <f>IFERROR(__xludf.DUMMYFUNCTION("iferror(PERCENTRANK.INC(FILTER($S$3:$S$435, $P$3:$P$435&lt;3.75), $S195), 1)"),0.347)</f>
        <v>0.347</v>
      </c>
      <c r="X195" s="20">
        <f>IFERROR(__xludf.DUMMYFUNCTION("iferror(PERCENTRANK.INC(FILTER($S$3:$S$435, $P$3:$P$435&lt;4.5), $S195), 1)"),0.232)</f>
        <v>0.232</v>
      </c>
      <c r="Y195" s="20">
        <f>IFERROR(__xludf.DUMMYFUNCTION("iferror(PERCENTRANK.INC(FILTER($S$3:$S$435, $P$3:$P$435&gt;=4.1), $S195), 0.01)"),0.01)</f>
        <v>0.01</v>
      </c>
    </row>
    <row r="196" ht="14.25" customHeight="1">
      <c r="A196" s="14" t="s">
        <v>1153</v>
      </c>
      <c r="B196" s="14" t="s">
        <v>379</v>
      </c>
      <c r="C196" s="14" t="s">
        <v>959</v>
      </c>
      <c r="D196" s="14" t="s">
        <v>959</v>
      </c>
      <c r="E196" s="14" t="s">
        <v>138</v>
      </c>
      <c r="F196" s="14">
        <v>28.0</v>
      </c>
      <c r="G196" s="14">
        <v>19.0</v>
      </c>
      <c r="H196" s="14">
        <v>248.0</v>
      </c>
      <c r="I196" s="14">
        <v>13.1</v>
      </c>
      <c r="J196" s="14">
        <v>2.0</v>
      </c>
      <c r="K196" s="20">
        <v>5.90891068335241</v>
      </c>
      <c r="L196" s="20">
        <v>42.59339782937197</v>
      </c>
      <c r="M196" s="15"/>
      <c r="N196" s="20">
        <v>5.90891068335241</v>
      </c>
      <c r="O196" s="14">
        <v>2.38</v>
      </c>
      <c r="P196" s="20">
        <v>3.69</v>
      </c>
      <c r="Q196" s="20">
        <v>-2.0</v>
      </c>
      <c r="R196" s="20">
        <f t="array" ref="R196">XLOOKUP(E196, 'Conference Match'!$A$2:$A$40,'Conference Match'!$C$2:$C$40)</f>
        <v>0.9</v>
      </c>
      <c r="S196" s="20">
        <f t="shared" si="1"/>
        <v>3.184603923</v>
      </c>
      <c r="T196" s="20">
        <f t="shared" si="2"/>
        <v>20.78762596</v>
      </c>
      <c r="U196" s="20">
        <f t="shared" si="3"/>
        <v>-21.80577187</v>
      </c>
      <c r="W196" s="20">
        <f>IFERROR(__xludf.DUMMYFUNCTION("iferror(PERCENTRANK.INC(FILTER($S$3:$S$435, $P$3:$P$435&lt;3.75), $S196), 1)"),0.68)</f>
        <v>0.68</v>
      </c>
      <c r="X196" s="20">
        <f>IFERROR(__xludf.DUMMYFUNCTION("iferror(PERCENTRANK.INC(FILTER($S$3:$S$435, $P$3:$P$435&lt;4.5), $S196), 1)"),0.495)</f>
        <v>0.495</v>
      </c>
      <c r="Y196" s="20">
        <f>IFERROR(__xludf.DUMMYFUNCTION("iferror(PERCENTRANK.INC(FILTER($S$3:$S$435, $P$3:$P$435&gt;=4.1), $S196), 0.01)"),0.018)</f>
        <v>0.018</v>
      </c>
    </row>
    <row r="197" ht="14.25" customHeight="1">
      <c r="A197" s="14" t="s">
        <v>1154</v>
      </c>
      <c r="B197" s="14" t="s">
        <v>410</v>
      </c>
      <c r="C197" s="14">
        <v>3.0</v>
      </c>
      <c r="D197" s="14" t="s">
        <v>959</v>
      </c>
      <c r="E197" s="14" t="s">
        <v>147</v>
      </c>
      <c r="F197" s="14">
        <v>60.0</v>
      </c>
      <c r="G197" s="14">
        <v>35.0</v>
      </c>
      <c r="H197" s="14">
        <v>493.0</v>
      </c>
      <c r="I197" s="14">
        <v>14.1</v>
      </c>
      <c r="J197" s="14">
        <v>1.0</v>
      </c>
      <c r="K197" s="20">
        <v>6.131305852460659</v>
      </c>
      <c r="L197" s="20">
        <v>49.812714164197985</v>
      </c>
      <c r="M197" s="15"/>
      <c r="N197" s="20">
        <v>6.131305852460659</v>
      </c>
      <c r="O197" s="14">
        <v>2.35</v>
      </c>
      <c r="P197" s="20">
        <v>4.6</v>
      </c>
      <c r="Q197" s="20">
        <v>5.5</v>
      </c>
      <c r="R197" s="20">
        <f t="array" ref="R197">XLOOKUP(E197, 'Conference Match'!$A$2:$A$40,'Conference Match'!$C$2:$C$40)</f>
        <v>0.95</v>
      </c>
      <c r="S197" s="20">
        <f t="shared" si="1"/>
        <v>4.484948112</v>
      </c>
      <c r="T197" s="20">
        <f t="shared" si="2"/>
        <v>33.74174739</v>
      </c>
      <c r="U197" s="20">
        <f t="shared" si="3"/>
        <v>-16.07096678</v>
      </c>
      <c r="W197" s="20">
        <f>IFERROR(__xludf.DUMMYFUNCTION("iferror(PERCENTRANK.INC(FILTER($S$3:$S$435, $P$3:$P$435&lt;3.75), $S197), 1)"),0.976)</f>
        <v>0.976</v>
      </c>
      <c r="X197" s="20">
        <f>IFERROR(__xludf.DUMMYFUNCTION("iferror(PERCENTRANK.INC(FILTER($S$3:$S$435, $P$3:$P$435&lt;4.5), $S197), 1)"),0.904)</f>
        <v>0.904</v>
      </c>
      <c r="Y197" s="20">
        <f>IFERROR(__xludf.DUMMYFUNCTION("iferror(PERCENTRANK.INC(FILTER($S$3:$S$435, $P$3:$P$435&gt;=4.1), $S197), 0.01)"),0.442)</f>
        <v>0.442</v>
      </c>
    </row>
    <row r="198" ht="14.25" customHeight="1">
      <c r="A198" s="14" t="s">
        <v>1155</v>
      </c>
      <c r="B198" s="14" t="s">
        <v>319</v>
      </c>
      <c r="C198" s="14" t="s">
        <v>959</v>
      </c>
      <c r="D198" s="14" t="s">
        <v>959</v>
      </c>
      <c r="E198" s="14" t="s">
        <v>127</v>
      </c>
      <c r="F198" s="14">
        <v>46.0</v>
      </c>
      <c r="G198" s="14">
        <v>25.0</v>
      </c>
      <c r="H198" s="14">
        <v>374.0</v>
      </c>
      <c r="I198" s="14">
        <v>15.0</v>
      </c>
      <c r="J198" s="14">
        <v>2.0</v>
      </c>
      <c r="K198" s="20">
        <v>6.4464647040767815</v>
      </c>
      <c r="L198" s="20">
        <v>47.48271821070302</v>
      </c>
      <c r="M198" s="15"/>
      <c r="N198" s="20">
        <v>6.4464647040767815</v>
      </c>
      <c r="O198" s="14">
        <v>2.34</v>
      </c>
      <c r="P198" s="20">
        <v>3.53</v>
      </c>
      <c r="Q198" s="20">
        <v>-2.0</v>
      </c>
      <c r="R198" s="20">
        <f t="array" ref="R198">XLOOKUP(E198, 'Conference Match'!$A$2:$A$40,'Conference Match'!$C$2:$C$40)</f>
        <v>0.9</v>
      </c>
      <c r="S198" s="20">
        <f t="shared" si="1"/>
        <v>3.193363647</v>
      </c>
      <c r="T198" s="20">
        <f t="shared" si="2"/>
        <v>20.87489095</v>
      </c>
      <c r="U198" s="20">
        <f t="shared" si="3"/>
        <v>-26.60782726</v>
      </c>
      <c r="W198" s="20">
        <f>IFERROR(__xludf.DUMMYFUNCTION("iferror(PERCENTRANK.INC(FILTER($S$3:$S$435, $P$3:$P$435&lt;3.75), $S198), 1)"),0.687)</f>
        <v>0.687</v>
      </c>
      <c r="X198" s="20">
        <f>IFERROR(__xludf.DUMMYFUNCTION("iferror(PERCENTRANK.INC(FILTER($S$3:$S$435, $P$3:$P$435&lt;4.5), $S198), 1)"),0.5)</f>
        <v>0.5</v>
      </c>
      <c r="Y198" s="20">
        <f>IFERROR(__xludf.DUMMYFUNCTION("iferror(PERCENTRANK.INC(FILTER($S$3:$S$435, $P$3:$P$435&gt;=4.1), $S198), 0.01)"),0.019)</f>
        <v>0.019</v>
      </c>
    </row>
    <row r="199" ht="14.25" customHeight="1">
      <c r="A199" s="14" t="s">
        <v>1156</v>
      </c>
      <c r="B199" s="14" t="s">
        <v>242</v>
      </c>
      <c r="C199" s="14" t="s">
        <v>959</v>
      </c>
      <c r="D199" s="14" t="s">
        <v>959</v>
      </c>
      <c r="E199" s="14" t="s">
        <v>243</v>
      </c>
      <c r="F199" s="14">
        <v>25.0</v>
      </c>
      <c r="G199" s="14">
        <v>17.0</v>
      </c>
      <c r="H199" s="14">
        <v>331.0</v>
      </c>
      <c r="I199" s="14">
        <v>19.5</v>
      </c>
      <c r="J199" s="14">
        <v>2.0</v>
      </c>
      <c r="K199" s="20">
        <v>7.909333788307519</v>
      </c>
      <c r="L199" s="20">
        <v>60.78823794081365</v>
      </c>
      <c r="M199" s="15"/>
      <c r="N199" s="20">
        <v>7.909333788307519</v>
      </c>
      <c r="O199" s="14">
        <v>2.32</v>
      </c>
      <c r="P199" s="16">
        <v>3.75</v>
      </c>
      <c r="Q199" s="16">
        <v>-6.5</v>
      </c>
      <c r="R199" s="20">
        <f t="array" ref="R199">XLOOKUP(E199, 'Conference Match'!$A$2:$A$40,'Conference Match'!$C$2:$C$40)</f>
        <v>0.9</v>
      </c>
      <c r="S199" s="20">
        <f t="shared" si="1"/>
        <v>3.112680082</v>
      </c>
      <c r="T199" s="20">
        <f t="shared" si="2"/>
        <v>20.07111553</v>
      </c>
      <c r="U199" s="20">
        <f t="shared" si="3"/>
        <v>-40.71712241</v>
      </c>
      <c r="W199" s="20">
        <f>IFERROR(__xludf.DUMMYFUNCTION("iferror(PERCENTRANK.INC(FILTER($S$3:$S$435, $P$3:$P$435&lt;3.75), $S199), 1)"),0.666)</f>
        <v>0.666</v>
      </c>
      <c r="X199" s="20">
        <f>IFERROR(__xludf.DUMMYFUNCTION("iferror(PERCENTRANK.INC(FILTER($S$3:$S$435, $P$3:$P$435&lt;4.5), $S199), 1)"),0.468)</f>
        <v>0.468</v>
      </c>
      <c r="Y199" s="20">
        <f>IFERROR(__xludf.DUMMYFUNCTION("iferror(PERCENTRANK.INC(FILTER($S$3:$S$435, $P$3:$P$435&gt;=4.1), $S199), 0.01)"),0.011)</f>
        <v>0.011</v>
      </c>
    </row>
    <row r="200" ht="14.25" customHeight="1">
      <c r="A200" s="14" t="s">
        <v>1157</v>
      </c>
      <c r="B200" s="14" t="s">
        <v>595</v>
      </c>
      <c r="C200" s="14" t="s">
        <v>959</v>
      </c>
      <c r="D200" s="14" t="s">
        <v>959</v>
      </c>
      <c r="E200" s="14" t="s">
        <v>243</v>
      </c>
      <c r="F200" s="14">
        <v>25.0</v>
      </c>
      <c r="G200" s="14">
        <v>16.0</v>
      </c>
      <c r="H200" s="14">
        <v>369.0</v>
      </c>
      <c r="I200" s="14">
        <v>23.1</v>
      </c>
      <c r="J200" s="14">
        <v>2.0</v>
      </c>
      <c r="K200" s="20">
        <v>8.95133378830752</v>
      </c>
      <c r="L200" s="20">
        <v>70.26574464884965</v>
      </c>
      <c r="M200" s="15"/>
      <c r="N200" s="20">
        <v>8.95133378830752</v>
      </c>
      <c r="O200" s="14">
        <v>2.31</v>
      </c>
      <c r="P200" s="20">
        <v>3.97</v>
      </c>
      <c r="Q200" s="20">
        <v>0.0</v>
      </c>
      <c r="R200" s="20">
        <f t="array" ref="R200">XLOOKUP(E200, 'Conference Match'!$A$2:$A$40,'Conference Match'!$C$2:$C$40)</f>
        <v>0.9</v>
      </c>
      <c r="S200" s="20">
        <f t="shared" si="1"/>
        <v>4.058240082</v>
      </c>
      <c r="T200" s="20">
        <f t="shared" si="2"/>
        <v>29.4908516</v>
      </c>
      <c r="U200" s="20">
        <f t="shared" si="3"/>
        <v>-40.77489305</v>
      </c>
      <c r="W200" s="20">
        <f>IFERROR(__xludf.DUMMYFUNCTION("iferror(PERCENTRANK.INC(FILTER($S$3:$S$435, $P$3:$P$435&lt;3.75), $S200), 1)"),0.956)</f>
        <v>0.956</v>
      </c>
      <c r="X200" s="20">
        <f>IFERROR(__xludf.DUMMYFUNCTION("iferror(PERCENTRANK.INC(FILTER($S$3:$S$435, $P$3:$P$435&lt;4.5), $S200), 1)"),0.836)</f>
        <v>0.836</v>
      </c>
      <c r="Y200" s="20">
        <f>IFERROR(__xludf.DUMMYFUNCTION("iferror(PERCENTRANK.INC(FILTER($S$3:$S$435, $P$3:$P$435&gt;=4.1), $S200), 0.01)"),0.244)</f>
        <v>0.244</v>
      </c>
    </row>
    <row r="201" ht="14.25" customHeight="1">
      <c r="A201" s="14" t="s">
        <v>1158</v>
      </c>
      <c r="B201" s="14" t="s">
        <v>570</v>
      </c>
      <c r="C201" s="14">
        <v>0.0</v>
      </c>
      <c r="D201" s="14" t="s">
        <v>959</v>
      </c>
      <c r="E201" s="14" t="s">
        <v>144</v>
      </c>
      <c r="F201" s="14">
        <v>26.0</v>
      </c>
      <c r="G201" s="14">
        <v>15.0</v>
      </c>
      <c r="H201" s="14">
        <v>198.0</v>
      </c>
      <c r="I201" s="14">
        <v>13.2</v>
      </c>
      <c r="J201" s="14">
        <v>3.0</v>
      </c>
      <c r="K201" s="20">
        <v>5.959312133870746</v>
      </c>
      <c r="L201" s="20">
        <v>47.75708259978553</v>
      </c>
      <c r="M201" s="15"/>
      <c r="N201" s="20">
        <v>5.959312133870746</v>
      </c>
      <c r="O201" s="14">
        <v>2.22</v>
      </c>
      <c r="R201" s="20">
        <f t="array" ref="R201">XLOOKUP(E201, 'Conference Match'!$A$2:$A$40,'Conference Match'!$C$2:$C$40)</f>
        <v>0.95</v>
      </c>
      <c r="S201" s="20">
        <f t="shared" si="1"/>
        <v>1.576269305</v>
      </c>
      <c r="T201" s="20">
        <f t="shared" si="2"/>
        <v>4.765281951</v>
      </c>
      <c r="U201" s="20">
        <f t="shared" si="3"/>
        <v>-42.99180065</v>
      </c>
      <c r="W201" s="20">
        <f>IFERROR(__xludf.DUMMYFUNCTION("iferror(PERCENTRANK.INC(FILTER($S$3:$S$435, $P$3:$P$435&lt;3.75), $S201), 1)"),0.245)</f>
        <v>0.245</v>
      </c>
      <c r="X201" s="20">
        <f>IFERROR(__xludf.DUMMYFUNCTION("iferror(PERCENTRANK.INC(FILTER($S$3:$S$435, $P$3:$P$435&lt;4.5), $S201), 1)"),0.164)</f>
        <v>0.164</v>
      </c>
      <c r="Y201" s="20">
        <f>IFERROR(__xludf.DUMMYFUNCTION("iferror(PERCENTRANK.INC(FILTER($S$3:$S$435, $P$3:$P$435&gt;=4.1), $S201), 0.01)"),0.01)</f>
        <v>0.01</v>
      </c>
    </row>
    <row r="202" ht="14.25" customHeight="1">
      <c r="A202" s="14" t="s">
        <v>1159</v>
      </c>
      <c r="B202" s="14" t="s">
        <v>184</v>
      </c>
      <c r="C202" s="14">
        <v>16.0</v>
      </c>
      <c r="D202" s="14" t="s">
        <v>959</v>
      </c>
      <c r="E202" s="14" t="s">
        <v>158</v>
      </c>
      <c r="F202" s="14">
        <v>23.0</v>
      </c>
      <c r="G202" s="14">
        <v>17.0</v>
      </c>
      <c r="H202" s="14">
        <v>337.0</v>
      </c>
      <c r="I202" s="14">
        <v>19.8</v>
      </c>
      <c r="J202" s="14">
        <v>5.0</v>
      </c>
      <c r="K202" s="20">
        <v>8.712318840621782</v>
      </c>
      <c r="L202" s="20">
        <v>80.66042075558101</v>
      </c>
      <c r="M202" s="15"/>
      <c r="N202" s="20">
        <v>8.712318840621782</v>
      </c>
      <c r="O202" s="14">
        <v>2.21</v>
      </c>
      <c r="P202" s="20">
        <v>4.33</v>
      </c>
      <c r="Q202" s="14">
        <v>-1.5</v>
      </c>
      <c r="R202" s="20">
        <f t="array" ref="R202">XLOOKUP(E202, 'Conference Match'!$A$2:$A$40,'Conference Match'!$C$2:$C$40)</f>
        <v>0.95</v>
      </c>
      <c r="S202" s="20">
        <f t="shared" si="1"/>
        <v>4.11234058</v>
      </c>
      <c r="T202" s="20">
        <f t="shared" si="2"/>
        <v>30.02980461</v>
      </c>
      <c r="U202" s="20">
        <f t="shared" si="3"/>
        <v>-50.63061614</v>
      </c>
      <c r="W202" s="20">
        <f>IFERROR(__xludf.DUMMYFUNCTION("iferror(PERCENTRANK.INC(FILTER($S$3:$S$435, $P$3:$P$435&lt;3.75), $S202), 1)"),0.959)</f>
        <v>0.959</v>
      </c>
      <c r="X202" s="20">
        <f>IFERROR(__xludf.DUMMYFUNCTION("iferror(PERCENTRANK.INC(FILTER($S$3:$S$435, $P$3:$P$435&lt;4.5), $S202), 1)"),0.855)</f>
        <v>0.855</v>
      </c>
      <c r="Y202" s="20">
        <f>IFERROR(__xludf.DUMMYFUNCTION("iferror(PERCENTRANK.INC(FILTER($S$3:$S$435, $P$3:$P$435&gt;=4.1), $S202), 0.01)"),0.286)</f>
        <v>0.286</v>
      </c>
    </row>
    <row r="203" ht="14.25" customHeight="1">
      <c r="A203" s="14" t="s">
        <v>1160</v>
      </c>
      <c r="B203" s="14" t="s">
        <v>408</v>
      </c>
      <c r="C203" s="14">
        <v>82.0</v>
      </c>
      <c r="D203" s="14" t="s">
        <v>959</v>
      </c>
      <c r="E203" s="14" t="s">
        <v>147</v>
      </c>
      <c r="F203" s="14">
        <v>24.0</v>
      </c>
      <c r="G203" s="14">
        <v>18.0</v>
      </c>
      <c r="H203" s="14">
        <v>234.0</v>
      </c>
      <c r="I203" s="14">
        <v>13.0</v>
      </c>
      <c r="J203" s="14">
        <v>0.0</v>
      </c>
      <c r="K203" s="20">
        <v>5.539106538703869</v>
      </c>
      <c r="L203" s="20">
        <v>42.7348766026741</v>
      </c>
      <c r="M203" s="15"/>
      <c r="N203" s="20">
        <v>5.539106538703869</v>
      </c>
      <c r="O203" s="14">
        <v>2.17</v>
      </c>
      <c r="R203" s="20">
        <f t="array" ref="R203">XLOOKUP(E203, 'Conference Match'!$A$2:$A$40,'Conference Match'!$C$2:$C$40)</f>
        <v>0.95</v>
      </c>
      <c r="S203" s="20">
        <f t="shared" si="1"/>
        <v>1.486430242</v>
      </c>
      <c r="T203" s="20">
        <f t="shared" si="2"/>
        <v>3.870298806</v>
      </c>
      <c r="U203" s="20">
        <f t="shared" si="3"/>
        <v>-38.8645778</v>
      </c>
      <c r="W203" s="20">
        <f>IFERROR(__xludf.DUMMYFUNCTION("iferror(PERCENTRANK.INC(FILTER($S$3:$S$435, $P$3:$P$435&lt;3.75), $S203), 1)"),0.197)</f>
        <v>0.197</v>
      </c>
      <c r="X203" s="20">
        <f>IFERROR(__xludf.DUMMYFUNCTION("iferror(PERCENTRANK.INC(FILTER($S$3:$S$435, $P$3:$P$435&lt;4.5), $S203), 1)"),0.132)</f>
        <v>0.132</v>
      </c>
      <c r="Y203" s="20">
        <f>IFERROR(__xludf.DUMMYFUNCTION("iferror(PERCENTRANK.INC(FILTER($S$3:$S$435, $P$3:$P$435&gt;=4.1), $S203), 0.01)"),0.01)</f>
        <v>0.01</v>
      </c>
    </row>
    <row r="204" ht="14.25" customHeight="1">
      <c r="A204" s="14" t="s">
        <v>1161</v>
      </c>
      <c r="B204" s="14" t="s">
        <v>386</v>
      </c>
      <c r="C204" s="14">
        <v>3.0</v>
      </c>
      <c r="D204" s="14" t="s">
        <v>959</v>
      </c>
      <c r="E204" s="14" t="s">
        <v>158</v>
      </c>
      <c r="F204" s="14">
        <v>31.0</v>
      </c>
      <c r="G204" s="14">
        <v>12.0</v>
      </c>
      <c r="H204" s="14">
        <v>195.0</v>
      </c>
      <c r="I204" s="14">
        <v>16.3</v>
      </c>
      <c r="J204" s="14">
        <v>1.0</v>
      </c>
      <c r="K204" s="20">
        <v>6.213814017592807</v>
      </c>
      <c r="L204" s="20">
        <v>50.79883383157837</v>
      </c>
      <c r="M204" s="15"/>
      <c r="N204" s="20">
        <v>6.213814017592807</v>
      </c>
      <c r="O204" s="14">
        <v>2.15</v>
      </c>
      <c r="P204" s="14">
        <v>4.13</v>
      </c>
      <c r="Q204" s="14">
        <v>0.0</v>
      </c>
      <c r="R204" s="20">
        <f t="array" ref="R204">XLOOKUP(E204, 'Conference Match'!$A$2:$A$40,'Conference Match'!$C$2:$C$40)</f>
        <v>0.95</v>
      </c>
      <c r="S204" s="20">
        <f t="shared" si="1"/>
        <v>3.675624663</v>
      </c>
      <c r="T204" s="20">
        <f t="shared" si="2"/>
        <v>25.67920955</v>
      </c>
      <c r="U204" s="20">
        <f t="shared" si="3"/>
        <v>-25.11962428</v>
      </c>
      <c r="W204" s="20">
        <f>IFERROR(__xludf.DUMMYFUNCTION("iferror(PERCENTRANK.INC(FILTER($S$3:$S$435, $P$3:$P$435&lt;3.75), $S204), 1)"),0.865)</f>
        <v>0.865</v>
      </c>
      <c r="X204" s="20">
        <f>IFERROR(__xludf.DUMMYFUNCTION("iferror(PERCENTRANK.INC(FILTER($S$3:$S$435, $P$3:$P$435&lt;4.5), $S204), 1)"),0.686)</f>
        <v>0.686</v>
      </c>
      <c r="Y204" s="20">
        <f>IFERROR(__xludf.DUMMYFUNCTION("iferror(PERCENTRANK.INC(FILTER($S$3:$S$435, $P$3:$P$435&gt;=4.1), $S204), 0.01)"),0.117)</f>
        <v>0.117</v>
      </c>
    </row>
    <row r="205" ht="14.25" customHeight="1">
      <c r="A205" s="14" t="s">
        <v>1162</v>
      </c>
      <c r="B205" s="14" t="s">
        <v>309</v>
      </c>
      <c r="C205" s="14" t="s">
        <v>959</v>
      </c>
      <c r="D205" s="14" t="s">
        <v>959</v>
      </c>
      <c r="E205" s="14" t="s">
        <v>179</v>
      </c>
      <c r="F205" s="14">
        <v>22.0</v>
      </c>
      <c r="G205" s="14">
        <v>13.0</v>
      </c>
      <c r="H205" s="14">
        <v>236.0</v>
      </c>
      <c r="I205" s="14">
        <v>18.1</v>
      </c>
      <c r="J205" s="14">
        <v>2.0</v>
      </c>
      <c r="K205" s="20">
        <v>7.242877521029749</v>
      </c>
      <c r="L205" s="20">
        <v>54.72648770690032</v>
      </c>
      <c r="M205" s="15"/>
      <c r="N205" s="20">
        <v>7.242877521029749</v>
      </c>
      <c r="O205" s="14">
        <v>2.15</v>
      </c>
      <c r="R205" s="20">
        <f t="array" ref="R205">XLOOKUP(E205, 'Conference Match'!$A$2:$A$40,'Conference Match'!$C$2:$C$40)</f>
        <v>0.9</v>
      </c>
      <c r="S205" s="20">
        <f t="shared" si="1"/>
        <v>1.733717954</v>
      </c>
      <c r="T205" s="20">
        <f t="shared" si="2"/>
        <v>6.3337966</v>
      </c>
      <c r="U205" s="20">
        <f t="shared" si="3"/>
        <v>-48.39269111</v>
      </c>
      <c r="W205" s="20">
        <f>IFERROR(__xludf.DUMMYFUNCTION("iferror(PERCENTRANK.INC(FILTER($S$3:$S$435, $P$3:$P$435&lt;3.75), $S205), 1)"),0.333)</f>
        <v>0.333</v>
      </c>
      <c r="X205" s="20">
        <f>IFERROR(__xludf.DUMMYFUNCTION("iferror(PERCENTRANK.INC(FILTER($S$3:$S$435, $P$3:$P$435&lt;4.5), $S205), 1)"),0.223)</f>
        <v>0.223</v>
      </c>
      <c r="Y205" s="20">
        <f>IFERROR(__xludf.DUMMYFUNCTION("iferror(PERCENTRANK.INC(FILTER($S$3:$S$435, $P$3:$P$435&gt;=4.1), $S205), 0.01)"),0.01)</f>
        <v>0.01</v>
      </c>
    </row>
    <row r="206" ht="14.25" customHeight="1">
      <c r="A206" s="14" t="s">
        <v>1163</v>
      </c>
      <c r="B206" s="14" t="s">
        <v>384</v>
      </c>
      <c r="C206" s="14" t="s">
        <v>959</v>
      </c>
      <c r="D206" s="14" t="s">
        <v>959</v>
      </c>
      <c r="E206" s="14" t="s">
        <v>124</v>
      </c>
      <c r="F206" s="14">
        <v>27.0</v>
      </c>
      <c r="G206" s="14">
        <v>20.0</v>
      </c>
      <c r="H206" s="14">
        <v>262.0</v>
      </c>
      <c r="I206" s="14">
        <v>13.1</v>
      </c>
      <c r="J206" s="14">
        <v>2.0</v>
      </c>
      <c r="K206" s="20">
        <v>5.996827134116877</v>
      </c>
      <c r="L206" s="20">
        <v>43.393041545175194</v>
      </c>
      <c r="M206" s="15"/>
      <c r="N206" s="20">
        <v>5.996827134116877</v>
      </c>
      <c r="O206" s="14">
        <v>2.13</v>
      </c>
      <c r="R206" s="20">
        <f t="array" ref="R206">XLOOKUP(E206, 'Conference Match'!$A$2:$A$40,'Conference Match'!$C$2:$C$40)</f>
        <v>0.9</v>
      </c>
      <c r="S206" s="20">
        <f t="shared" si="1"/>
        <v>1.505428884</v>
      </c>
      <c r="T206" s="20">
        <f t="shared" si="2"/>
        <v>4.059564629</v>
      </c>
      <c r="U206" s="20">
        <f t="shared" si="3"/>
        <v>-39.33347692</v>
      </c>
      <c r="W206" s="20">
        <f>IFERROR(__xludf.DUMMYFUNCTION("iferror(PERCENTRANK.INC(FILTER($S$3:$S$435, $P$3:$P$435&lt;3.75), $S206), 1)"),0.218)</f>
        <v>0.218</v>
      </c>
      <c r="X206" s="20">
        <f>IFERROR(__xludf.DUMMYFUNCTION("iferror(PERCENTRANK.INC(FILTER($S$3:$S$435, $P$3:$P$435&lt;4.5), $S206), 1)"),0.145)</f>
        <v>0.145</v>
      </c>
      <c r="Y206" s="20">
        <f>IFERROR(__xludf.DUMMYFUNCTION("iferror(PERCENTRANK.INC(FILTER($S$3:$S$435, $P$3:$P$435&gt;=4.1), $S206), 0.01)"),0.01)</f>
        <v>0.01</v>
      </c>
    </row>
    <row r="207" ht="14.25" customHeight="1">
      <c r="A207" s="14" t="s">
        <v>1164</v>
      </c>
      <c r="B207" s="14" t="s">
        <v>455</v>
      </c>
      <c r="C207" s="14">
        <v>3.0</v>
      </c>
      <c r="D207" s="14" t="s">
        <v>959</v>
      </c>
      <c r="E207" s="14" t="s">
        <v>144</v>
      </c>
      <c r="F207" s="14">
        <v>32.0</v>
      </c>
      <c r="G207" s="14">
        <v>20.0</v>
      </c>
      <c r="H207" s="14">
        <v>263.0</v>
      </c>
      <c r="I207" s="14">
        <v>13.2</v>
      </c>
      <c r="J207" s="14">
        <v>4.0</v>
      </c>
      <c r="K207" s="20">
        <v>6.301902646513268</v>
      </c>
      <c r="L207" s="20">
        <v>51.85164998997809</v>
      </c>
      <c r="M207" s="15"/>
      <c r="N207" s="20">
        <v>6.301902646513268</v>
      </c>
      <c r="O207" s="14">
        <v>2.1</v>
      </c>
      <c r="P207" s="20">
        <v>3.46</v>
      </c>
      <c r="Q207" s="20">
        <v>-5.5</v>
      </c>
      <c r="R207" s="20">
        <f t="array" ref="R207">XLOOKUP(E207, 'Conference Match'!$A$2:$A$40,'Conference Match'!$C$2:$C$40)</f>
        <v>0.95</v>
      </c>
      <c r="S207" s="20">
        <f t="shared" si="1"/>
        <v>2.797361503</v>
      </c>
      <c r="T207" s="20">
        <f t="shared" si="2"/>
        <v>16.92988939</v>
      </c>
      <c r="U207" s="20">
        <f t="shared" si="3"/>
        <v>-34.9217606</v>
      </c>
      <c r="W207" s="20">
        <f>IFERROR(__xludf.DUMMYFUNCTION("iferror(PERCENTRANK.INC(FILTER($S$3:$S$435, $P$3:$P$435&lt;3.75), $S207), 1)"),0.605)</f>
        <v>0.605</v>
      </c>
      <c r="X207" s="20">
        <f>IFERROR(__xludf.DUMMYFUNCTION("iferror(PERCENTRANK.INC(FILTER($S$3:$S$435, $P$3:$P$435&lt;4.5), $S207), 1)"),0.405)</f>
        <v>0.405</v>
      </c>
      <c r="Y207" s="20">
        <f>IFERROR(__xludf.DUMMYFUNCTION("iferror(PERCENTRANK.INC(FILTER($S$3:$S$435, $P$3:$P$435&gt;=4.1), $S207), 0.01)"),0.01)</f>
        <v>0.01</v>
      </c>
    </row>
    <row r="208" ht="14.25" customHeight="1">
      <c r="A208" s="14" t="s">
        <v>1165</v>
      </c>
      <c r="B208" s="14" t="s">
        <v>373</v>
      </c>
      <c r="C208" s="14" t="s">
        <v>959</v>
      </c>
      <c r="D208" s="14" t="s">
        <v>959</v>
      </c>
      <c r="E208" s="14" t="s">
        <v>179</v>
      </c>
      <c r="F208" s="14">
        <v>26.0</v>
      </c>
      <c r="G208" s="14">
        <v>16.0</v>
      </c>
      <c r="H208" s="14">
        <v>272.0</v>
      </c>
      <c r="I208" s="14">
        <v>17.0</v>
      </c>
      <c r="J208" s="14">
        <v>0.0</v>
      </c>
      <c r="K208" s="20">
        <v>6.6035429031015145</v>
      </c>
      <c r="L208" s="20">
        <v>48.9114223229325</v>
      </c>
      <c r="M208" s="15"/>
      <c r="N208" s="20">
        <v>6.6035429031015145</v>
      </c>
      <c r="O208" s="14">
        <v>2.09</v>
      </c>
      <c r="P208" s="16">
        <v>4.51</v>
      </c>
      <c r="Q208" s="16">
        <v>6.0</v>
      </c>
      <c r="R208" s="20">
        <f t="array" ref="R208">XLOOKUP(E208, 'Conference Match'!$A$2:$A$40,'Conference Match'!$C$2:$C$40)</f>
        <v>0.9</v>
      </c>
      <c r="S208" s="20">
        <f t="shared" si="1"/>
        <v>4.461637723</v>
      </c>
      <c r="T208" s="20">
        <f t="shared" si="2"/>
        <v>33.50952763</v>
      </c>
      <c r="U208" s="20">
        <f t="shared" si="3"/>
        <v>-15.4018947</v>
      </c>
      <c r="W208" s="20">
        <f>IFERROR(__xludf.DUMMYFUNCTION("iferror(PERCENTRANK.INC(FILTER($S$3:$S$435, $P$3:$P$435&lt;3.75), $S208), 1)"),0.975)</f>
        <v>0.975</v>
      </c>
      <c r="X208" s="20">
        <f>IFERROR(__xludf.DUMMYFUNCTION("iferror(PERCENTRANK.INC(FILTER($S$3:$S$435, $P$3:$P$435&lt;4.5), $S208), 1)"),0.902)</f>
        <v>0.902</v>
      </c>
      <c r="Y208" s="20">
        <f>IFERROR(__xludf.DUMMYFUNCTION("iferror(PERCENTRANK.INC(FILTER($S$3:$S$435, $P$3:$P$435&gt;=4.1), $S208), 0.01)"),0.429)</f>
        <v>0.429</v>
      </c>
    </row>
    <row r="209" ht="14.25" customHeight="1">
      <c r="A209" s="14" t="s">
        <v>1166</v>
      </c>
      <c r="B209" s="14" t="s">
        <v>295</v>
      </c>
      <c r="C209" s="14">
        <v>5.0</v>
      </c>
      <c r="D209" s="14" t="s">
        <v>959</v>
      </c>
      <c r="E209" s="14" t="s">
        <v>158</v>
      </c>
      <c r="F209" s="14">
        <v>29.0</v>
      </c>
      <c r="G209" s="14">
        <v>17.0</v>
      </c>
      <c r="H209" s="14">
        <v>219.0</v>
      </c>
      <c r="I209" s="14">
        <v>12.9</v>
      </c>
      <c r="J209" s="14">
        <v>1.0</v>
      </c>
      <c r="K209" s="20">
        <v>5.517143221512789</v>
      </c>
      <c r="L209" s="20">
        <v>42.47237580643958</v>
      </c>
      <c r="M209" s="15"/>
      <c r="N209" s="20">
        <v>5.517143221512789</v>
      </c>
      <c r="O209" s="14">
        <v>2.09</v>
      </c>
      <c r="R209" s="20">
        <f t="array" ref="R209">XLOOKUP(E209, 'Conference Match'!$A$2:$A$40,'Conference Match'!$C$2:$C$40)</f>
        <v>0.95</v>
      </c>
      <c r="S209" s="20">
        <f t="shared" si="1"/>
        <v>1.466257212</v>
      </c>
      <c r="T209" s="20">
        <f t="shared" si="2"/>
        <v>3.669333642</v>
      </c>
      <c r="U209" s="20">
        <f t="shared" si="3"/>
        <v>-38.80304216</v>
      </c>
      <c r="W209" s="20">
        <f>IFERROR(__xludf.DUMMYFUNCTION("iferror(PERCENTRANK.INC(FILTER($S$3:$S$435, $P$3:$P$435&lt;3.75), $S209), 1)"),0.17)</f>
        <v>0.17</v>
      </c>
      <c r="X209" s="20">
        <f>IFERROR(__xludf.DUMMYFUNCTION("iferror(PERCENTRANK.INC(FILTER($S$3:$S$435, $P$3:$P$435&lt;4.5), $S209), 1)"),0.114)</f>
        <v>0.114</v>
      </c>
      <c r="Y209" s="20">
        <f>IFERROR(__xludf.DUMMYFUNCTION("iferror(PERCENTRANK.INC(FILTER($S$3:$S$435, $P$3:$P$435&gt;=4.1), $S209), 0.01)"),0.01)</f>
        <v>0.01</v>
      </c>
    </row>
    <row r="210" ht="14.25" customHeight="1">
      <c r="A210" s="14" t="s">
        <v>1167</v>
      </c>
      <c r="B210" s="14" t="s">
        <v>242</v>
      </c>
      <c r="C210" s="14" t="s">
        <v>959</v>
      </c>
      <c r="D210" s="14" t="s">
        <v>959</v>
      </c>
      <c r="E210" s="14" t="s">
        <v>243</v>
      </c>
      <c r="F210" s="14">
        <v>29.0</v>
      </c>
      <c r="G210" s="14">
        <v>18.0</v>
      </c>
      <c r="H210" s="14">
        <v>282.0</v>
      </c>
      <c r="I210" s="14">
        <v>15.7</v>
      </c>
      <c r="J210" s="14">
        <v>1.0</v>
      </c>
      <c r="K210" s="20">
        <v>6.443005290478306</v>
      </c>
      <c r="L210" s="20">
        <v>47.451253128567295</v>
      </c>
      <c r="M210" s="15"/>
      <c r="N210" s="20">
        <v>6.443005290478306</v>
      </c>
      <c r="O210" s="14">
        <v>2.06</v>
      </c>
      <c r="R210" s="20">
        <f t="array" ref="R210">XLOOKUP(E210, 'Conference Match'!$A$2:$A$40,'Conference Match'!$C$2:$C$40)</f>
        <v>0.9</v>
      </c>
      <c r="S210" s="20">
        <f t="shared" si="1"/>
        <v>1.571740952</v>
      </c>
      <c r="T210" s="20">
        <f t="shared" si="2"/>
        <v>4.720170174</v>
      </c>
      <c r="U210" s="20">
        <f t="shared" si="3"/>
        <v>-42.73108295</v>
      </c>
      <c r="W210" s="20">
        <f>IFERROR(__xludf.DUMMYFUNCTION("iferror(PERCENTRANK.INC(FILTER($S$3:$S$435, $P$3:$P$435&lt;3.75), $S210), 1)"),0.238)</f>
        <v>0.238</v>
      </c>
      <c r="X210" s="20">
        <f>IFERROR(__xludf.DUMMYFUNCTION("iferror(PERCENTRANK.INC(FILTER($S$3:$S$435, $P$3:$P$435&lt;4.5), $S210), 1)"),0.159)</f>
        <v>0.159</v>
      </c>
      <c r="Y210" s="20">
        <f>IFERROR(__xludf.DUMMYFUNCTION("iferror(PERCENTRANK.INC(FILTER($S$3:$S$435, $P$3:$P$435&gt;=4.1), $S210), 0.01)"),0.01)</f>
        <v>0.01</v>
      </c>
    </row>
    <row r="211" ht="14.25" customHeight="1">
      <c r="A211" s="25" t="s">
        <v>1168</v>
      </c>
      <c r="B211" s="25" t="s">
        <v>495</v>
      </c>
      <c r="C211" s="25">
        <v>11.0</v>
      </c>
      <c r="D211" s="25" t="s">
        <v>959</v>
      </c>
      <c r="E211" s="25" t="s">
        <v>182</v>
      </c>
      <c r="F211" s="25">
        <v>15.0</v>
      </c>
      <c r="G211" s="25">
        <v>11.0</v>
      </c>
      <c r="H211" s="25">
        <v>107.0</v>
      </c>
      <c r="I211" s="25">
        <v>9.7</v>
      </c>
      <c r="J211" s="25">
        <v>1.0</v>
      </c>
      <c r="K211" s="36">
        <v>4.49</v>
      </c>
      <c r="L211" s="36">
        <v>25.44</v>
      </c>
      <c r="M211" s="15"/>
      <c r="N211" s="38">
        <v>4.49</v>
      </c>
      <c r="O211" s="38">
        <v>2.05</v>
      </c>
      <c r="P211" s="16">
        <v>5.2</v>
      </c>
      <c r="Q211" s="38">
        <v>-1.5</v>
      </c>
      <c r="R211" s="20">
        <f t="array" ref="R211">XLOOKUP(E211, 'Conference Match'!$A$2:$A$40,'Conference Match'!$C$2:$C$40)</f>
        <v>1</v>
      </c>
      <c r="S211" s="20">
        <f t="shared" si="1"/>
        <v>3.758</v>
      </c>
      <c r="T211" s="20">
        <f t="shared" si="2"/>
        <v>26.49983852</v>
      </c>
      <c r="U211" s="20">
        <f t="shared" si="3"/>
        <v>1.059838519</v>
      </c>
      <c r="W211" s="20">
        <f>IFERROR(__xludf.DUMMYFUNCTION("iferror(PERCENTRANK.INC(FILTER($S$3:$S$435, $P$3:$P$435&lt;3.75), $S211), 1)"),0.886)</f>
        <v>0.886</v>
      </c>
      <c r="X211" s="20">
        <f>IFERROR(__xludf.DUMMYFUNCTION("iferror(PERCENTRANK.INC(FILTER($S$3:$S$435, $P$3:$P$435&lt;4.5), $S211), 1)"),0.715)</f>
        <v>0.715</v>
      </c>
      <c r="Y211" s="20">
        <f>IFERROR(__xludf.DUMMYFUNCTION("iferror(PERCENTRANK.INC(FILTER($S$3:$S$435, $P$3:$P$435&gt;=4.1), $S211), 0.01)"),0.156)</f>
        <v>0.156</v>
      </c>
    </row>
    <row r="212" ht="14.25" customHeight="1">
      <c r="A212" s="14" t="s">
        <v>1169</v>
      </c>
      <c r="B212" s="14" t="s">
        <v>377</v>
      </c>
      <c r="C212" s="14" t="s">
        <v>959</v>
      </c>
      <c r="D212" s="14" t="s">
        <v>959</v>
      </c>
      <c r="E212" s="14" t="s">
        <v>138</v>
      </c>
      <c r="F212" s="14">
        <v>33.0</v>
      </c>
      <c r="G212" s="14">
        <v>22.0</v>
      </c>
      <c r="H212" s="14">
        <v>335.0</v>
      </c>
      <c r="I212" s="14">
        <v>15.2</v>
      </c>
      <c r="J212" s="14">
        <v>4.0</v>
      </c>
      <c r="K212" s="20">
        <v>7.016044365433839</v>
      </c>
      <c r="L212" s="20">
        <v>52.66332767449609</v>
      </c>
      <c r="M212" s="15"/>
      <c r="N212" s="20">
        <v>7.016044365433839</v>
      </c>
      <c r="O212" s="14">
        <v>2.04</v>
      </c>
      <c r="P212" s="16">
        <v>5.34</v>
      </c>
      <c r="Q212" s="16">
        <v>2.5</v>
      </c>
      <c r="R212" s="20">
        <f t="array" ref="R212">XLOOKUP(E212, 'Conference Match'!$A$2:$A$40,'Conference Match'!$C$2:$C$40)</f>
        <v>0.9</v>
      </c>
      <c r="S212" s="20">
        <f t="shared" si="1"/>
        <v>4.590887986</v>
      </c>
      <c r="T212" s="20">
        <f t="shared" si="2"/>
        <v>34.79712795</v>
      </c>
      <c r="U212" s="20">
        <f t="shared" si="3"/>
        <v>-17.86619972</v>
      </c>
      <c r="W212" s="20">
        <f>IFERROR(__xludf.DUMMYFUNCTION("iferror(PERCENTRANK.INC(FILTER($S$3:$S$435, $P$3:$P$435&lt;3.75), $S212), 1)"),0.979)</f>
        <v>0.979</v>
      </c>
      <c r="X212" s="20">
        <f>IFERROR(__xludf.DUMMYFUNCTION("iferror(PERCENTRANK.INC(FILTER($S$3:$S$435, $P$3:$P$435&lt;4.5), $S212), 1)"),0.922)</f>
        <v>0.922</v>
      </c>
      <c r="Y212" s="20">
        <f>IFERROR(__xludf.DUMMYFUNCTION("iferror(PERCENTRANK.INC(FILTER($S$3:$S$435, $P$3:$P$435&gt;=4.1), $S212), 0.01)"),0.506)</f>
        <v>0.506</v>
      </c>
    </row>
    <row r="213" ht="14.25" customHeight="1">
      <c r="A213" s="14" t="s">
        <v>1170</v>
      </c>
      <c r="B213" s="14" t="s">
        <v>149</v>
      </c>
      <c r="C213" s="14" t="s">
        <v>959</v>
      </c>
      <c r="D213" s="14" t="s">
        <v>959</v>
      </c>
      <c r="E213" s="14" t="s">
        <v>114</v>
      </c>
      <c r="F213" s="14">
        <v>15.0</v>
      </c>
      <c r="G213" s="14">
        <v>9.0</v>
      </c>
      <c r="H213" s="14">
        <v>140.0</v>
      </c>
      <c r="I213" s="14">
        <v>15.6</v>
      </c>
      <c r="J213" s="14">
        <v>0.0</v>
      </c>
      <c r="K213" s="20">
        <v>5.953739386117257</v>
      </c>
      <c r="L213" s="20">
        <v>43.00113711072167</v>
      </c>
      <c r="M213" s="15"/>
      <c r="N213" s="20">
        <v>5.953739386117257</v>
      </c>
      <c r="O213" s="14">
        <v>2.03</v>
      </c>
      <c r="R213" s="20">
        <f t="array" ref="R213">XLOOKUP(E213, 'Conference Match'!$A$2:$A$40,'Conference Match'!$C$2:$C$40)</f>
        <v>0.9</v>
      </c>
      <c r="S213" s="20">
        <f t="shared" si="1"/>
        <v>1.47767309</v>
      </c>
      <c r="T213" s="20">
        <f t="shared" si="2"/>
        <v>3.783059426</v>
      </c>
      <c r="U213" s="20">
        <f t="shared" si="3"/>
        <v>-39.21807769</v>
      </c>
      <c r="W213" s="20">
        <f>IFERROR(__xludf.DUMMYFUNCTION("iferror(PERCENTRANK.INC(FILTER($S$3:$S$435, $P$3:$P$435&lt;3.75), $S213), 1)"),0.184)</f>
        <v>0.184</v>
      </c>
      <c r="X213" s="20">
        <f>IFERROR(__xludf.DUMMYFUNCTION("iferror(PERCENTRANK.INC(FILTER($S$3:$S$435, $P$3:$P$435&lt;4.5), $S213), 1)"),0.123)</f>
        <v>0.123</v>
      </c>
      <c r="Y213" s="20">
        <f>IFERROR(__xludf.DUMMYFUNCTION("iferror(PERCENTRANK.INC(FILTER($S$3:$S$435, $P$3:$P$435&gt;=4.1), $S213), 0.01)"),0.01)</f>
        <v>0.01</v>
      </c>
    </row>
    <row r="214" ht="14.25" customHeight="1">
      <c r="A214" s="14" t="s">
        <v>1171</v>
      </c>
      <c r="B214" s="14" t="s">
        <v>626</v>
      </c>
      <c r="C214" s="16">
        <v>1.0</v>
      </c>
      <c r="D214" s="14" t="s">
        <v>959</v>
      </c>
      <c r="E214" s="14" t="s">
        <v>172</v>
      </c>
      <c r="F214" s="14">
        <v>16.0</v>
      </c>
      <c r="G214" s="14">
        <v>10.0</v>
      </c>
      <c r="H214" s="14">
        <v>140.0</v>
      </c>
      <c r="I214" s="14">
        <v>14.0</v>
      </c>
      <c r="J214" s="14">
        <v>2.0</v>
      </c>
      <c r="K214" s="20">
        <v>5.9228746704196755</v>
      </c>
      <c r="L214" s="20">
        <v>42.720407216225084</v>
      </c>
      <c r="M214" s="15"/>
      <c r="N214" s="20">
        <v>5.9228746704196755</v>
      </c>
      <c r="O214" s="14">
        <v>1.99</v>
      </c>
      <c r="P214" s="20">
        <v>3.31</v>
      </c>
      <c r="Q214" s="20">
        <v>-3.5</v>
      </c>
      <c r="R214" s="20">
        <f t="array" ref="R214">XLOOKUP(E214, 'Conference Match'!$A$2:$A$40,'Conference Match'!$C$2:$C$40)</f>
        <v>0.9</v>
      </c>
      <c r="S214" s="20">
        <f t="shared" si="1"/>
        <v>2.769117441</v>
      </c>
      <c r="T214" s="20">
        <f t="shared" si="2"/>
        <v>16.64852003</v>
      </c>
      <c r="U214" s="20">
        <f t="shared" si="3"/>
        <v>-26.07188718</v>
      </c>
      <c r="W214" s="20">
        <f>IFERROR(__xludf.DUMMYFUNCTION("iferror(PERCENTRANK.INC(FILTER($S$3:$S$435, $P$3:$P$435&lt;3.75), $S214), 1)"),0.592)</f>
        <v>0.592</v>
      </c>
      <c r="X214" s="20">
        <f>IFERROR(__xludf.DUMMYFUNCTION("iferror(PERCENTRANK.INC(FILTER($S$3:$S$435, $P$3:$P$435&lt;4.5), $S214), 1)"),0.395)</f>
        <v>0.395</v>
      </c>
      <c r="Y214" s="20">
        <f>IFERROR(__xludf.DUMMYFUNCTION("iferror(PERCENTRANK.INC(FILTER($S$3:$S$435, $P$3:$P$435&gt;=4.1), $S214), 0.01)"),0.01)</f>
        <v>0.01</v>
      </c>
    </row>
    <row r="215" ht="14.25" customHeight="1">
      <c r="A215" s="17" t="s">
        <v>1172</v>
      </c>
      <c r="B215" s="17" t="s">
        <v>120</v>
      </c>
      <c r="D215" s="17" t="s">
        <v>959</v>
      </c>
      <c r="E215" s="17" t="s">
        <v>121</v>
      </c>
      <c r="F215" s="18">
        <v>30.0</v>
      </c>
      <c r="G215" s="18">
        <v>22.0</v>
      </c>
      <c r="H215" s="18">
        <v>276.0</v>
      </c>
      <c r="I215" s="18">
        <v>12.6</v>
      </c>
      <c r="J215" s="18">
        <v>0.0</v>
      </c>
      <c r="K215" s="18">
        <v>5.46</v>
      </c>
      <c r="L215" s="22">
        <v>38.47</v>
      </c>
      <c r="M215" s="15"/>
      <c r="N215" s="38">
        <v>5.46</v>
      </c>
      <c r="O215" s="16">
        <v>1.97</v>
      </c>
      <c r="P215" s="16">
        <v>3.84</v>
      </c>
      <c r="Q215" s="16">
        <v>-2.0</v>
      </c>
      <c r="R215" s="20">
        <f t="array" ref="R215">XLOOKUP(E215, 'Conference Match'!$A$2:$A$40,'Conference Match'!$C$2:$C$40)</f>
        <v>0.9</v>
      </c>
      <c r="S215" s="20">
        <f t="shared" si="1"/>
        <v>3.0968</v>
      </c>
      <c r="T215" s="20">
        <f t="shared" si="2"/>
        <v>19.91291703</v>
      </c>
      <c r="U215" s="20">
        <f t="shared" si="3"/>
        <v>-18.55708297</v>
      </c>
      <c r="W215" s="20">
        <f>IFERROR(__xludf.DUMMYFUNCTION("iferror(PERCENTRANK.INC(FILTER($S$3:$S$435, $P$3:$P$435&lt;3.75), $S215), 1)"),0.664)</f>
        <v>0.664</v>
      </c>
      <c r="X215" s="20">
        <f>IFERROR(__xludf.DUMMYFUNCTION("iferror(PERCENTRANK.INC(FILTER($S$3:$S$435, $P$3:$P$435&lt;4.5), $S215), 1)"),0.464)</f>
        <v>0.464</v>
      </c>
      <c r="Y215" s="20">
        <f>IFERROR(__xludf.DUMMYFUNCTION("iferror(PERCENTRANK.INC(FILTER($S$3:$S$435, $P$3:$P$435&gt;=4.1), $S215), 0.01)"),0.01)</f>
        <v>0.01</v>
      </c>
    </row>
    <row r="216" ht="14.25" customHeight="1">
      <c r="A216" s="14" t="s">
        <v>1173</v>
      </c>
      <c r="B216" s="14" t="s">
        <v>390</v>
      </c>
      <c r="C216" s="14">
        <v>19.0</v>
      </c>
      <c r="D216" s="14" t="s">
        <v>959</v>
      </c>
      <c r="E216" s="14" t="s">
        <v>147</v>
      </c>
      <c r="F216" s="14">
        <v>22.0</v>
      </c>
      <c r="G216" s="14">
        <v>13.0</v>
      </c>
      <c r="H216" s="14">
        <v>214.0</v>
      </c>
      <c r="I216" s="14">
        <v>16.5</v>
      </c>
      <c r="J216" s="14">
        <v>1.0</v>
      </c>
      <c r="K216" s="20">
        <v>6.542877521029748</v>
      </c>
      <c r="L216" s="20">
        <v>54.73172934605907</v>
      </c>
      <c r="M216" s="15"/>
      <c r="N216" s="20">
        <v>6.542877521029748</v>
      </c>
      <c r="O216" s="14">
        <v>1.96</v>
      </c>
      <c r="P216" s="20">
        <v>4.4</v>
      </c>
      <c r="Q216" s="20">
        <v>-1.0</v>
      </c>
      <c r="R216" s="20">
        <f t="array" ref="R216">XLOOKUP(E216, 'Conference Match'!$A$2:$A$40,'Conference Match'!$C$2:$C$40)</f>
        <v>0.95</v>
      </c>
      <c r="S216" s="20">
        <f t="shared" si="1"/>
        <v>3.735146729</v>
      </c>
      <c r="T216" s="20">
        <f t="shared" si="2"/>
        <v>26.27217261</v>
      </c>
      <c r="U216" s="20">
        <f t="shared" si="3"/>
        <v>-28.45955674</v>
      </c>
      <c r="W216" s="20">
        <f>IFERROR(__xludf.DUMMYFUNCTION("iferror(PERCENTRANK.INC(FILTER($S$3:$S$435, $P$3:$P$435&lt;3.75), $S216), 1)"),0.88)</f>
        <v>0.88</v>
      </c>
      <c r="X216" s="20">
        <f>IFERROR(__xludf.DUMMYFUNCTION("iferror(PERCENTRANK.INC(FILTER($S$3:$S$435, $P$3:$P$435&lt;4.5), $S216), 1)"),0.7)</f>
        <v>0.7</v>
      </c>
      <c r="Y216" s="20">
        <f>IFERROR(__xludf.DUMMYFUNCTION("iferror(PERCENTRANK.INC(FILTER($S$3:$S$435, $P$3:$P$435&gt;=4.1), $S216), 0.01)"),0.143)</f>
        <v>0.143</v>
      </c>
    </row>
    <row r="217" ht="14.25" customHeight="1">
      <c r="A217" s="14" t="s">
        <v>1174</v>
      </c>
      <c r="B217" s="14" t="s">
        <v>337</v>
      </c>
      <c r="C217" s="14" t="s">
        <v>959</v>
      </c>
      <c r="D217" s="14" t="s">
        <v>959</v>
      </c>
      <c r="E217" s="14" t="s">
        <v>138</v>
      </c>
      <c r="F217" s="14">
        <v>32.0</v>
      </c>
      <c r="G217" s="14">
        <v>22.0</v>
      </c>
      <c r="H217" s="14">
        <v>297.0</v>
      </c>
      <c r="I217" s="14">
        <v>13.5</v>
      </c>
      <c r="J217" s="14">
        <v>2.0</v>
      </c>
      <c r="K217" s="20">
        <v>6.098777646513268</v>
      </c>
      <c r="L217" s="20">
        <v>44.32033201074573</v>
      </c>
      <c r="M217" s="15"/>
      <c r="N217" s="20">
        <v>6.098777646513268</v>
      </c>
      <c r="O217" s="14">
        <v>1.94</v>
      </c>
      <c r="R217" s="20">
        <f t="array" ref="R217">XLOOKUP(E217, 'Conference Match'!$A$2:$A$40,'Conference Match'!$C$2:$C$40)</f>
        <v>0.9</v>
      </c>
      <c r="S217" s="20">
        <f t="shared" si="1"/>
        <v>1.485779976</v>
      </c>
      <c r="T217" s="20">
        <f t="shared" si="2"/>
        <v>3.86382081</v>
      </c>
      <c r="U217" s="20">
        <f t="shared" si="3"/>
        <v>-40.4565112</v>
      </c>
      <c r="W217" s="20">
        <f>IFERROR(__xludf.DUMMYFUNCTION("iferror(PERCENTRANK.INC(FILTER($S$3:$S$435, $P$3:$P$435&lt;3.75), $S217), 1)"),0.19)</f>
        <v>0.19</v>
      </c>
      <c r="X217" s="20">
        <f>IFERROR(__xludf.DUMMYFUNCTION("iferror(PERCENTRANK.INC(FILTER($S$3:$S$435, $P$3:$P$435&lt;4.5), $S217), 1)"),0.127)</f>
        <v>0.127</v>
      </c>
      <c r="Y217" s="20">
        <f>IFERROR(__xludf.DUMMYFUNCTION("iferror(PERCENTRANK.INC(FILTER($S$3:$S$435, $P$3:$P$435&gt;=4.1), $S217), 0.01)"),0.01)</f>
        <v>0.01</v>
      </c>
    </row>
    <row r="218" ht="14.25" customHeight="1">
      <c r="A218" s="14" t="s">
        <v>1175</v>
      </c>
      <c r="B218" s="14" t="s">
        <v>267</v>
      </c>
      <c r="C218" s="14">
        <v>2.0</v>
      </c>
      <c r="D218" s="14" t="s">
        <v>959</v>
      </c>
      <c r="E218" s="14" t="s">
        <v>117</v>
      </c>
      <c r="F218" s="14">
        <v>36.0</v>
      </c>
      <c r="G218" s="14">
        <v>15.0</v>
      </c>
      <c r="H218" s="14">
        <v>211.0</v>
      </c>
      <c r="I218" s="14">
        <v>14.1</v>
      </c>
      <c r="J218" s="14">
        <v>1.0</v>
      </c>
      <c r="K218" s="20">
        <v>5.679099047203256</v>
      </c>
      <c r="L218" s="20">
        <v>44.40803665533137</v>
      </c>
      <c r="M218" s="15"/>
      <c r="N218" s="20">
        <v>5.679099047203256</v>
      </c>
      <c r="O218" s="14">
        <v>1.9</v>
      </c>
      <c r="R218" s="20">
        <f t="array" ref="R218">XLOOKUP(E218, 'Conference Match'!$A$2:$A$40,'Conference Match'!$C$2:$C$40)</f>
        <v>0.95</v>
      </c>
      <c r="S218" s="20">
        <f t="shared" si="1"/>
        <v>1.459028819</v>
      </c>
      <c r="T218" s="20">
        <f t="shared" si="2"/>
        <v>3.597323875</v>
      </c>
      <c r="U218" s="20">
        <f t="shared" si="3"/>
        <v>-40.81071278</v>
      </c>
      <c r="W218" s="20">
        <f>IFERROR(__xludf.DUMMYFUNCTION("iferror(PERCENTRANK.INC(FILTER($S$3:$S$435, $P$3:$P$435&lt;3.75), $S218), 1)"),0.163)</f>
        <v>0.163</v>
      </c>
      <c r="X218" s="20">
        <f>IFERROR(__xludf.DUMMYFUNCTION("iferror(PERCENTRANK.INC(FILTER($S$3:$S$435, $P$3:$P$435&lt;4.5), $S218), 1)"),0.109)</f>
        <v>0.109</v>
      </c>
      <c r="Y218" s="20">
        <f>IFERROR(__xludf.DUMMYFUNCTION("iferror(PERCENTRANK.INC(FILTER($S$3:$S$435, $P$3:$P$435&gt;=4.1), $S218), 0.01)"),0.01)</f>
        <v>0.01</v>
      </c>
    </row>
    <row r="219" ht="14.25" customHeight="1">
      <c r="A219" s="14" t="s">
        <v>1176</v>
      </c>
      <c r="B219" s="14" t="s">
        <v>473</v>
      </c>
      <c r="C219" s="14">
        <v>2.0</v>
      </c>
      <c r="D219" s="14" t="s">
        <v>959</v>
      </c>
      <c r="E219" s="14" t="s">
        <v>117</v>
      </c>
      <c r="F219" s="14">
        <v>24.0</v>
      </c>
      <c r="G219" s="14">
        <v>12.0</v>
      </c>
      <c r="H219" s="14">
        <v>169.0</v>
      </c>
      <c r="I219" s="14">
        <v>14.1</v>
      </c>
      <c r="J219" s="14">
        <v>2.0</v>
      </c>
      <c r="K219" s="20">
        <v>5.880773205370537</v>
      </c>
      <c r="L219" s="20">
        <v>46.81840238643946</v>
      </c>
      <c r="M219" s="15"/>
      <c r="N219" s="20">
        <v>5.880773205370537</v>
      </c>
      <c r="O219" s="14">
        <v>1.88</v>
      </c>
      <c r="P219" s="20">
        <v>3.97</v>
      </c>
      <c r="Q219" s="20">
        <v>0.0</v>
      </c>
      <c r="R219" s="20">
        <f t="array" ref="R219">XLOOKUP(E219, 'Conference Match'!$A$2:$A$40,'Conference Match'!$C$2:$C$40)</f>
        <v>0.95</v>
      </c>
      <c r="S219" s="20">
        <f t="shared" si="1"/>
        <v>3.478346909</v>
      </c>
      <c r="T219" s="20">
        <f t="shared" si="2"/>
        <v>23.71391451</v>
      </c>
      <c r="U219" s="20">
        <f t="shared" si="3"/>
        <v>-23.10448788</v>
      </c>
      <c r="W219" s="20">
        <f>IFERROR(__xludf.DUMMYFUNCTION("iferror(PERCENTRANK.INC(FILTER($S$3:$S$435, $P$3:$P$435&lt;3.75), $S219), 1)"),0.809)</f>
        <v>0.809</v>
      </c>
      <c r="X219" s="20">
        <f>IFERROR(__xludf.DUMMYFUNCTION("iferror(PERCENTRANK.INC(FILTER($S$3:$S$435, $P$3:$P$435&lt;4.5), $S219), 1)"),0.609)</f>
        <v>0.609</v>
      </c>
      <c r="Y219" s="20">
        <f>IFERROR(__xludf.DUMMYFUNCTION("iferror(PERCENTRANK.INC(FILTER($S$3:$S$435, $P$3:$P$435&gt;=4.1), $S219), 0.01)"),0.05)</f>
        <v>0.05</v>
      </c>
    </row>
    <row r="220" ht="14.25" customHeight="1">
      <c r="A220" s="14" t="s">
        <v>1177</v>
      </c>
      <c r="B220" s="14" t="s">
        <v>664</v>
      </c>
      <c r="C220" s="14" t="s">
        <v>959</v>
      </c>
      <c r="D220" s="14" t="s">
        <v>959</v>
      </c>
      <c r="E220" s="14" t="s">
        <v>210</v>
      </c>
      <c r="F220" s="14">
        <v>28.0</v>
      </c>
      <c r="G220" s="14">
        <v>12.0</v>
      </c>
      <c r="H220" s="14">
        <v>242.0</v>
      </c>
      <c r="I220" s="14">
        <v>20.2</v>
      </c>
      <c r="J220" s="14">
        <v>1.0</v>
      </c>
      <c r="K220" s="20">
        <v>7.399982111923838</v>
      </c>
      <c r="L220" s="20">
        <v>56.15543186626881</v>
      </c>
      <c r="M220" s="15"/>
      <c r="N220" s="20">
        <v>7.399982111923838</v>
      </c>
      <c r="O220" s="14">
        <v>1.88</v>
      </c>
      <c r="P220" s="20">
        <v>3.69</v>
      </c>
      <c r="Q220" s="20">
        <v>-2.0</v>
      </c>
      <c r="R220" s="20">
        <f t="array" ref="R220">XLOOKUP(E220, 'Conference Match'!$A$2:$A$40,'Conference Match'!$C$2:$C$40)</f>
        <v>0.9</v>
      </c>
      <c r="S220" s="20">
        <f t="shared" si="1"/>
        <v>3.35299678</v>
      </c>
      <c r="T220" s="20">
        <f t="shared" si="2"/>
        <v>22.4651676</v>
      </c>
      <c r="U220" s="20">
        <f t="shared" si="3"/>
        <v>-33.69026427</v>
      </c>
      <c r="W220" s="20">
        <f>IFERROR(__xludf.DUMMYFUNCTION("iferror(PERCENTRANK.INC(FILTER($S$3:$S$435, $P$3:$P$435&lt;3.75), $S220), 1)"),0.755)</f>
        <v>0.755</v>
      </c>
      <c r="X220" s="20">
        <f>IFERROR(__xludf.DUMMYFUNCTION("iferror(PERCENTRANK.INC(FILTER($S$3:$S$435, $P$3:$P$435&lt;4.5), $S220), 1)"),0.559)</f>
        <v>0.559</v>
      </c>
      <c r="Y220" s="20">
        <f>IFERROR(__xludf.DUMMYFUNCTION("iferror(PERCENTRANK.INC(FILTER($S$3:$S$435, $P$3:$P$435&gt;=4.1), $S220), 0.01)"),0.035)</f>
        <v>0.035</v>
      </c>
    </row>
    <row r="221" ht="14.25" customHeight="1">
      <c r="A221" s="14" t="s">
        <v>1178</v>
      </c>
      <c r="B221" s="14" t="s">
        <v>163</v>
      </c>
      <c r="C221" s="14">
        <v>22.0</v>
      </c>
      <c r="D221" s="14" t="s">
        <v>959</v>
      </c>
      <c r="E221" s="14" t="s">
        <v>158</v>
      </c>
      <c r="F221" s="14">
        <v>35.0</v>
      </c>
      <c r="G221" s="14">
        <v>21.0</v>
      </c>
      <c r="H221" s="14">
        <v>293.0</v>
      </c>
      <c r="I221" s="14">
        <v>13.9</v>
      </c>
      <c r="J221" s="14">
        <v>1.0</v>
      </c>
      <c r="K221" s="20">
        <v>5.916374485602496</v>
      </c>
      <c r="L221" s="20">
        <v>47.243901154524124</v>
      </c>
      <c r="M221" s="15"/>
      <c r="N221" s="20">
        <v>5.916374485602496</v>
      </c>
      <c r="O221" s="14">
        <v>1.88</v>
      </c>
      <c r="R221" s="20">
        <f t="array" ref="R221">XLOOKUP(E221, 'Conference Match'!$A$2:$A$40,'Conference Match'!$C$2:$C$40)</f>
        <v>0.95</v>
      </c>
      <c r="S221" s="20">
        <f t="shared" si="1"/>
        <v>1.500111152</v>
      </c>
      <c r="T221" s="20">
        <f t="shared" si="2"/>
        <v>4.006589005</v>
      </c>
      <c r="U221" s="20">
        <f t="shared" si="3"/>
        <v>-43.23731215</v>
      </c>
      <c r="W221" s="20">
        <f>IFERROR(__xludf.DUMMYFUNCTION("iferror(PERCENTRANK.INC(FILTER($S$3:$S$435, $P$3:$P$435&lt;3.75), $S221), 1)"),0.204)</f>
        <v>0.204</v>
      </c>
      <c r="X221" s="20">
        <f>IFERROR(__xludf.DUMMYFUNCTION("iferror(PERCENTRANK.INC(FILTER($S$3:$S$435, $P$3:$P$435&lt;4.5), $S221), 1)"),0.136)</f>
        <v>0.136</v>
      </c>
      <c r="Y221" s="20">
        <f>IFERROR(__xludf.DUMMYFUNCTION("iferror(PERCENTRANK.INC(FILTER($S$3:$S$435, $P$3:$P$435&gt;=4.1), $S221), 0.01)"),0.01)</f>
        <v>0.01</v>
      </c>
    </row>
    <row r="222" ht="14.25" customHeight="1">
      <c r="A222" s="14" t="s">
        <v>1179</v>
      </c>
      <c r="B222" s="14" t="s">
        <v>249</v>
      </c>
      <c r="C222" s="14" t="s">
        <v>959</v>
      </c>
      <c r="D222" s="14" t="s">
        <v>959</v>
      </c>
      <c r="E222" s="14" t="s">
        <v>189</v>
      </c>
      <c r="F222" s="14">
        <v>20.0</v>
      </c>
      <c r="G222" s="14">
        <v>8.0</v>
      </c>
      <c r="H222" s="14">
        <v>107.0</v>
      </c>
      <c r="I222" s="14">
        <v>13.4</v>
      </c>
      <c r="J222" s="14">
        <v>3.0</v>
      </c>
      <c r="K222" s="20">
        <v>5.650582853203199</v>
      </c>
      <c r="L222" s="20">
        <v>40.24377811429373</v>
      </c>
      <c r="M222" s="15"/>
      <c r="N222" s="20">
        <v>5.650582853203199</v>
      </c>
      <c r="O222" s="14">
        <v>1.86</v>
      </c>
      <c r="P222" s="14">
        <v>3.53</v>
      </c>
      <c r="Q222" s="14">
        <v>-2.0</v>
      </c>
      <c r="R222" s="20">
        <f t="array" ref="R222">XLOOKUP(E222, 'Conference Match'!$A$2:$A$40,'Conference Match'!$C$2:$C$40)</f>
        <v>0.9</v>
      </c>
      <c r="S222" s="20">
        <f t="shared" si="1"/>
        <v>2.954104914</v>
      </c>
      <c r="T222" s="20">
        <f t="shared" si="2"/>
        <v>18.49137841</v>
      </c>
      <c r="U222" s="20">
        <f t="shared" si="3"/>
        <v>-21.7523997</v>
      </c>
      <c r="W222" s="20">
        <f>IFERROR(__xludf.DUMMYFUNCTION("iferror(PERCENTRANK.INC(FILTER($S$3:$S$435, $P$3:$P$435&lt;3.75), $S222), 1)"),0.626)</f>
        <v>0.626</v>
      </c>
      <c r="X222" s="20">
        <f>IFERROR(__xludf.DUMMYFUNCTION("iferror(PERCENTRANK.INC(FILTER($S$3:$S$435, $P$3:$P$435&lt;4.5), $S222), 1)"),0.427)</f>
        <v>0.427</v>
      </c>
      <c r="Y222" s="20">
        <f>IFERROR(__xludf.DUMMYFUNCTION("iferror(PERCENTRANK.INC(FILTER($S$3:$S$435, $P$3:$P$435&gt;=4.1), $S222), 0.01)"),0.01)</f>
        <v>0.01</v>
      </c>
    </row>
    <row r="223" ht="14.25" customHeight="1">
      <c r="A223" s="14" t="s">
        <v>1180</v>
      </c>
      <c r="B223" s="14" t="s">
        <v>523</v>
      </c>
      <c r="C223" s="14" t="s">
        <v>959</v>
      </c>
      <c r="D223" s="14" t="s">
        <v>959</v>
      </c>
      <c r="E223" s="14" t="s">
        <v>189</v>
      </c>
      <c r="F223" s="14">
        <v>30.0</v>
      </c>
      <c r="G223" s="14">
        <v>19.0</v>
      </c>
      <c r="H223" s="14">
        <v>235.0</v>
      </c>
      <c r="I223" s="14">
        <v>12.4</v>
      </c>
      <c r="J223" s="14">
        <v>1.0</v>
      </c>
      <c r="K223" s="20">
        <v>5.443562188236467</v>
      </c>
      <c r="L223" s="20">
        <v>38.36082250880018</v>
      </c>
      <c r="M223" s="15"/>
      <c r="N223" s="20">
        <v>5.443562188236467</v>
      </c>
      <c r="O223" s="14">
        <v>1.86</v>
      </c>
      <c r="P223" s="14">
        <v>3.6</v>
      </c>
      <c r="Q223" s="14">
        <v>-5.5</v>
      </c>
      <c r="R223" s="20">
        <f t="array" ref="R223">XLOOKUP(E223, 'Conference Match'!$A$2:$A$40,'Conference Match'!$C$2:$C$40)</f>
        <v>0.9</v>
      </c>
      <c r="S223" s="20">
        <f t="shared" si="1"/>
        <v>2.601841194</v>
      </c>
      <c r="T223" s="20">
        <f t="shared" si="2"/>
        <v>14.98210215</v>
      </c>
      <c r="U223" s="20">
        <f t="shared" si="3"/>
        <v>-23.37872036</v>
      </c>
      <c r="W223" s="20">
        <f>IFERROR(__xludf.DUMMYFUNCTION("iferror(PERCENTRANK.INC(FILTER($S$3:$S$435, $P$3:$P$435&lt;3.75), $S223), 1)"),0.544)</f>
        <v>0.544</v>
      </c>
      <c r="X223" s="20">
        <f>IFERROR(__xludf.DUMMYFUNCTION("iferror(PERCENTRANK.INC(FILTER($S$3:$S$435, $P$3:$P$435&lt;4.5), $S223), 1)"),0.364)</f>
        <v>0.364</v>
      </c>
      <c r="Y223" s="20">
        <f>IFERROR(__xludf.DUMMYFUNCTION("iferror(PERCENTRANK.INC(FILTER($S$3:$S$435, $P$3:$P$435&gt;=4.1), $S223), 0.01)"),0.01)</f>
        <v>0.01</v>
      </c>
    </row>
    <row r="224" ht="14.25" customHeight="1">
      <c r="A224" s="14" t="s">
        <v>1181</v>
      </c>
      <c r="B224" s="14" t="s">
        <v>232</v>
      </c>
      <c r="C224" s="14">
        <v>18.0</v>
      </c>
      <c r="D224" s="14" t="s">
        <v>959</v>
      </c>
      <c r="E224" s="14" t="s">
        <v>144</v>
      </c>
      <c r="F224" s="14">
        <v>49.0</v>
      </c>
      <c r="G224" s="14">
        <v>30.0</v>
      </c>
      <c r="H224" s="14">
        <v>342.0</v>
      </c>
      <c r="I224" s="14">
        <v>11.4</v>
      </c>
      <c r="J224" s="14">
        <v>2.0</v>
      </c>
      <c r="K224" s="20">
        <v>5.470228460063117</v>
      </c>
      <c r="L224" s="20">
        <v>41.91166076833537</v>
      </c>
      <c r="M224" s="15"/>
      <c r="N224" s="20">
        <v>5.470228460063117</v>
      </c>
      <c r="O224" s="14">
        <v>1.83</v>
      </c>
      <c r="P224" s="20">
        <v>3.84</v>
      </c>
      <c r="Q224" s="20">
        <v>-2.0</v>
      </c>
      <c r="R224" s="20">
        <f t="array" ref="R224">XLOOKUP(E224, 'Conference Match'!$A$2:$A$40,'Conference Match'!$C$2:$C$40)</f>
        <v>0.95</v>
      </c>
      <c r="S224" s="20">
        <f t="shared" si="1"/>
        <v>3.125343407</v>
      </c>
      <c r="T224" s="20">
        <f t="shared" si="2"/>
        <v>20.19726848</v>
      </c>
      <c r="U224" s="20">
        <f t="shared" si="3"/>
        <v>-21.71439228</v>
      </c>
      <c r="W224" s="20">
        <f>IFERROR(__xludf.DUMMYFUNCTION("iferror(PERCENTRANK.INC(FILTER($S$3:$S$435, $P$3:$P$435&lt;3.75), $S224), 1)"),0.671)</f>
        <v>0.671</v>
      </c>
      <c r="X224" s="20">
        <f>IFERROR(__xludf.DUMMYFUNCTION("iferror(PERCENTRANK.INC(FILTER($S$3:$S$435, $P$3:$P$435&lt;4.5), $S224), 1)"),0.477)</f>
        <v>0.477</v>
      </c>
      <c r="Y224" s="20">
        <f>IFERROR(__xludf.DUMMYFUNCTION("iferror(PERCENTRANK.INC(FILTER($S$3:$S$435, $P$3:$P$435&gt;=4.1), $S224), 0.01)"),0.013)</f>
        <v>0.013</v>
      </c>
    </row>
    <row r="225" ht="14.25" customHeight="1">
      <c r="A225" s="14" t="s">
        <v>1182</v>
      </c>
      <c r="B225" s="14" t="s">
        <v>537</v>
      </c>
      <c r="C225" s="14" t="s">
        <v>959</v>
      </c>
      <c r="D225" s="14" t="s">
        <v>959</v>
      </c>
      <c r="E225" s="14" t="s">
        <v>179</v>
      </c>
      <c r="F225" s="14">
        <v>37.0</v>
      </c>
      <c r="G225" s="14">
        <v>21.0</v>
      </c>
      <c r="H225" s="14">
        <v>288.0</v>
      </c>
      <c r="I225" s="14">
        <v>13.7</v>
      </c>
      <c r="J225" s="14">
        <v>1.0</v>
      </c>
      <c r="K225" s="20">
        <v>5.818425426174505</v>
      </c>
      <c r="L225" s="20">
        <v>41.770389545416165</v>
      </c>
      <c r="M225" s="15"/>
      <c r="N225" s="20">
        <v>5.818425426174505</v>
      </c>
      <c r="O225" s="14">
        <v>1.81</v>
      </c>
      <c r="R225" s="20">
        <f t="array" ref="R225">XLOOKUP(E225, 'Conference Match'!$A$2:$A$40,'Conference Match'!$C$2:$C$40)</f>
        <v>0.9</v>
      </c>
      <c r="S225" s="20">
        <f t="shared" si="1"/>
        <v>1.409316577</v>
      </c>
      <c r="T225" s="20">
        <f t="shared" si="2"/>
        <v>3.102086977</v>
      </c>
      <c r="U225" s="20">
        <f t="shared" si="3"/>
        <v>-38.66830257</v>
      </c>
      <c r="W225" s="20">
        <f>IFERROR(__xludf.DUMMYFUNCTION("iferror(PERCENTRANK.INC(FILTER($S$3:$S$435, $P$3:$P$435&lt;3.75), $S225), 1)"),0.143)</f>
        <v>0.143</v>
      </c>
      <c r="X225" s="20">
        <f>IFERROR(__xludf.DUMMYFUNCTION("iferror(PERCENTRANK.INC(FILTER($S$3:$S$435, $P$3:$P$435&lt;4.5), $S225), 1)"),0.095)</f>
        <v>0.095</v>
      </c>
      <c r="Y225" s="20">
        <f>IFERROR(__xludf.DUMMYFUNCTION("iferror(PERCENTRANK.INC(FILTER($S$3:$S$435, $P$3:$P$435&gt;=4.1), $S225), 0.01)"),0.01)</f>
        <v>0.01</v>
      </c>
    </row>
    <row r="226" ht="14.25" customHeight="1">
      <c r="A226" s="14" t="s">
        <v>1183</v>
      </c>
      <c r="B226" s="14" t="s">
        <v>421</v>
      </c>
      <c r="C226" s="14" t="s">
        <v>959</v>
      </c>
      <c r="D226" s="14" t="s">
        <v>959</v>
      </c>
      <c r="E226" s="14" t="s">
        <v>189</v>
      </c>
      <c r="F226" s="14">
        <v>46.0</v>
      </c>
      <c r="G226" s="14">
        <v>22.0</v>
      </c>
      <c r="H226" s="14">
        <v>343.0</v>
      </c>
      <c r="I226" s="14">
        <v>15.6</v>
      </c>
      <c r="J226" s="14">
        <v>0.0</v>
      </c>
      <c r="K226" s="20">
        <v>6.112769051902868</v>
      </c>
      <c r="L226" s="20">
        <v>44.4475907808367</v>
      </c>
      <c r="M226" s="15"/>
      <c r="N226" s="20">
        <v>6.112769051902868</v>
      </c>
      <c r="O226" s="14">
        <v>1.8</v>
      </c>
      <c r="P226" s="20">
        <v>3.4</v>
      </c>
      <c r="Q226" s="20">
        <v>-4.0</v>
      </c>
      <c r="R226" s="20">
        <f t="array" ref="R226">XLOOKUP(E226, 'Conference Match'!$A$2:$A$40,'Conference Match'!$C$2:$C$40)</f>
        <v>0.9</v>
      </c>
      <c r="S226" s="20">
        <f t="shared" si="1"/>
        <v>2.760298429</v>
      </c>
      <c r="T226" s="20">
        <f t="shared" si="2"/>
        <v>16.56066441</v>
      </c>
      <c r="U226" s="20">
        <f t="shared" si="3"/>
        <v>-27.88692637</v>
      </c>
      <c r="W226" s="20">
        <f>IFERROR(__xludf.DUMMYFUNCTION("iferror(PERCENTRANK.INC(FILTER($S$3:$S$435, $P$3:$P$435&lt;3.75), $S226), 1)"),0.585)</f>
        <v>0.585</v>
      </c>
      <c r="X226" s="20">
        <f>IFERROR(__xludf.DUMMYFUNCTION("iferror(PERCENTRANK.INC(FILTER($S$3:$S$435, $P$3:$P$435&lt;4.5), $S226), 1)"),0.391)</f>
        <v>0.391</v>
      </c>
      <c r="Y226" s="20">
        <f>IFERROR(__xludf.DUMMYFUNCTION("iferror(PERCENTRANK.INC(FILTER($S$3:$S$435, $P$3:$P$435&gt;=4.1), $S226), 0.01)"),0.01)</f>
        <v>0.01</v>
      </c>
    </row>
    <row r="227" ht="14.25" customHeight="1">
      <c r="A227" s="14" t="s">
        <v>1184</v>
      </c>
      <c r="B227" s="14" t="s">
        <v>710</v>
      </c>
      <c r="C227" s="14">
        <v>9.0</v>
      </c>
      <c r="D227" s="14" t="s">
        <v>959</v>
      </c>
      <c r="E227" s="14" t="s">
        <v>158</v>
      </c>
      <c r="F227" s="14">
        <v>44.0</v>
      </c>
      <c r="G227" s="14">
        <v>19.0</v>
      </c>
      <c r="H227" s="14">
        <v>252.0</v>
      </c>
      <c r="I227" s="14">
        <v>13.3</v>
      </c>
      <c r="J227" s="14">
        <v>3.0</v>
      </c>
      <c r="K227" s="20">
        <v>5.93801368960143</v>
      </c>
      <c r="L227" s="20">
        <v>47.502528220289406</v>
      </c>
      <c r="M227" s="15"/>
      <c r="N227" s="20">
        <v>5.93801368960143</v>
      </c>
      <c r="O227" s="14">
        <v>1.7</v>
      </c>
      <c r="R227" s="20">
        <f t="array" ref="R227">XLOOKUP(E227, 'Conference Match'!$A$2:$A$40,'Conference Match'!$C$2:$C$40)</f>
        <v>0.95</v>
      </c>
      <c r="S227" s="20">
        <f t="shared" si="1"/>
        <v>1.468222601</v>
      </c>
      <c r="T227" s="20">
        <f t="shared" si="2"/>
        <v>3.688912986</v>
      </c>
      <c r="U227" s="20">
        <f t="shared" si="3"/>
        <v>-43.81361523</v>
      </c>
      <c r="W227" s="20">
        <f>IFERROR(__xludf.DUMMYFUNCTION("iferror(PERCENTRANK.INC(FILTER($S$3:$S$435, $P$3:$P$435&lt;3.75), $S227), 1)"),0.177)</f>
        <v>0.177</v>
      </c>
      <c r="X227" s="20">
        <f>IFERROR(__xludf.DUMMYFUNCTION("iferror(PERCENTRANK.INC(FILTER($S$3:$S$435, $P$3:$P$435&lt;4.5), $S227), 1)"),0.118)</f>
        <v>0.118</v>
      </c>
      <c r="Y227" s="20">
        <f>IFERROR(__xludf.DUMMYFUNCTION("iferror(PERCENTRANK.INC(FILTER($S$3:$S$435, $P$3:$P$435&gt;=4.1), $S227), 0.01)"),0.01)</f>
        <v>0.01</v>
      </c>
    </row>
    <row r="228" ht="14.25" customHeight="1">
      <c r="A228" s="14" t="s">
        <v>1185</v>
      </c>
      <c r="B228" s="14" t="s">
        <v>747</v>
      </c>
      <c r="C228" s="14">
        <v>2.0</v>
      </c>
      <c r="D228" s="14" t="s">
        <v>959</v>
      </c>
      <c r="E228" s="14" t="s">
        <v>147</v>
      </c>
      <c r="F228" s="14">
        <v>40.0</v>
      </c>
      <c r="G228" s="14">
        <v>21.0</v>
      </c>
      <c r="H228" s="14">
        <v>282.0</v>
      </c>
      <c r="I228" s="14">
        <v>13.4</v>
      </c>
      <c r="J228" s="14">
        <v>0.0</v>
      </c>
      <c r="K228" s="20">
        <v>5.486000223346508</v>
      </c>
      <c r="L228" s="20">
        <v>42.10016145718368</v>
      </c>
      <c r="M228" s="15"/>
      <c r="N228" s="20">
        <v>5.486000223346508</v>
      </c>
      <c r="O228" s="14">
        <v>1.66</v>
      </c>
      <c r="P228" s="20">
        <v>3.4</v>
      </c>
      <c r="Q228" s="20">
        <v>0.0</v>
      </c>
      <c r="R228" s="20">
        <f t="array" ref="R228">XLOOKUP(E228, 'Conference Match'!$A$2:$A$40,'Conference Match'!$C$2:$C$40)</f>
        <v>0.95</v>
      </c>
      <c r="S228" s="20">
        <f t="shared" si="1"/>
        <v>3.074340042</v>
      </c>
      <c r="T228" s="20">
        <f t="shared" si="2"/>
        <v>19.68916933</v>
      </c>
      <c r="U228" s="20">
        <f t="shared" si="3"/>
        <v>-22.41099213</v>
      </c>
      <c r="W228" s="20">
        <f>IFERROR(__xludf.DUMMYFUNCTION("iferror(PERCENTRANK.INC(FILTER($S$3:$S$435, $P$3:$P$435&lt;3.75), $S228), 1)"),0.66)</f>
        <v>0.66</v>
      </c>
      <c r="X228" s="20">
        <f>IFERROR(__xludf.DUMMYFUNCTION("iferror(PERCENTRANK.INC(FILTER($S$3:$S$435, $P$3:$P$435&lt;4.5), $S228), 1)"),0.455)</f>
        <v>0.455</v>
      </c>
      <c r="Y228" s="20">
        <f>IFERROR(__xludf.DUMMYFUNCTION("iferror(PERCENTRANK.INC(FILTER($S$3:$S$435, $P$3:$P$435&gt;=4.1), $S228), 0.01)"),0.007)</f>
        <v>0.007</v>
      </c>
    </row>
    <row r="229" ht="14.25" customHeight="1">
      <c r="A229" s="14" t="s">
        <v>1186</v>
      </c>
      <c r="B229" s="14" t="s">
        <v>415</v>
      </c>
      <c r="C229" s="14" t="s">
        <v>959</v>
      </c>
      <c r="D229" s="14" t="s">
        <v>959</v>
      </c>
      <c r="E229" s="14" t="s">
        <v>138</v>
      </c>
      <c r="F229" s="14">
        <v>29.0</v>
      </c>
      <c r="G229" s="14">
        <v>19.0</v>
      </c>
      <c r="H229" s="14">
        <v>273.0</v>
      </c>
      <c r="I229" s="14">
        <v>14.4</v>
      </c>
      <c r="J229" s="14">
        <v>3.0</v>
      </c>
      <c r="K229" s="20">
        <v>6.495591497374859</v>
      </c>
      <c r="L229" s="20">
        <v>47.92955075679403</v>
      </c>
      <c r="M229" s="15"/>
      <c r="N229" s="20">
        <v>6.495591497374859</v>
      </c>
      <c r="O229" s="14">
        <v>1.66</v>
      </c>
      <c r="R229" s="20">
        <f t="array" ref="R229">XLOOKUP(E229, 'Conference Match'!$A$2:$A$40,'Conference Match'!$C$2:$C$40)</f>
        <v>0.9</v>
      </c>
      <c r="S229" s="20">
        <f t="shared" si="1"/>
        <v>1.50120647</v>
      </c>
      <c r="T229" s="20">
        <f t="shared" si="2"/>
        <v>4.017500633</v>
      </c>
      <c r="U229" s="20">
        <f t="shared" si="3"/>
        <v>-43.91205012</v>
      </c>
      <c r="W229" s="20">
        <f>IFERROR(__xludf.DUMMYFUNCTION("iferror(PERCENTRANK.INC(FILTER($S$3:$S$435, $P$3:$P$435&lt;3.75), $S229), 1)"),0.211)</f>
        <v>0.211</v>
      </c>
      <c r="X229" s="20">
        <f>IFERROR(__xludf.DUMMYFUNCTION("iferror(PERCENTRANK.INC(FILTER($S$3:$S$435, $P$3:$P$435&lt;4.5), $S229), 1)"),0.141)</f>
        <v>0.141</v>
      </c>
      <c r="Y229" s="20">
        <f>IFERROR(__xludf.DUMMYFUNCTION("iferror(PERCENTRANK.INC(FILTER($S$3:$S$435, $P$3:$P$435&gt;=4.1), $S229), 0.01)"),0.01)</f>
        <v>0.01</v>
      </c>
    </row>
    <row r="230" ht="14.25" customHeight="1">
      <c r="A230" s="14" t="s">
        <v>1187</v>
      </c>
      <c r="B230" s="14" t="s">
        <v>277</v>
      </c>
      <c r="C230" s="14">
        <v>1.0</v>
      </c>
      <c r="D230" s="14" t="s">
        <v>959</v>
      </c>
      <c r="E230" s="14" t="s">
        <v>132</v>
      </c>
      <c r="F230" s="14">
        <v>48.0</v>
      </c>
      <c r="G230" s="14">
        <v>25.0</v>
      </c>
      <c r="H230" s="14">
        <v>308.0</v>
      </c>
      <c r="I230" s="14">
        <v>12.3</v>
      </c>
      <c r="J230" s="14">
        <v>1.0</v>
      </c>
      <c r="K230" s="20">
        <v>5.40901210433872</v>
      </c>
      <c r="L230" s="20">
        <v>41.180016182026904</v>
      </c>
      <c r="M230" s="15"/>
      <c r="N230" s="20">
        <v>5.40901210433872</v>
      </c>
      <c r="O230" s="14">
        <v>1.66</v>
      </c>
      <c r="R230" s="20">
        <f t="array" ref="R230">XLOOKUP(E230, 'Conference Match'!$A$2:$A$40,'Conference Match'!$C$2:$C$40)</f>
        <v>0.95</v>
      </c>
      <c r="S230" s="20">
        <f t="shared" si="1"/>
        <v>1.3597123</v>
      </c>
      <c r="T230" s="20">
        <f t="shared" si="2"/>
        <v>2.607925637</v>
      </c>
      <c r="U230" s="20">
        <f t="shared" si="3"/>
        <v>-38.57209054</v>
      </c>
      <c r="W230" s="20">
        <f>IFERROR(__xludf.DUMMYFUNCTION("iferror(PERCENTRANK.INC(FILTER($S$3:$S$435, $P$3:$P$435&lt;3.75), $S230), 1)"),0.129)</f>
        <v>0.129</v>
      </c>
      <c r="X230" s="20">
        <f>IFERROR(__xludf.DUMMYFUNCTION("iferror(PERCENTRANK.INC(FILTER($S$3:$S$435, $P$3:$P$435&lt;4.5), $S230), 1)"),0.086)</f>
        <v>0.086</v>
      </c>
      <c r="Y230" s="20">
        <f>IFERROR(__xludf.DUMMYFUNCTION("iferror(PERCENTRANK.INC(FILTER($S$3:$S$435, $P$3:$P$435&gt;=4.1), $S230), 0.01)"),0.01)</f>
        <v>0.01</v>
      </c>
    </row>
    <row r="231" ht="14.25" customHeight="1">
      <c r="A231" s="14" t="s">
        <v>1188</v>
      </c>
      <c r="B231" s="14" t="s">
        <v>548</v>
      </c>
      <c r="D231" s="14" t="s">
        <v>959</v>
      </c>
      <c r="E231" s="14" t="s">
        <v>121</v>
      </c>
      <c r="F231" s="14">
        <v>24.0</v>
      </c>
      <c r="G231" s="14">
        <v>16.0</v>
      </c>
      <c r="H231" s="14">
        <v>199.0</v>
      </c>
      <c r="I231" s="14">
        <v>12.4</v>
      </c>
      <c r="J231" s="14">
        <v>1.0</v>
      </c>
      <c r="K231" s="20">
        <v>5.422439872037204</v>
      </c>
      <c r="L231" s="20">
        <v>38.168704568811926</v>
      </c>
      <c r="M231" s="15"/>
      <c r="N231" s="20">
        <v>5.422439872037204</v>
      </c>
      <c r="O231" s="14">
        <v>1.6</v>
      </c>
      <c r="P231" s="14">
        <v>3.31</v>
      </c>
      <c r="Q231" s="53">
        <v>-3.5</v>
      </c>
      <c r="R231" s="20">
        <f t="array" ref="R231">XLOOKUP(E231, 'Conference Match'!$A$2:$A$40,'Conference Match'!$C$2:$C$40)</f>
        <v>0.9</v>
      </c>
      <c r="S231" s="20">
        <f t="shared" si="1"/>
        <v>2.601039177</v>
      </c>
      <c r="T231" s="20">
        <f t="shared" si="2"/>
        <v>14.9741124</v>
      </c>
      <c r="U231" s="20">
        <f t="shared" si="3"/>
        <v>-23.19459217</v>
      </c>
      <c r="W231" s="20">
        <f>IFERROR(__xludf.DUMMYFUNCTION("iferror(PERCENTRANK.INC(FILTER($S$3:$S$435, $P$3:$P$435&lt;3.75), $S231), 1)"),0.537)</f>
        <v>0.537</v>
      </c>
      <c r="X231" s="20">
        <f>IFERROR(__xludf.DUMMYFUNCTION("iferror(PERCENTRANK.INC(FILTER($S$3:$S$435, $P$3:$P$435&lt;4.5), $S231), 1)"),0.359)</f>
        <v>0.359</v>
      </c>
      <c r="Y231" s="20">
        <f>IFERROR(__xludf.DUMMYFUNCTION("iferror(PERCENTRANK.INC(FILTER($S$3:$S$435, $P$3:$P$435&gt;=4.1), $S231), 0.01)"),0.01)</f>
        <v>0.01</v>
      </c>
    </row>
    <row r="232" ht="14.25" customHeight="1">
      <c r="A232" s="14" t="s">
        <v>1189</v>
      </c>
      <c r="B232" s="14" t="s">
        <v>473</v>
      </c>
      <c r="C232" s="14">
        <v>8.0</v>
      </c>
      <c r="D232" s="14" t="s">
        <v>959</v>
      </c>
      <c r="E232" s="14" t="s">
        <v>117</v>
      </c>
      <c r="F232" s="14">
        <v>30.0</v>
      </c>
      <c r="G232" s="14">
        <v>18.0</v>
      </c>
      <c r="H232" s="14">
        <v>264.0</v>
      </c>
      <c r="I232" s="14">
        <v>14.7</v>
      </c>
      <c r="J232" s="14">
        <v>2.0</v>
      </c>
      <c r="K232" s="20">
        <v>6.306895521569801</v>
      </c>
      <c r="L232" s="20">
        <v>51.911323748110206</v>
      </c>
      <c r="M232" s="15"/>
      <c r="N232" s="20">
        <v>6.306895521569801</v>
      </c>
      <c r="O232" s="14">
        <v>1.49</v>
      </c>
      <c r="P232" s="20">
        <v>3.4</v>
      </c>
      <c r="Q232" s="20">
        <v>-4.0</v>
      </c>
      <c r="R232" s="20">
        <f t="array" ref="R232">XLOOKUP(E232, 'Conference Match'!$A$2:$A$40,'Conference Match'!$C$2:$C$40)</f>
        <v>0.95</v>
      </c>
      <c r="S232" s="20">
        <f t="shared" si="1"/>
        <v>2.796310149</v>
      </c>
      <c r="T232" s="20">
        <f t="shared" si="2"/>
        <v>16.91941573</v>
      </c>
      <c r="U232" s="20">
        <f t="shared" si="3"/>
        <v>-34.99190802</v>
      </c>
      <c r="W232" s="20">
        <f>IFERROR(__xludf.DUMMYFUNCTION("iferror(PERCENTRANK.INC(FILTER($S$3:$S$435, $P$3:$P$435&lt;3.75), $S232), 1)"),0.599)</f>
        <v>0.599</v>
      </c>
      <c r="X232" s="20">
        <f>IFERROR(__xludf.DUMMYFUNCTION("iferror(PERCENTRANK.INC(FILTER($S$3:$S$435, $P$3:$P$435&lt;4.5), $S232), 1)"),0.4)</f>
        <v>0.4</v>
      </c>
      <c r="Y232" s="20">
        <f>IFERROR(__xludf.DUMMYFUNCTION("iferror(PERCENTRANK.INC(FILTER($S$3:$S$435, $P$3:$P$435&gt;=4.1), $S232), 0.01)"),0.01)</f>
        <v>0.01</v>
      </c>
    </row>
    <row r="233" ht="14.25" customHeight="1">
      <c r="A233" s="14" t="s">
        <v>1190</v>
      </c>
      <c r="B233" s="14" t="s">
        <v>425</v>
      </c>
      <c r="C233" s="14">
        <v>18.0</v>
      </c>
      <c r="D233" s="14" t="s">
        <v>959</v>
      </c>
      <c r="E233" s="14" t="s">
        <v>117</v>
      </c>
      <c r="F233" s="14">
        <v>33.0</v>
      </c>
      <c r="G233" s="14">
        <v>26.0</v>
      </c>
      <c r="H233" s="14">
        <v>300.0</v>
      </c>
      <c r="I233" s="14">
        <v>11.5</v>
      </c>
      <c r="J233" s="14">
        <v>3.0</v>
      </c>
      <c r="K233" s="20">
        <v>5.815286789676263</v>
      </c>
      <c r="L233" s="20">
        <v>46.03572297090596</v>
      </c>
      <c r="M233" s="15"/>
      <c r="N233" s="20">
        <v>5.815286789676263</v>
      </c>
      <c r="O233" s="14">
        <v>1.46</v>
      </c>
      <c r="P233" s="20">
        <v>4.76</v>
      </c>
      <c r="Q233" s="20">
        <v>-0.5</v>
      </c>
      <c r="R233" s="20">
        <f t="array" ref="R233">XLOOKUP(E233, 'Conference Match'!$A$2:$A$40,'Conference Match'!$C$2:$C$40)</f>
        <v>0.95</v>
      </c>
      <c r="S233" s="20">
        <f t="shared" si="1"/>
        <v>3.72690449</v>
      </c>
      <c r="T233" s="20">
        <f t="shared" si="2"/>
        <v>26.19006283</v>
      </c>
      <c r="U233" s="20">
        <f t="shared" si="3"/>
        <v>-19.84566014</v>
      </c>
      <c r="W233" s="20">
        <f>IFERROR(__xludf.DUMMYFUNCTION("iferror(PERCENTRANK.INC(FILTER($S$3:$S$435, $P$3:$P$435&lt;3.75), $S233), 1)"),0.878)</f>
        <v>0.878</v>
      </c>
      <c r="X233" s="20">
        <f>IFERROR(__xludf.DUMMYFUNCTION("iferror(PERCENTRANK.INC(FILTER($S$3:$S$435, $P$3:$P$435&lt;4.5), $S233), 1)"),0.696)</f>
        <v>0.696</v>
      </c>
      <c r="Y233" s="20">
        <f>IFERROR(__xludf.DUMMYFUNCTION("iferror(PERCENTRANK.INC(FILTER($S$3:$S$435, $P$3:$P$435&gt;=4.1), $S233), 0.01)"),0.13)</f>
        <v>0.13</v>
      </c>
    </row>
    <row r="234" ht="14.25" customHeight="1">
      <c r="A234" s="14" t="s">
        <v>1191</v>
      </c>
      <c r="B234" s="14" t="s">
        <v>493</v>
      </c>
      <c r="C234" s="14" t="s">
        <v>959</v>
      </c>
      <c r="D234" s="14" t="s">
        <v>959</v>
      </c>
      <c r="E234" s="14" t="s">
        <v>121</v>
      </c>
      <c r="F234" s="14">
        <v>38.0</v>
      </c>
      <c r="G234" s="14">
        <v>17.0</v>
      </c>
      <c r="H234" s="14">
        <v>272.0</v>
      </c>
      <c r="I234" s="14">
        <v>16.0</v>
      </c>
      <c r="J234" s="14">
        <v>1.0</v>
      </c>
      <c r="K234" s="20">
        <v>6.309878155092744</v>
      </c>
      <c r="L234" s="20">
        <v>46.24039581701424</v>
      </c>
      <c r="M234" s="15"/>
      <c r="N234" s="20">
        <v>6.309878155092744</v>
      </c>
      <c r="O234" s="14">
        <v>1.46</v>
      </c>
      <c r="R234" s="20">
        <f t="array" ref="R234">XLOOKUP(E234, 'Conference Match'!$A$2:$A$40,'Conference Match'!$C$2:$C$40)</f>
        <v>0.9</v>
      </c>
      <c r="S234" s="20">
        <f t="shared" si="1"/>
        <v>1.427778068</v>
      </c>
      <c r="T234" s="20">
        <f t="shared" si="2"/>
        <v>3.286001667</v>
      </c>
      <c r="U234" s="20">
        <f t="shared" si="3"/>
        <v>-42.95439415</v>
      </c>
      <c r="W234" s="20">
        <f>IFERROR(__xludf.DUMMYFUNCTION("iferror(PERCENTRANK.INC(FILTER($S$3:$S$435, $P$3:$P$435&lt;3.75), $S234), 1)"),0.15)</f>
        <v>0.15</v>
      </c>
      <c r="X234" s="20">
        <f>IFERROR(__xludf.DUMMYFUNCTION("iferror(PERCENTRANK.INC(FILTER($S$3:$S$435, $P$3:$P$435&lt;4.5), $S234), 1)"),0.1)</f>
        <v>0.1</v>
      </c>
      <c r="Y234" s="20">
        <f>IFERROR(__xludf.DUMMYFUNCTION("iferror(PERCENTRANK.INC(FILTER($S$3:$S$435, $P$3:$P$435&gt;=4.1), $S234), 0.01)"),0.01)</f>
        <v>0.01</v>
      </c>
    </row>
    <row r="235" ht="14.25" customHeight="1">
      <c r="A235" s="14" t="s">
        <v>1192</v>
      </c>
      <c r="B235" s="14" t="s">
        <v>394</v>
      </c>
      <c r="C235" s="14" t="s">
        <v>959</v>
      </c>
      <c r="D235" s="14" t="s">
        <v>959</v>
      </c>
      <c r="E235" s="14" t="s">
        <v>210</v>
      </c>
      <c r="F235" s="14">
        <v>17.0</v>
      </c>
      <c r="G235" s="14">
        <v>10.0</v>
      </c>
      <c r="H235" s="14">
        <v>140.0</v>
      </c>
      <c r="I235" s="14">
        <v>14.0</v>
      </c>
      <c r="J235" s="14">
        <v>1.0</v>
      </c>
      <c r="K235" s="20">
        <v>5.6822183505577755</v>
      </c>
      <c r="L235" s="20">
        <v>40.53151865017671</v>
      </c>
      <c r="M235" s="15"/>
      <c r="N235" s="20">
        <v>5.6822183505577755</v>
      </c>
      <c r="O235" s="14">
        <v>1.44</v>
      </c>
      <c r="R235" s="20">
        <f t="array" ref="R235">XLOOKUP(E235, 'Conference Match'!$A$2:$A$40,'Conference Match'!$C$2:$C$40)</f>
        <v>0.9</v>
      </c>
      <c r="S235" s="20">
        <f t="shared" si="1"/>
        <v>1.310799303</v>
      </c>
      <c r="T235" s="20">
        <f t="shared" si="2"/>
        <v>2.12065088</v>
      </c>
      <c r="U235" s="20">
        <f t="shared" si="3"/>
        <v>-38.41086777</v>
      </c>
      <c r="W235" s="20">
        <f>IFERROR(__xludf.DUMMYFUNCTION("iferror(PERCENTRANK.INC(FILTER($S$3:$S$435, $P$3:$P$435&lt;3.75), $S235), 1)"),0.109)</f>
        <v>0.109</v>
      </c>
      <c r="X235" s="20">
        <f>IFERROR(__xludf.DUMMYFUNCTION("iferror(PERCENTRANK.INC(FILTER($S$3:$S$435, $P$3:$P$435&lt;4.5), $S235), 1)"),0.073)</f>
        <v>0.073</v>
      </c>
      <c r="Y235" s="20">
        <f>IFERROR(__xludf.DUMMYFUNCTION("iferror(PERCENTRANK.INC(FILTER($S$3:$S$435, $P$3:$P$435&gt;=4.1), $S235), 0.01)"),0.01)</f>
        <v>0.01</v>
      </c>
    </row>
    <row r="236" ht="14.25" customHeight="1">
      <c r="A236" s="14" t="s">
        <v>1193</v>
      </c>
      <c r="B236" s="14" t="s">
        <v>137</v>
      </c>
      <c r="C236" s="14" t="s">
        <v>959</v>
      </c>
      <c r="D236" s="14" t="s">
        <v>959</v>
      </c>
      <c r="E236" s="14" t="s">
        <v>138</v>
      </c>
      <c r="F236" s="14">
        <v>39.0</v>
      </c>
      <c r="G236" s="14">
        <v>27.0</v>
      </c>
      <c r="H236" s="14">
        <v>408.0</v>
      </c>
      <c r="I236" s="14">
        <v>15.1</v>
      </c>
      <c r="J236" s="14">
        <v>1.0</v>
      </c>
      <c r="K236" s="20">
        <v>6.485338578170647</v>
      </c>
      <c r="L236" s="20">
        <v>47.83629537240355</v>
      </c>
      <c r="M236" s="15"/>
      <c r="N236" s="20">
        <v>6.485338578170647</v>
      </c>
      <c r="O236" s="14">
        <v>1.35</v>
      </c>
      <c r="R236" s="20">
        <f t="array" ref="R236">XLOOKUP(E236, 'Conference Match'!$A$2:$A$40,'Conference Match'!$C$2:$C$40)</f>
        <v>0.9</v>
      </c>
      <c r="S236" s="20">
        <f t="shared" si="1"/>
        <v>1.437360944</v>
      </c>
      <c r="T236" s="20">
        <f t="shared" si="2"/>
        <v>3.381466962</v>
      </c>
      <c r="U236" s="20">
        <f t="shared" si="3"/>
        <v>-44.45482841</v>
      </c>
      <c r="W236" s="20">
        <f>IFERROR(__xludf.DUMMYFUNCTION("iferror(PERCENTRANK.INC(FILTER($S$3:$S$435, $P$3:$P$435&lt;3.75), $S236), 1)"),0.156)</f>
        <v>0.156</v>
      </c>
      <c r="X236" s="20">
        <f>IFERROR(__xludf.DUMMYFUNCTION("iferror(PERCENTRANK.INC(FILTER($S$3:$S$435, $P$3:$P$435&lt;4.5), $S236), 1)"),0.105)</f>
        <v>0.105</v>
      </c>
      <c r="Y236" s="20">
        <f>IFERROR(__xludf.DUMMYFUNCTION("iferror(PERCENTRANK.INC(FILTER($S$3:$S$435, $P$3:$P$435&gt;=4.1), $S236), 0.01)"),0.01)</f>
        <v>0.01</v>
      </c>
    </row>
    <row r="237" ht="14.25" customHeight="1">
      <c r="A237" s="14" t="s">
        <v>1194</v>
      </c>
      <c r="B237" s="14" t="s">
        <v>513</v>
      </c>
      <c r="C237" s="14">
        <v>3.0</v>
      </c>
      <c r="D237" s="14" t="s">
        <v>959</v>
      </c>
      <c r="E237" s="14" t="s">
        <v>144</v>
      </c>
      <c r="F237" s="14">
        <v>38.0</v>
      </c>
      <c r="G237" s="14">
        <v>21.0</v>
      </c>
      <c r="H237" s="14">
        <v>301.0</v>
      </c>
      <c r="I237" s="14">
        <v>14.3</v>
      </c>
      <c r="J237" s="14">
        <v>0.0</v>
      </c>
      <c r="K237" s="20">
        <v>5.787509734040113</v>
      </c>
      <c r="L237" s="20">
        <v>45.703737635626055</v>
      </c>
      <c r="M237" s="15"/>
      <c r="N237" s="20">
        <v>5.787509734040113</v>
      </c>
      <c r="O237" s="14">
        <v>1.34</v>
      </c>
      <c r="P237" s="20">
        <v>4.24</v>
      </c>
      <c r="Q237" s="20">
        <v>3.0</v>
      </c>
      <c r="R237" s="20">
        <f t="array" ref="R237">XLOOKUP(E237, 'Conference Match'!$A$2:$A$40,'Conference Match'!$C$2:$C$40)</f>
        <v>0.95</v>
      </c>
      <c r="S237" s="20">
        <f t="shared" si="1"/>
        <v>3.787626849</v>
      </c>
      <c r="T237" s="20">
        <f t="shared" si="2"/>
        <v>26.7949833</v>
      </c>
      <c r="U237" s="20">
        <f t="shared" si="3"/>
        <v>-18.90875433</v>
      </c>
      <c r="W237" s="20">
        <f>IFERROR(__xludf.DUMMYFUNCTION("iferror(PERCENTRANK.INC(FILTER($S$3:$S$435, $P$3:$P$435&lt;3.75), $S237), 1)"),0.9)</f>
        <v>0.9</v>
      </c>
      <c r="X237" s="20">
        <f>IFERROR(__xludf.DUMMYFUNCTION("iferror(PERCENTRANK.INC(FILTER($S$3:$S$435, $P$3:$P$435&lt;4.5), $S237), 1)"),0.741)</f>
        <v>0.741</v>
      </c>
      <c r="Y237" s="20">
        <f>IFERROR(__xludf.DUMMYFUNCTION("iferror(PERCENTRANK.INC(FILTER($S$3:$S$435, $P$3:$P$435&gt;=4.1), $S237), 0.01)"),0.182)</f>
        <v>0.182</v>
      </c>
    </row>
    <row r="238" ht="14.25" customHeight="1">
      <c r="A238" s="14" t="s">
        <v>1195</v>
      </c>
      <c r="B238" s="14" t="s">
        <v>408</v>
      </c>
      <c r="C238" s="14">
        <v>18.0</v>
      </c>
      <c r="D238" s="14" t="s">
        <v>959</v>
      </c>
      <c r="E238" s="14" t="s">
        <v>147</v>
      </c>
      <c r="F238" s="14">
        <v>30.0</v>
      </c>
      <c r="G238" s="14">
        <v>15.0</v>
      </c>
      <c r="H238" s="14">
        <v>200.0</v>
      </c>
      <c r="I238" s="14">
        <v>13.3</v>
      </c>
      <c r="J238" s="14">
        <v>2.0</v>
      </c>
      <c r="K238" s="20">
        <v>5.718562188236469</v>
      </c>
      <c r="L238" s="20">
        <v>44.87969154484598</v>
      </c>
      <c r="M238" s="15"/>
      <c r="N238" s="20">
        <v>5.718562188236469</v>
      </c>
      <c r="O238" s="14">
        <v>1.34</v>
      </c>
      <c r="P238" s="20">
        <v>3.84</v>
      </c>
      <c r="Q238" s="20">
        <v>-2.0</v>
      </c>
      <c r="R238" s="20">
        <f t="array" ref="R238">XLOOKUP(E238, 'Conference Match'!$A$2:$A$40,'Conference Match'!$C$2:$C$40)</f>
        <v>0.95</v>
      </c>
      <c r="S238" s="20">
        <f t="shared" si="1"/>
        <v>3.074526816</v>
      </c>
      <c r="T238" s="20">
        <f t="shared" si="2"/>
        <v>19.69102998</v>
      </c>
      <c r="U238" s="20">
        <f t="shared" si="3"/>
        <v>-25.18866157</v>
      </c>
      <c r="W238" s="20">
        <f>IFERROR(__xludf.DUMMYFUNCTION("iferror(PERCENTRANK.INC(FILTER($S$3:$S$435, $P$3:$P$435&lt;3.75), $S238), 1)"),0.66)</f>
        <v>0.66</v>
      </c>
      <c r="X238" s="20">
        <f>IFERROR(__xludf.DUMMYFUNCTION("iferror(PERCENTRANK.INC(FILTER($S$3:$S$435, $P$3:$P$435&lt;4.5), $S238), 1)"),0.459)</f>
        <v>0.459</v>
      </c>
      <c r="Y238" s="20">
        <f>IFERROR(__xludf.DUMMYFUNCTION("iferror(PERCENTRANK.INC(FILTER($S$3:$S$435, $P$3:$P$435&gt;=4.1), $S238), 0.01)"),0.007)</f>
        <v>0.007</v>
      </c>
    </row>
    <row r="239" ht="14.25" customHeight="1">
      <c r="A239" s="17" t="s">
        <v>1196</v>
      </c>
      <c r="B239" s="17" t="s">
        <v>585</v>
      </c>
      <c r="C239" s="18">
        <v>6.0</v>
      </c>
      <c r="D239" s="17" t="s">
        <v>959</v>
      </c>
      <c r="E239" s="17" t="s">
        <v>144</v>
      </c>
      <c r="F239" s="18">
        <v>65.0</v>
      </c>
      <c r="G239" s="18">
        <v>42.0</v>
      </c>
      <c r="H239" s="18">
        <v>421.0</v>
      </c>
      <c r="I239" s="18">
        <v>10.0</v>
      </c>
      <c r="J239" s="18">
        <v>4.0</v>
      </c>
      <c r="K239" s="22">
        <v>5.58</v>
      </c>
      <c r="L239" s="22">
        <v>43.17</v>
      </c>
      <c r="M239" s="15"/>
      <c r="N239" s="22">
        <v>5.58</v>
      </c>
      <c r="O239" s="16">
        <v>1.33</v>
      </c>
      <c r="P239" s="16">
        <v>3.97</v>
      </c>
      <c r="Q239" s="16">
        <v>0.0</v>
      </c>
      <c r="R239" s="20">
        <f t="array" ref="R239">XLOOKUP(E239, 'Conference Match'!$A$2:$A$40,'Conference Match'!$C$2:$C$40)</f>
        <v>0.95</v>
      </c>
      <c r="S239" s="20">
        <f t="shared" si="1"/>
        <v>3.3112</v>
      </c>
      <c r="T239" s="20">
        <f t="shared" si="2"/>
        <v>22.0487851</v>
      </c>
      <c r="U239" s="20">
        <f t="shared" si="3"/>
        <v>-21.1212149</v>
      </c>
      <c r="W239" s="20">
        <f>IFERROR(__xludf.DUMMYFUNCTION("iferror(PERCENTRANK.INC(FILTER($S$3:$S$435, $P$3:$P$435&lt;3.75), $S239), 1)"),0.734)</f>
        <v>0.734</v>
      </c>
      <c r="X239" s="20">
        <f>IFERROR(__xludf.DUMMYFUNCTION("iferror(PERCENTRANK.INC(FILTER($S$3:$S$435, $P$3:$P$435&lt;4.5), $S239), 1)"),0.536)</f>
        <v>0.536</v>
      </c>
      <c r="Y239" s="20">
        <f>IFERROR(__xludf.DUMMYFUNCTION("iferror(PERCENTRANK.INC(FILTER($S$3:$S$435, $P$3:$P$435&gt;=4.1), $S239), 0.01)"),0.03)</f>
        <v>0.03</v>
      </c>
    </row>
    <row r="240" ht="14.25" customHeight="1">
      <c r="A240" s="14" t="s">
        <v>1197</v>
      </c>
      <c r="B240" s="14" t="s">
        <v>443</v>
      </c>
      <c r="C240" s="14" t="s">
        <v>959</v>
      </c>
      <c r="D240" s="14" t="s">
        <v>959</v>
      </c>
      <c r="E240" s="14" t="s">
        <v>138</v>
      </c>
      <c r="F240" s="14">
        <v>35.0</v>
      </c>
      <c r="G240" s="14">
        <v>25.0</v>
      </c>
      <c r="H240" s="14">
        <v>283.0</v>
      </c>
      <c r="I240" s="14">
        <v>11.3</v>
      </c>
      <c r="J240" s="14">
        <v>3.0</v>
      </c>
      <c r="K240" s="20">
        <v>5.666374485602496</v>
      </c>
      <c r="L240" s="20">
        <v>40.387410841736326</v>
      </c>
      <c r="M240" s="15"/>
      <c r="N240" s="20">
        <v>5.666374485602496</v>
      </c>
      <c r="O240" s="14">
        <v>1.29</v>
      </c>
      <c r="R240" s="20">
        <f t="array" ref="R240">XLOOKUP(E240, 'Conference Match'!$A$2:$A$40,'Conference Match'!$C$2:$C$40)</f>
        <v>0.9</v>
      </c>
      <c r="S240" s="20">
        <f t="shared" si="1"/>
        <v>1.277947407</v>
      </c>
      <c r="T240" s="20">
        <f t="shared" si="2"/>
        <v>1.793377956</v>
      </c>
      <c r="U240" s="20">
        <f t="shared" si="3"/>
        <v>-38.59403289</v>
      </c>
      <c r="W240" s="20">
        <f>IFERROR(__xludf.DUMMYFUNCTION("iferror(PERCENTRANK.INC(FILTER($S$3:$S$435, $P$3:$P$435&lt;3.75), $S240), 1)"),0.095)</f>
        <v>0.095</v>
      </c>
      <c r="X240" s="20">
        <f>IFERROR(__xludf.DUMMYFUNCTION("iferror(PERCENTRANK.INC(FILTER($S$3:$S$435, $P$3:$P$435&lt;4.5), $S240), 1)"),0.064)</f>
        <v>0.064</v>
      </c>
      <c r="Y240" s="20">
        <f>IFERROR(__xludf.DUMMYFUNCTION("iferror(PERCENTRANK.INC(FILTER($S$3:$S$435, $P$3:$P$435&gt;=4.1), $S240), 0.01)"),0.01)</f>
        <v>0.01</v>
      </c>
    </row>
    <row r="241" ht="14.25" customHeight="1">
      <c r="A241" s="14" t="s">
        <v>1198</v>
      </c>
      <c r="B241" s="14" t="s">
        <v>301</v>
      </c>
      <c r="C241" s="14">
        <v>9.0</v>
      </c>
      <c r="D241" s="14" t="s">
        <v>959</v>
      </c>
      <c r="E241" s="14" t="s">
        <v>144</v>
      </c>
      <c r="F241" s="14">
        <v>41.0</v>
      </c>
      <c r="G241" s="14">
        <v>21.0</v>
      </c>
      <c r="H241" s="14">
        <v>300.0</v>
      </c>
      <c r="I241" s="14">
        <v>14.3</v>
      </c>
      <c r="J241" s="14">
        <v>2.0</v>
      </c>
      <c r="K241" s="20">
        <v>6.142940463960154</v>
      </c>
      <c r="L241" s="20">
        <v>49.951768513590025</v>
      </c>
      <c r="M241" s="15"/>
      <c r="N241" s="20">
        <v>6.142940463960154</v>
      </c>
      <c r="O241" s="14">
        <v>1.25</v>
      </c>
      <c r="P241" s="20">
        <v>3.03</v>
      </c>
      <c r="Q241" s="20">
        <v>-5.5</v>
      </c>
      <c r="R241" s="20">
        <f t="array" ref="R241">XLOOKUP(E241, 'Conference Match'!$A$2:$A$40,'Conference Match'!$C$2:$C$40)</f>
        <v>0.95</v>
      </c>
      <c r="S241" s="20">
        <f t="shared" si="1"/>
        <v>2.382158688</v>
      </c>
      <c r="T241" s="20">
        <f t="shared" si="2"/>
        <v>12.79360938</v>
      </c>
      <c r="U241" s="20">
        <f t="shared" si="3"/>
        <v>-37.15815913</v>
      </c>
      <c r="W241" s="20">
        <f>IFERROR(__xludf.DUMMYFUNCTION("iferror(PERCENTRANK.INC(FILTER($S$3:$S$435, $P$3:$P$435&lt;3.75), $S241), 1)"),0.517)</f>
        <v>0.517</v>
      </c>
      <c r="X241" s="20">
        <f>IFERROR(__xludf.DUMMYFUNCTION("iferror(PERCENTRANK.INC(FILTER($S$3:$S$435, $P$3:$P$435&lt;4.5), $S241), 1)"),0.345)</f>
        <v>0.345</v>
      </c>
      <c r="Y241" s="20">
        <f>IFERROR(__xludf.DUMMYFUNCTION("iferror(PERCENTRANK.INC(FILTER($S$3:$S$435, $P$3:$P$435&gt;=4.1), $S241), 0.01)"),0.01)</f>
        <v>0.01</v>
      </c>
    </row>
    <row r="242" ht="14.25" customHeight="1">
      <c r="A242" s="14" t="s">
        <v>1199</v>
      </c>
      <c r="B242" s="14" t="s">
        <v>399</v>
      </c>
      <c r="C242" s="14" t="s">
        <v>959</v>
      </c>
      <c r="D242" s="14" t="s">
        <v>959</v>
      </c>
      <c r="E242" s="14" t="s">
        <v>210</v>
      </c>
      <c r="F242" s="14">
        <v>36.0</v>
      </c>
      <c r="G242" s="14">
        <v>19.0</v>
      </c>
      <c r="H242" s="14">
        <v>273.0</v>
      </c>
      <c r="I242" s="14">
        <v>14.4</v>
      </c>
      <c r="J242" s="14">
        <v>3.0</v>
      </c>
      <c r="K242" s="20">
        <v>6.354099047203256</v>
      </c>
      <c r="L242" s="20">
        <v>46.642606759060996</v>
      </c>
      <c r="M242" s="15"/>
      <c r="N242" s="20">
        <v>6.354099047203256</v>
      </c>
      <c r="O242" s="14">
        <v>1.24</v>
      </c>
      <c r="R242" s="20">
        <f t="array" ref="R242">XLOOKUP(E242, 'Conference Match'!$A$2:$A$40,'Conference Match'!$C$2:$C$40)</f>
        <v>0.9</v>
      </c>
      <c r="S242" s="20">
        <f t="shared" si="1"/>
        <v>1.391737828</v>
      </c>
      <c r="T242" s="20">
        <f t="shared" si="2"/>
        <v>2.926966235</v>
      </c>
      <c r="U242" s="20">
        <f t="shared" si="3"/>
        <v>-43.71564052</v>
      </c>
      <c r="W242" s="20">
        <f>IFERROR(__xludf.DUMMYFUNCTION("iferror(PERCENTRANK.INC(FILTER($S$3:$S$435, $P$3:$P$435&lt;3.75), $S242), 1)"),0.136)</f>
        <v>0.136</v>
      </c>
      <c r="X242" s="20">
        <f>IFERROR(__xludf.DUMMYFUNCTION("iferror(PERCENTRANK.INC(FILTER($S$3:$S$435, $P$3:$P$435&lt;4.5), $S242), 1)"),0.091)</f>
        <v>0.091</v>
      </c>
      <c r="Y242" s="20">
        <f>IFERROR(__xludf.DUMMYFUNCTION("iferror(PERCENTRANK.INC(FILTER($S$3:$S$435, $P$3:$P$435&gt;=4.1), $S242), 0.01)"),0.01)</f>
        <v>0.01</v>
      </c>
    </row>
    <row r="243" ht="14.25" customHeight="1">
      <c r="A243" s="14" t="s">
        <v>1200</v>
      </c>
      <c r="B243" s="14" t="s">
        <v>544</v>
      </c>
      <c r="C243" s="14">
        <v>5.0</v>
      </c>
      <c r="D243" s="14" t="s">
        <v>959</v>
      </c>
      <c r="E243" s="14" t="s">
        <v>158</v>
      </c>
      <c r="F243" s="14">
        <v>63.0</v>
      </c>
      <c r="G243" s="14">
        <v>44.0</v>
      </c>
      <c r="H243" s="14">
        <v>554.0</v>
      </c>
      <c r="I243" s="14">
        <v>12.6</v>
      </c>
      <c r="J243" s="14">
        <v>3.0</v>
      </c>
      <c r="K243" s="20">
        <v>6.25957733314414</v>
      </c>
      <c r="L243" s="20">
        <v>51.34578703842068</v>
      </c>
      <c r="M243" s="15"/>
      <c r="N243" s="20">
        <v>6.25957733314414</v>
      </c>
      <c r="O243" s="14">
        <v>1.22</v>
      </c>
      <c r="P243" s="20">
        <v>3.31</v>
      </c>
      <c r="Q243" s="20">
        <v>-0.5</v>
      </c>
      <c r="R243" s="20">
        <f t="array" ref="R243">XLOOKUP(E243, 'Conference Match'!$A$2:$A$40,'Conference Match'!$C$2:$C$40)</f>
        <v>0.95</v>
      </c>
      <c r="S243" s="20">
        <f t="shared" si="1"/>
        <v>3.038319693</v>
      </c>
      <c r="T243" s="20">
        <f t="shared" si="2"/>
        <v>19.33033205</v>
      </c>
      <c r="U243" s="20">
        <f t="shared" si="3"/>
        <v>-32.01545499</v>
      </c>
      <c r="W243" s="20">
        <f>IFERROR(__xludf.DUMMYFUNCTION("iferror(PERCENTRANK.INC(FILTER($S$3:$S$435, $P$3:$P$435&lt;3.75), $S243), 1)"),0.653)</f>
        <v>0.653</v>
      </c>
      <c r="X243" s="20">
        <f>IFERROR(__xludf.DUMMYFUNCTION("iferror(PERCENTRANK.INC(FILTER($S$3:$S$435, $P$3:$P$435&lt;4.5), $S243), 1)"),0.45)</f>
        <v>0.45</v>
      </c>
      <c r="Y243" s="20">
        <f>IFERROR(__xludf.DUMMYFUNCTION("iferror(PERCENTRANK.INC(FILTER($S$3:$S$435, $P$3:$P$435&gt;=4.1), $S243), 0.01)"),0.002)</f>
        <v>0.002</v>
      </c>
    </row>
    <row r="244" ht="14.25" customHeight="1">
      <c r="A244" s="14" t="s">
        <v>1201</v>
      </c>
      <c r="B244" s="14" t="s">
        <v>283</v>
      </c>
      <c r="C244" s="14" t="s">
        <v>959</v>
      </c>
      <c r="D244" s="14" t="s">
        <v>959</v>
      </c>
      <c r="E244" s="14" t="s">
        <v>124</v>
      </c>
      <c r="F244" s="14">
        <v>21.0</v>
      </c>
      <c r="G244" s="14">
        <v>13.0</v>
      </c>
      <c r="H244" s="14">
        <v>181.0</v>
      </c>
      <c r="I244" s="14">
        <v>13.9</v>
      </c>
      <c r="J244" s="14">
        <v>1.0</v>
      </c>
      <c r="K244" s="20">
        <v>5.7735315253420785</v>
      </c>
      <c r="L244" s="20">
        <v>41.362057255311335</v>
      </c>
      <c r="M244" s="15"/>
      <c r="N244" s="20">
        <v>5.7735315253420785</v>
      </c>
      <c r="O244" s="14">
        <v>1.2</v>
      </c>
      <c r="R244" s="20">
        <f t="array" ref="R244">XLOOKUP(E244, 'Conference Match'!$A$2:$A$40,'Conference Match'!$C$2:$C$40)</f>
        <v>0.9</v>
      </c>
      <c r="S244" s="20">
        <f t="shared" si="1"/>
        <v>1.279235675</v>
      </c>
      <c r="T244" s="20">
        <f t="shared" si="2"/>
        <v>1.806211765</v>
      </c>
      <c r="U244" s="20">
        <f t="shared" si="3"/>
        <v>-39.55584549</v>
      </c>
      <c r="W244" s="20">
        <f>IFERROR(__xludf.DUMMYFUNCTION("iferror(PERCENTRANK.INC(FILTER($S$3:$S$435, $P$3:$P$435&lt;3.75), $S244), 1)"),0.102)</f>
        <v>0.102</v>
      </c>
      <c r="X244" s="20">
        <f>IFERROR(__xludf.DUMMYFUNCTION("iferror(PERCENTRANK.INC(FILTER($S$3:$S$435, $P$3:$P$435&lt;4.5), $S244), 1)"),0.068)</f>
        <v>0.068</v>
      </c>
      <c r="Y244" s="20">
        <f>IFERROR(__xludf.DUMMYFUNCTION("iferror(PERCENTRANK.INC(FILTER($S$3:$S$435, $P$3:$P$435&gt;=4.1), $S244), 0.01)"),0.01)</f>
        <v>0.01</v>
      </c>
    </row>
    <row r="245" ht="14.25" customHeight="1">
      <c r="A245" s="14" t="s">
        <v>1202</v>
      </c>
      <c r="B245" s="14" t="s">
        <v>682</v>
      </c>
      <c r="C245" s="14" t="s">
        <v>959</v>
      </c>
      <c r="D245" s="14" t="s">
        <v>959</v>
      </c>
      <c r="E245" s="14" t="s">
        <v>124</v>
      </c>
      <c r="F245" s="14">
        <v>27.0</v>
      </c>
      <c r="G245" s="14">
        <v>18.0</v>
      </c>
      <c r="H245" s="14">
        <v>265.0</v>
      </c>
      <c r="I245" s="14">
        <v>14.7</v>
      </c>
      <c r="J245" s="14">
        <v>1.0</v>
      </c>
      <c r="K245" s="20">
        <v>6.18941972670947</v>
      </c>
      <c r="L245" s="20">
        <v>45.14476667781852</v>
      </c>
      <c r="M245" s="15"/>
      <c r="N245" s="20">
        <v>6.18941972670947</v>
      </c>
      <c r="O245" s="14">
        <v>1.18</v>
      </c>
      <c r="R245" s="20">
        <f t="array" ref="R245">XLOOKUP(E245, 'Conference Match'!$A$2:$A$40,'Conference Match'!$C$2:$C$40)</f>
        <v>0.9</v>
      </c>
      <c r="S245" s="20">
        <f t="shared" si="1"/>
        <v>1.350095551</v>
      </c>
      <c r="T245" s="20">
        <f t="shared" si="2"/>
        <v>2.512122899</v>
      </c>
      <c r="U245" s="20">
        <f t="shared" si="3"/>
        <v>-42.63264378</v>
      </c>
      <c r="W245" s="20">
        <f>IFERROR(__xludf.DUMMYFUNCTION("iferror(PERCENTRANK.INC(FILTER($S$3:$S$435, $P$3:$P$435&lt;3.75), $S245), 1)"),0.122)</f>
        <v>0.122</v>
      </c>
      <c r="X245" s="20">
        <f>IFERROR(__xludf.DUMMYFUNCTION("iferror(PERCENTRANK.INC(FILTER($S$3:$S$435, $P$3:$P$435&lt;4.5), $S245), 1)"),0.082)</f>
        <v>0.082</v>
      </c>
      <c r="Y245" s="20">
        <f>IFERROR(__xludf.DUMMYFUNCTION("iferror(PERCENTRANK.INC(FILTER($S$3:$S$435, $P$3:$P$435&gt;=4.1), $S245), 0.01)"),0.01)</f>
        <v>0.01</v>
      </c>
    </row>
    <row r="246" ht="14.25" customHeight="1">
      <c r="A246" s="14" t="s">
        <v>1203</v>
      </c>
      <c r="B246" s="14" t="s">
        <v>466</v>
      </c>
      <c r="C246" s="14" t="s">
        <v>959</v>
      </c>
      <c r="D246" s="14" t="s">
        <v>959</v>
      </c>
      <c r="E246" s="14" t="s">
        <v>124</v>
      </c>
      <c r="F246" s="14">
        <v>34.0</v>
      </c>
      <c r="G246" s="14">
        <v>21.0</v>
      </c>
      <c r="H246" s="14">
        <v>267.0</v>
      </c>
      <c r="I246" s="14">
        <v>12.7</v>
      </c>
      <c r="J246" s="14">
        <v>2.0</v>
      </c>
      <c r="K246" s="20">
        <v>5.759077703874236</v>
      </c>
      <c r="L246" s="20">
        <v>41.23059258168539</v>
      </c>
      <c r="M246" s="15"/>
      <c r="N246" s="20">
        <v>5.759077703874236</v>
      </c>
      <c r="O246" s="14">
        <v>1.17</v>
      </c>
      <c r="R246" s="20">
        <f t="array" ref="R246">XLOOKUP(E246, 'Conference Match'!$A$2:$A$40,'Conference Match'!$C$2:$C$40)</f>
        <v>0.9</v>
      </c>
      <c r="S246" s="20">
        <f t="shared" si="1"/>
        <v>1.270633987</v>
      </c>
      <c r="T246" s="20">
        <f t="shared" si="2"/>
        <v>1.720521137</v>
      </c>
      <c r="U246" s="20">
        <f t="shared" si="3"/>
        <v>-39.51007144</v>
      </c>
      <c r="W246" s="20">
        <f>IFERROR(__xludf.DUMMYFUNCTION("iferror(PERCENTRANK.INC(FILTER($S$3:$S$435, $P$3:$P$435&lt;3.75), $S246), 1)"),0.082)</f>
        <v>0.082</v>
      </c>
      <c r="X246" s="20">
        <f>IFERROR(__xludf.DUMMYFUNCTION("iferror(PERCENTRANK.INC(FILTER($S$3:$S$435, $P$3:$P$435&lt;4.5), $S246), 1)"),0.055)</f>
        <v>0.055</v>
      </c>
      <c r="Y246" s="20">
        <f>IFERROR(__xludf.DUMMYFUNCTION("iferror(PERCENTRANK.INC(FILTER($S$3:$S$435, $P$3:$P$435&gt;=4.1), $S246), 0.01)"),0.01)</f>
        <v>0.01</v>
      </c>
    </row>
    <row r="247" ht="14.25" customHeight="1">
      <c r="A247" s="14" t="s">
        <v>1204</v>
      </c>
      <c r="B247" s="14" t="s">
        <v>655</v>
      </c>
      <c r="C247" s="14" t="s">
        <v>959</v>
      </c>
      <c r="D247" s="14" t="s">
        <v>959</v>
      </c>
      <c r="E247" s="14" t="s">
        <v>189</v>
      </c>
      <c r="F247" s="14">
        <v>25.0</v>
      </c>
      <c r="G247" s="14">
        <v>14.0</v>
      </c>
      <c r="H247" s="14">
        <v>207.0</v>
      </c>
      <c r="I247" s="14">
        <v>14.8</v>
      </c>
      <c r="J247" s="14">
        <v>1.0</v>
      </c>
      <c r="K247" s="20">
        <v>6.008333788307519</v>
      </c>
      <c r="L247" s="20">
        <v>43.49770027097065</v>
      </c>
      <c r="M247" s="15"/>
      <c r="N247" s="20">
        <v>6.008333788307519</v>
      </c>
      <c r="O247" s="14">
        <v>1.09</v>
      </c>
      <c r="P247" s="20">
        <v>2.87</v>
      </c>
      <c r="Q247" s="20">
        <v>-5.5</v>
      </c>
      <c r="R247" s="20">
        <f t="array" ref="R247">XLOOKUP(E247, 'Conference Match'!$A$2:$A$40,'Conference Match'!$C$2:$C$40)</f>
        <v>0.9</v>
      </c>
      <c r="S247" s="20">
        <f t="shared" si="1"/>
        <v>2.184500082</v>
      </c>
      <c r="T247" s="20">
        <f t="shared" si="2"/>
        <v>10.82452027</v>
      </c>
      <c r="U247" s="20">
        <f t="shared" si="3"/>
        <v>-32.67318001</v>
      </c>
      <c r="W247" s="20">
        <f>IFERROR(__xludf.DUMMYFUNCTION("iferror(PERCENTRANK.INC(FILTER($S$3:$S$435, $P$3:$P$435&lt;3.75), $S247), 1)"),0.497)</f>
        <v>0.497</v>
      </c>
      <c r="X247" s="20">
        <f>IFERROR(__xludf.DUMMYFUNCTION("iferror(PERCENTRANK.INC(FILTER($S$3:$S$435, $P$3:$P$435&lt;4.5), $S247), 1)"),0.332)</f>
        <v>0.332</v>
      </c>
      <c r="Y247" s="20">
        <f>IFERROR(__xludf.DUMMYFUNCTION("iferror(PERCENTRANK.INC(FILTER($S$3:$S$435, $P$3:$P$435&gt;=4.1), $S247), 0.01)"),0.01)</f>
        <v>0.01</v>
      </c>
    </row>
    <row r="248" ht="14.25" customHeight="1">
      <c r="A248" s="14" t="s">
        <v>1205</v>
      </c>
      <c r="B248" s="14" t="s">
        <v>299</v>
      </c>
      <c r="C248" s="14">
        <v>81.0</v>
      </c>
      <c r="D248" s="14" t="s">
        <v>959</v>
      </c>
      <c r="E248" s="14" t="s">
        <v>147</v>
      </c>
      <c r="F248" s="14">
        <v>20.0</v>
      </c>
      <c r="G248" s="14">
        <v>13.0</v>
      </c>
      <c r="H248" s="14">
        <v>166.0</v>
      </c>
      <c r="I248" s="14">
        <v>12.8</v>
      </c>
      <c r="J248" s="14">
        <v>1.0</v>
      </c>
      <c r="K248" s="20">
        <v>5.458082853203199</v>
      </c>
      <c r="L248" s="20">
        <v>41.766499113393074</v>
      </c>
      <c r="M248" s="15"/>
      <c r="N248" s="20">
        <v>5.458082853203199</v>
      </c>
      <c r="O248" s="14">
        <v>1.09</v>
      </c>
      <c r="R248" s="20">
        <f t="array" ref="R248">XLOOKUP(E248, 'Conference Match'!$A$2:$A$40,'Conference Match'!$C$2:$C$40)</f>
        <v>0.95</v>
      </c>
      <c r="S248" s="20">
        <f t="shared" si="1"/>
        <v>1.255035742</v>
      </c>
      <c r="T248" s="20">
        <f t="shared" si="2"/>
        <v>1.565130314</v>
      </c>
      <c r="U248" s="20">
        <f t="shared" si="3"/>
        <v>-40.2013688</v>
      </c>
      <c r="W248" s="20">
        <f>IFERROR(__xludf.DUMMYFUNCTION("iferror(PERCENTRANK.INC(FILTER($S$3:$S$435, $P$3:$P$435&lt;3.75), $S248), 1)"),0.068)</f>
        <v>0.068</v>
      </c>
      <c r="X248" s="20">
        <f>IFERROR(__xludf.DUMMYFUNCTION("iferror(PERCENTRANK.INC(FILTER($S$3:$S$435, $P$3:$P$435&lt;4.5), $S248), 1)"),0.045)</f>
        <v>0.045</v>
      </c>
      <c r="Y248" s="20">
        <f>IFERROR(__xludf.DUMMYFUNCTION("iferror(PERCENTRANK.INC(FILTER($S$3:$S$435, $P$3:$P$435&gt;=4.1), $S248), 0.01)"),0.01)</f>
        <v>0.01</v>
      </c>
    </row>
    <row r="249" ht="14.25" customHeight="1">
      <c r="A249" s="14" t="s">
        <v>1206</v>
      </c>
      <c r="B249" s="14" t="s">
        <v>289</v>
      </c>
      <c r="C249" s="14" t="s">
        <v>959</v>
      </c>
      <c r="D249" s="14" t="s">
        <v>959</v>
      </c>
      <c r="E249" s="14" t="s">
        <v>172</v>
      </c>
      <c r="F249" s="14">
        <v>40.0</v>
      </c>
      <c r="G249" s="14">
        <v>28.0</v>
      </c>
      <c r="H249" s="14">
        <v>352.0</v>
      </c>
      <c r="I249" s="14">
        <v>12.6</v>
      </c>
      <c r="J249" s="14">
        <v>4.0</v>
      </c>
      <c r="K249" s="20">
        <v>6.304750223346508</v>
      </c>
      <c r="L249" s="20">
        <v>46.19375473493814</v>
      </c>
      <c r="M249" s="15"/>
      <c r="N249" s="20">
        <v>6.304750223346508</v>
      </c>
      <c r="O249" s="14">
        <v>1.04</v>
      </c>
      <c r="R249" s="20">
        <f t="array" ref="R249">XLOOKUP(E249, 'Conference Match'!$A$2:$A$40,'Conference Match'!$C$2:$C$40)</f>
        <v>0.9</v>
      </c>
      <c r="S249" s="20">
        <f t="shared" si="1"/>
        <v>1.34285504</v>
      </c>
      <c r="T249" s="20">
        <f t="shared" si="2"/>
        <v>2.439992416</v>
      </c>
      <c r="U249" s="20">
        <f t="shared" si="3"/>
        <v>-43.75376232</v>
      </c>
      <c r="W249" s="20">
        <f>IFERROR(__xludf.DUMMYFUNCTION("iferror(PERCENTRANK.INC(FILTER($S$3:$S$435, $P$3:$P$435&lt;3.75), $S249), 1)"),0.116)</f>
        <v>0.116</v>
      </c>
      <c r="X249" s="20">
        <f>IFERROR(__xludf.DUMMYFUNCTION("iferror(PERCENTRANK.INC(FILTER($S$3:$S$435, $P$3:$P$435&lt;4.5), $S249), 1)"),0.077)</f>
        <v>0.077</v>
      </c>
      <c r="Y249" s="20">
        <f>IFERROR(__xludf.DUMMYFUNCTION("iferror(PERCENTRANK.INC(FILTER($S$3:$S$435, $P$3:$P$435&gt;=4.1), $S249), 0.01)"),0.01)</f>
        <v>0.01</v>
      </c>
    </row>
    <row r="250" ht="14.25" customHeight="1">
      <c r="A250" s="14" t="s">
        <v>1207</v>
      </c>
      <c r="B250" s="14" t="s">
        <v>333</v>
      </c>
      <c r="C250" s="14">
        <v>7.0</v>
      </c>
      <c r="D250" s="14" t="s">
        <v>959</v>
      </c>
      <c r="E250" s="14" t="s">
        <v>147</v>
      </c>
      <c r="F250" s="14">
        <v>16.0</v>
      </c>
      <c r="G250" s="14">
        <v>10.0</v>
      </c>
      <c r="H250" s="14">
        <v>136.0</v>
      </c>
      <c r="I250" s="14">
        <v>13.6</v>
      </c>
      <c r="J250" s="14">
        <v>1.0</v>
      </c>
      <c r="K250" s="20">
        <v>5.597874670419675</v>
      </c>
      <c r="L250" s="20">
        <v>43.43726054743081</v>
      </c>
      <c r="M250" s="15"/>
      <c r="N250" s="20">
        <v>5.597874670419675</v>
      </c>
      <c r="O250" s="14">
        <v>1.01</v>
      </c>
      <c r="R250" s="20">
        <f t="array" ref="R250">XLOOKUP(E250, 'Conference Match'!$A$2:$A$40,'Conference Match'!$C$2:$C$40)</f>
        <v>0.95</v>
      </c>
      <c r="S250" s="20">
        <f t="shared" si="1"/>
        <v>1.265596187</v>
      </c>
      <c r="T250" s="20">
        <f t="shared" si="2"/>
        <v>1.670334222</v>
      </c>
      <c r="U250" s="20">
        <f t="shared" si="3"/>
        <v>-41.76692633</v>
      </c>
      <c r="W250" s="20">
        <f>IFERROR(__xludf.DUMMYFUNCTION("iferror(PERCENTRANK.INC(FILTER($S$3:$S$435, $P$3:$P$435&lt;3.75), $S250), 1)"),0.075)</f>
        <v>0.075</v>
      </c>
      <c r="X250" s="20">
        <f>IFERROR(__xludf.DUMMYFUNCTION("iferror(PERCENTRANK.INC(FILTER($S$3:$S$435, $P$3:$P$435&lt;4.5), $S250), 1)"),0.05)</f>
        <v>0.05</v>
      </c>
      <c r="Y250" s="20">
        <f>IFERROR(__xludf.DUMMYFUNCTION("iferror(PERCENTRANK.INC(FILTER($S$3:$S$435, $P$3:$P$435&gt;=4.1), $S250), 0.01)"),0.01)</f>
        <v>0.01</v>
      </c>
    </row>
    <row r="251" ht="14.25" customHeight="1">
      <c r="A251" s="17" t="s">
        <v>1208</v>
      </c>
      <c r="B251" s="17" t="s">
        <v>590</v>
      </c>
      <c r="C251" s="16">
        <v>14.0</v>
      </c>
      <c r="D251" s="17" t="s">
        <v>959</v>
      </c>
      <c r="E251" s="17" t="s">
        <v>124</v>
      </c>
      <c r="F251" s="18">
        <v>21.0</v>
      </c>
      <c r="G251" s="18">
        <v>13.0</v>
      </c>
      <c r="H251" s="18">
        <v>131.0</v>
      </c>
      <c r="I251" s="18">
        <v>10.1</v>
      </c>
      <c r="J251" s="18">
        <v>0.0</v>
      </c>
      <c r="K251" s="18">
        <v>4.39</v>
      </c>
      <c r="L251" s="22">
        <v>28.74</v>
      </c>
      <c r="M251" s="15"/>
      <c r="N251" s="18">
        <v>4.39</v>
      </c>
      <c r="O251" s="16">
        <v>0.99</v>
      </c>
      <c r="P251" s="16">
        <v>3.81</v>
      </c>
      <c r="Q251" s="16">
        <v>0.0</v>
      </c>
      <c r="R251" s="20">
        <f t="array" ref="R251">XLOOKUP(E251, 'Conference Match'!$A$2:$A$40,'Conference Match'!$C$2:$C$40)</f>
        <v>0.9</v>
      </c>
      <c r="S251" s="20">
        <f t="shared" si="1"/>
        <v>2.8932</v>
      </c>
      <c r="T251" s="20">
        <f t="shared" si="2"/>
        <v>17.88463933</v>
      </c>
      <c r="U251" s="20">
        <f t="shared" si="3"/>
        <v>-10.85536067</v>
      </c>
      <c r="W251" s="20">
        <f>IFERROR(__xludf.DUMMYFUNCTION("iferror(PERCENTRANK.INC(FILTER($S$3:$S$435, $P$3:$P$435&lt;3.75), $S251), 1)"),0.615)</f>
        <v>0.615</v>
      </c>
      <c r="X251" s="20">
        <f>IFERROR(__xludf.DUMMYFUNCTION("iferror(PERCENTRANK.INC(FILTER($S$3:$S$435, $P$3:$P$435&lt;4.5), $S251), 1)"),0.418)</f>
        <v>0.418</v>
      </c>
      <c r="Y251" s="20">
        <f>IFERROR(__xludf.DUMMYFUNCTION("iferror(PERCENTRANK.INC(FILTER($S$3:$S$435, $P$3:$P$435&gt;=4.1), $S251), 0.01)"),0.01)</f>
        <v>0.01</v>
      </c>
    </row>
    <row r="252" ht="14.25" customHeight="1">
      <c r="A252" s="14" t="s">
        <v>1209</v>
      </c>
      <c r="B252" s="14" t="s">
        <v>337</v>
      </c>
      <c r="C252" s="14" t="s">
        <v>959</v>
      </c>
      <c r="D252" s="14" t="s">
        <v>959</v>
      </c>
      <c r="E252" s="14" t="s">
        <v>138</v>
      </c>
      <c r="F252" s="14">
        <v>31.0</v>
      </c>
      <c r="G252" s="14">
        <v>13.0</v>
      </c>
      <c r="H252" s="14">
        <v>276.0</v>
      </c>
      <c r="I252" s="14">
        <v>21.2</v>
      </c>
      <c r="J252" s="14">
        <v>3.0</v>
      </c>
      <c r="K252" s="20">
        <v>8.108168856302484</v>
      </c>
      <c r="L252" s="20">
        <v>62.5967414827667</v>
      </c>
      <c r="M252" s="15"/>
      <c r="N252" s="20">
        <v>8.108168856302484</v>
      </c>
      <c r="O252" s="14">
        <v>0.89</v>
      </c>
      <c r="P252" s="20">
        <v>5.34</v>
      </c>
      <c r="Q252" s="20">
        <v>8.5</v>
      </c>
      <c r="R252" s="20">
        <f t="array" ref="R252">XLOOKUP(E252, 'Conference Match'!$A$2:$A$40,'Conference Match'!$C$2:$C$40)</f>
        <v>0.9</v>
      </c>
      <c r="S252" s="20">
        <f t="shared" si="1"/>
        <v>5.157470394</v>
      </c>
      <c r="T252" s="20">
        <f t="shared" si="2"/>
        <v>40.44146226</v>
      </c>
      <c r="U252" s="20">
        <f t="shared" si="3"/>
        <v>-22.15527922</v>
      </c>
      <c r="W252" s="20">
        <f>IFERROR(__xludf.DUMMYFUNCTION("iferror(PERCENTRANK.INC(FILTER($S$3:$S$435, $P$3:$P$435&lt;3.75), $S252), 1)"),1.0)</f>
        <v>1</v>
      </c>
      <c r="X252" s="20">
        <f>IFERROR(__xludf.DUMMYFUNCTION("iferror(PERCENTRANK.INC(FILTER($S$3:$S$435, $P$3:$P$435&lt;4.5), $S252), 1)"),0.984)</f>
        <v>0.984</v>
      </c>
      <c r="Y252" s="20">
        <f>IFERROR(__xludf.DUMMYFUNCTION("iferror(PERCENTRANK.INC(FILTER($S$3:$S$435, $P$3:$P$435&gt;=4.1), $S252), 0.01)"),0.766)</f>
        <v>0.766</v>
      </c>
    </row>
    <row r="253" ht="14.25" customHeight="1">
      <c r="A253" s="14" t="s">
        <v>1210</v>
      </c>
      <c r="B253" s="14" t="s">
        <v>553</v>
      </c>
      <c r="C253" s="14" t="s">
        <v>959</v>
      </c>
      <c r="D253" s="14" t="s">
        <v>959</v>
      </c>
      <c r="E253" s="14" t="s">
        <v>243</v>
      </c>
      <c r="F253" s="14">
        <v>35.0</v>
      </c>
      <c r="G253" s="14">
        <v>20.0</v>
      </c>
      <c r="H253" s="14">
        <v>277.0</v>
      </c>
      <c r="I253" s="14">
        <v>13.8</v>
      </c>
      <c r="J253" s="14">
        <v>3.0</v>
      </c>
      <c r="K253" s="20">
        <v>6.238517342745354</v>
      </c>
      <c r="L253" s="20">
        <v>45.59133384224142</v>
      </c>
      <c r="M253" s="15"/>
      <c r="N253" s="20">
        <v>6.238517342745354</v>
      </c>
      <c r="O253" s="14">
        <v>0.76</v>
      </c>
      <c r="R253" s="20">
        <f t="array" ref="R253">XLOOKUP(E253, 'Conference Match'!$A$2:$A$40,'Conference Match'!$C$2:$C$40)</f>
        <v>0.9</v>
      </c>
      <c r="S253" s="20">
        <f t="shared" si="1"/>
        <v>1.274933122</v>
      </c>
      <c r="T253" s="20">
        <f t="shared" si="2"/>
        <v>1.763349427</v>
      </c>
      <c r="U253" s="20">
        <f t="shared" si="3"/>
        <v>-43.82798442</v>
      </c>
      <c r="W253" s="20">
        <f>IFERROR(__xludf.DUMMYFUNCTION("iferror(PERCENTRANK.INC(FILTER($S$3:$S$435, $P$3:$P$435&lt;3.75), $S253), 1)"),0.088)</f>
        <v>0.088</v>
      </c>
      <c r="X253" s="20">
        <f>IFERROR(__xludf.DUMMYFUNCTION("iferror(PERCENTRANK.INC(FILTER($S$3:$S$435, $P$3:$P$435&lt;4.5), $S253), 1)"),0.059)</f>
        <v>0.059</v>
      </c>
      <c r="Y253" s="20">
        <f>IFERROR(__xludf.DUMMYFUNCTION("iferror(PERCENTRANK.INC(FILTER($S$3:$S$435, $P$3:$P$435&gt;=4.1), $S253), 0.01)"),0.01)</f>
        <v>0.01</v>
      </c>
    </row>
    <row r="254" ht="14.25" customHeight="1">
      <c r="A254" s="14" t="s">
        <v>1211</v>
      </c>
      <c r="B254" s="14" t="s">
        <v>497</v>
      </c>
      <c r="C254" s="14" t="s">
        <v>959</v>
      </c>
      <c r="D254" s="14" t="s">
        <v>959</v>
      </c>
      <c r="E254" s="14" t="s">
        <v>105</v>
      </c>
      <c r="F254" s="14">
        <v>22.0</v>
      </c>
      <c r="G254" s="14">
        <v>10.0</v>
      </c>
      <c r="H254" s="14">
        <v>157.0</v>
      </c>
      <c r="I254" s="14">
        <v>15.7</v>
      </c>
      <c r="J254" s="14">
        <v>0.0</v>
      </c>
      <c r="K254" s="20">
        <v>5.84969570284793</v>
      </c>
      <c r="L254" s="20">
        <v>42.05480821809805</v>
      </c>
      <c r="M254" s="15"/>
      <c r="N254" s="20">
        <v>5.84969570284793</v>
      </c>
      <c r="O254" s="14">
        <v>0.75</v>
      </c>
      <c r="R254" s="20">
        <f t="array" ref="R254">XLOOKUP(E254, 'Conference Match'!$A$2:$A$40,'Conference Match'!$C$2:$C$40)</f>
        <v>0.9</v>
      </c>
      <c r="S254" s="20">
        <f t="shared" si="1"/>
        <v>1.202945227</v>
      </c>
      <c r="T254" s="20">
        <f t="shared" si="2"/>
        <v>1.046200888</v>
      </c>
      <c r="U254" s="20">
        <f t="shared" si="3"/>
        <v>-41.00860733</v>
      </c>
      <c r="W254" s="20">
        <f>IFERROR(__xludf.DUMMYFUNCTION("iferror(PERCENTRANK.INC(FILTER($S$3:$S$435, $P$3:$P$435&lt;3.75), $S254), 1)"),0.048)</f>
        <v>0.048</v>
      </c>
      <c r="X254" s="20">
        <f>IFERROR(__xludf.DUMMYFUNCTION("iferror(PERCENTRANK.INC(FILTER($S$3:$S$435, $P$3:$P$435&lt;4.5), $S254), 1)"),0.032)</f>
        <v>0.032</v>
      </c>
      <c r="Y254" s="20">
        <f>IFERROR(__xludf.DUMMYFUNCTION("iferror(PERCENTRANK.INC(FILTER($S$3:$S$435, $P$3:$P$435&gt;=4.1), $S254), 0.01)"),0.01)</f>
        <v>0.01</v>
      </c>
    </row>
    <row r="255" ht="14.25" customHeight="1">
      <c r="A255" s="14" t="s">
        <v>1212</v>
      </c>
      <c r="B255" s="14" t="s">
        <v>439</v>
      </c>
      <c r="C255" s="14">
        <v>11.0</v>
      </c>
      <c r="D255" s="14" t="s">
        <v>959</v>
      </c>
      <c r="E255" s="14" t="s">
        <v>147</v>
      </c>
      <c r="F255" s="14">
        <v>27.0</v>
      </c>
      <c r="G255" s="14">
        <v>20.0</v>
      </c>
      <c r="H255" s="14">
        <v>298.0</v>
      </c>
      <c r="I255" s="14">
        <v>14.9</v>
      </c>
      <c r="J255" s="14">
        <v>1.0</v>
      </c>
      <c r="K255" s="20">
        <v>6.38016046745021</v>
      </c>
      <c r="L255" s="20">
        <v>52.78697046678969</v>
      </c>
      <c r="M255" s="15"/>
      <c r="N255" s="20">
        <v>6.38016046745021</v>
      </c>
      <c r="O255" s="14">
        <v>0.74</v>
      </c>
      <c r="P255" s="20">
        <v>3.47</v>
      </c>
      <c r="Q255" s="20">
        <v>-3.5</v>
      </c>
      <c r="R255" s="20">
        <f t="array" ref="R255">XLOOKUP(E255, 'Conference Match'!$A$2:$A$40,'Conference Match'!$C$2:$C$40)</f>
        <v>0.95</v>
      </c>
      <c r="S255" s="20">
        <f t="shared" si="1"/>
        <v>2.745230489</v>
      </c>
      <c r="T255" s="20">
        <f t="shared" si="2"/>
        <v>16.41055652</v>
      </c>
      <c r="U255" s="20">
        <f t="shared" si="3"/>
        <v>-36.37641395</v>
      </c>
      <c r="W255" s="20">
        <f>IFERROR(__xludf.DUMMYFUNCTION("iferror(PERCENTRANK.INC(FILTER($S$3:$S$435, $P$3:$P$435&lt;3.75), $S255), 1)"),0.578)</f>
        <v>0.578</v>
      </c>
      <c r="X255" s="20">
        <f>IFERROR(__xludf.DUMMYFUNCTION("iferror(PERCENTRANK.INC(FILTER($S$3:$S$435, $P$3:$P$435&lt;4.5), $S255), 1)"),0.386)</f>
        <v>0.386</v>
      </c>
      <c r="Y255" s="20">
        <f>IFERROR(__xludf.DUMMYFUNCTION("iferror(PERCENTRANK.INC(FILTER($S$3:$S$435, $P$3:$P$435&gt;=4.1), $S255), 0.01)"),0.01)</f>
        <v>0.01</v>
      </c>
    </row>
    <row r="256" ht="14.25" customHeight="1">
      <c r="A256" s="14" t="s">
        <v>1213</v>
      </c>
      <c r="B256" s="14" t="s">
        <v>343</v>
      </c>
      <c r="C256" s="14" t="s">
        <v>959</v>
      </c>
      <c r="D256" s="14" t="s">
        <v>959</v>
      </c>
      <c r="E256" s="14" t="s">
        <v>105</v>
      </c>
      <c r="F256" s="14">
        <v>21.0</v>
      </c>
      <c r="G256" s="14">
        <v>12.0</v>
      </c>
      <c r="H256" s="14">
        <v>180.0</v>
      </c>
      <c r="I256" s="14">
        <v>15.0</v>
      </c>
      <c r="J256" s="14">
        <v>0.0</v>
      </c>
      <c r="K256" s="20">
        <v>5.831864858675411</v>
      </c>
      <c r="L256" s="20">
        <v>41.892627848371575</v>
      </c>
      <c r="M256" s="15"/>
      <c r="N256" s="20">
        <v>5.831864858675411</v>
      </c>
      <c r="O256" s="14">
        <v>0.63</v>
      </c>
      <c r="R256" s="20">
        <f t="array" ref="R256">XLOOKUP(E256, 'Conference Match'!$A$2:$A$40,'Conference Match'!$C$2:$C$40)</f>
        <v>0.9</v>
      </c>
      <c r="S256" s="20">
        <f t="shared" si="1"/>
        <v>1.175735675</v>
      </c>
      <c r="T256" s="20">
        <f t="shared" si="2"/>
        <v>0.7751373931</v>
      </c>
      <c r="U256" s="20">
        <f t="shared" si="3"/>
        <v>-41.11749046</v>
      </c>
      <c r="W256" s="20">
        <f>IFERROR(__xludf.DUMMYFUNCTION("iferror(PERCENTRANK.INC(FILTER($S$3:$S$435, $P$3:$P$435&lt;3.75), $S256), 1)"),0.034)</f>
        <v>0.034</v>
      </c>
      <c r="X256" s="20">
        <f>IFERROR(__xludf.DUMMYFUNCTION("iferror(PERCENTRANK.INC(FILTER($S$3:$S$435, $P$3:$P$435&lt;4.5), $S256), 1)"),0.023)</f>
        <v>0.023</v>
      </c>
      <c r="Y256" s="20">
        <f>IFERROR(__xludf.DUMMYFUNCTION("iferror(PERCENTRANK.INC(FILTER($S$3:$S$435, $P$3:$P$435&gt;=4.1), $S256), 0.01)"),0.01)</f>
        <v>0.01</v>
      </c>
    </row>
    <row r="257" ht="14.25" customHeight="1">
      <c r="A257" s="14" t="s">
        <v>1214</v>
      </c>
      <c r="B257" s="14" t="s">
        <v>757</v>
      </c>
      <c r="C257" s="14" t="s">
        <v>959</v>
      </c>
      <c r="D257" s="14" t="s">
        <v>959</v>
      </c>
      <c r="E257" s="14" t="s">
        <v>189</v>
      </c>
      <c r="F257" s="14">
        <v>34.0</v>
      </c>
      <c r="G257" s="14">
        <v>19.0</v>
      </c>
      <c r="H257" s="14">
        <v>215.0</v>
      </c>
      <c r="I257" s="14">
        <v>11.3</v>
      </c>
      <c r="J257" s="14">
        <v>0.0</v>
      </c>
      <c r="K257" s="20">
        <f>0.35*LN(F257+1)+0.25*(G257/F257)+0.25*(I257)+0.1*(H257/F257)+0.2*J257</f>
        <v>4.841430645</v>
      </c>
      <c r="L257" s="20">
        <f>100*(K257-MIN($J$3:$J$511))/(MAX($J$3:$J$511) - MIN($J$3:$J$511))</f>
        <v>53.79367383</v>
      </c>
      <c r="M257" s="15"/>
      <c r="N257" s="20">
        <v>4.841430645050707</v>
      </c>
      <c r="O257" s="14">
        <v>0.52</v>
      </c>
      <c r="P257" s="14">
        <v>4.2</v>
      </c>
      <c r="Q257" s="14">
        <v>0.5</v>
      </c>
      <c r="R257" s="20">
        <f t="array" ref="R257">XLOOKUP(E257, 'Conference Match'!$A$2:$A$40,'Conference Match'!$C$2:$C$40)</f>
        <v>0.9</v>
      </c>
      <c r="S257" s="20">
        <f t="shared" si="1"/>
        <v>3.125457516</v>
      </c>
      <c r="T257" s="20">
        <f t="shared" si="2"/>
        <v>20.19840524</v>
      </c>
      <c r="U257" s="20">
        <f t="shared" si="3"/>
        <v>-33.59526859</v>
      </c>
      <c r="W257" s="20">
        <f>IFERROR(__xludf.DUMMYFUNCTION("iferror(PERCENTRANK.INC(FILTER($S$3:$S$435, $P$3:$P$435&lt;3.75), $S257), 1)"),0.671)</f>
        <v>0.671</v>
      </c>
      <c r="X257" s="20">
        <f>IFERROR(__xludf.DUMMYFUNCTION("iferror(PERCENTRANK.INC(FILTER($S$3:$S$435, $P$3:$P$435&lt;4.5), $S257), 1)"),0.482)</f>
        <v>0.482</v>
      </c>
      <c r="Y257" s="20">
        <f>IFERROR(__xludf.DUMMYFUNCTION("iferror(PERCENTRANK.INC(FILTER($S$3:$S$435, $P$3:$P$435&gt;=4.1), $S257), 0.01)"),0.013)</f>
        <v>0.013</v>
      </c>
    </row>
    <row r="258" ht="14.25" customHeight="1">
      <c r="A258" s="14" t="s">
        <v>1215</v>
      </c>
      <c r="B258" s="14" t="s">
        <v>531</v>
      </c>
      <c r="C258" s="14" t="s">
        <v>959</v>
      </c>
      <c r="D258" s="14" t="s">
        <v>959</v>
      </c>
      <c r="E258" s="14" t="s">
        <v>114</v>
      </c>
      <c r="F258" s="14">
        <v>20.0</v>
      </c>
      <c r="G258" s="14">
        <v>8.0</v>
      </c>
      <c r="H258" s="14">
        <v>130.0</v>
      </c>
      <c r="I258" s="14">
        <v>16.3</v>
      </c>
      <c r="J258" s="14">
        <v>0.0</v>
      </c>
      <c r="K258" s="20">
        <v>5.890582853203199</v>
      </c>
      <c r="L258" s="20">
        <v>42.42669712574157</v>
      </c>
      <c r="M258" s="15"/>
      <c r="N258" s="20">
        <v>5.890582853203199</v>
      </c>
      <c r="O258" s="14">
        <v>0.48</v>
      </c>
      <c r="R258" s="20">
        <f t="array" ref="R258">XLOOKUP(E258, 'Conference Match'!$A$2:$A$40,'Conference Match'!$C$2:$C$40)</f>
        <v>0.9</v>
      </c>
      <c r="S258" s="20">
        <f t="shared" si="1"/>
        <v>1.156304914</v>
      </c>
      <c r="T258" s="20">
        <f t="shared" si="2"/>
        <v>0.5815667682</v>
      </c>
      <c r="U258" s="20">
        <f t="shared" si="3"/>
        <v>-41.84513036</v>
      </c>
      <c r="W258" s="20">
        <f>IFERROR(__xludf.DUMMYFUNCTION("iferror(PERCENTRANK.INC(FILTER($S$3:$S$435, $P$3:$P$435&lt;3.75), $S258), 1)"),0.02)</f>
        <v>0.02</v>
      </c>
      <c r="X258" s="20">
        <f>IFERROR(__xludf.DUMMYFUNCTION("iferror(PERCENTRANK.INC(FILTER($S$3:$S$435, $P$3:$P$435&lt;4.5), $S258), 1)"),0.014)</f>
        <v>0.014</v>
      </c>
      <c r="Y258" s="20">
        <f>IFERROR(__xludf.DUMMYFUNCTION("iferror(PERCENTRANK.INC(FILTER($S$3:$S$435, $P$3:$P$435&gt;=4.1), $S258), 0.01)"),0.01)</f>
        <v>0.01</v>
      </c>
    </row>
    <row r="259" ht="14.25" customHeight="1">
      <c r="A259" s="14" t="s">
        <v>1216</v>
      </c>
      <c r="B259" s="14" t="s">
        <v>553</v>
      </c>
      <c r="C259" s="14" t="s">
        <v>959</v>
      </c>
      <c r="D259" s="14" t="s">
        <v>959</v>
      </c>
      <c r="E259" s="14" t="s">
        <v>243</v>
      </c>
      <c r="F259" s="14">
        <v>25.0</v>
      </c>
      <c r="G259" s="14">
        <v>12.0</v>
      </c>
      <c r="H259" s="14">
        <v>187.0</v>
      </c>
      <c r="I259" s="14">
        <v>15.6</v>
      </c>
      <c r="J259" s="14">
        <v>1.0</v>
      </c>
      <c r="K259" s="20">
        <v>6.108333788307519</v>
      </c>
      <c r="L259" s="20">
        <v>44.4072498590739</v>
      </c>
      <c r="M259" s="15"/>
      <c r="N259" s="20">
        <v>6.108333788307519</v>
      </c>
      <c r="O259" s="14">
        <v>0.46</v>
      </c>
      <c r="R259" s="20">
        <f t="array" ref="R259">XLOOKUP(E259, 'Conference Match'!$A$2:$A$40,'Conference Match'!$C$2:$C$40)</f>
        <v>0.9</v>
      </c>
      <c r="S259" s="20">
        <f t="shared" si="1"/>
        <v>1.191500082</v>
      </c>
      <c r="T259" s="20">
        <f t="shared" si="2"/>
        <v>0.9321835417</v>
      </c>
      <c r="U259" s="20">
        <f t="shared" si="3"/>
        <v>-43.47506632</v>
      </c>
      <c r="W259" s="20">
        <f>IFERROR(__xludf.DUMMYFUNCTION("iferror(PERCENTRANK.INC(FILTER($S$3:$S$435, $P$3:$P$435&lt;3.75), $S259), 1)"),0.041)</f>
        <v>0.041</v>
      </c>
      <c r="X259" s="20">
        <f>IFERROR(__xludf.DUMMYFUNCTION("iferror(PERCENTRANK.INC(FILTER($S$3:$S$435, $P$3:$P$435&lt;4.5), $S259), 1)"),0.027)</f>
        <v>0.027</v>
      </c>
      <c r="Y259" s="20">
        <f>IFERROR(__xludf.DUMMYFUNCTION("iferror(PERCENTRANK.INC(FILTER($S$3:$S$435, $P$3:$P$435&gt;=4.1), $S259), 0.01)"),0.01)</f>
        <v>0.01</v>
      </c>
    </row>
    <row r="260" ht="14.25" customHeight="1">
      <c r="A260" s="14" t="s">
        <v>1217</v>
      </c>
      <c r="B260" s="14" t="s">
        <v>297</v>
      </c>
      <c r="C260" s="14" t="s">
        <v>959</v>
      </c>
      <c r="D260" s="14" t="s">
        <v>959</v>
      </c>
      <c r="E260" s="14" t="s">
        <v>114</v>
      </c>
      <c r="F260" s="14">
        <v>18.0</v>
      </c>
      <c r="G260" s="14">
        <v>12.0</v>
      </c>
      <c r="H260" s="14">
        <v>164.0</v>
      </c>
      <c r="I260" s="14">
        <v>13.7</v>
      </c>
      <c r="J260" s="14">
        <v>2.0</v>
      </c>
      <c r="K260" s="20">
        <v>5.933331420486033</v>
      </c>
      <c r="L260" s="20">
        <v>42.81551654338262</v>
      </c>
      <c r="M260" s="15"/>
      <c r="N260" s="20">
        <v>5.933331420486033</v>
      </c>
      <c r="O260" s="14">
        <v>0.46</v>
      </c>
      <c r="R260" s="20">
        <f t="array" ref="R260">XLOOKUP(E260, 'Conference Match'!$A$2:$A$40,'Conference Match'!$C$2:$C$40)</f>
        <v>0.9</v>
      </c>
      <c r="S260" s="20">
        <f t="shared" si="1"/>
        <v>1.159999656</v>
      </c>
      <c r="T260" s="20">
        <f t="shared" si="2"/>
        <v>0.6183740523</v>
      </c>
      <c r="U260" s="20">
        <f t="shared" si="3"/>
        <v>-42.19714249</v>
      </c>
      <c r="W260" s="20">
        <f>IFERROR(__xludf.DUMMYFUNCTION("iferror(PERCENTRANK.INC(FILTER($S$3:$S$435, $P$3:$P$435&lt;3.75), $S260), 1)"),0.027)</f>
        <v>0.027</v>
      </c>
      <c r="X260" s="20">
        <f>IFERROR(__xludf.DUMMYFUNCTION("iferror(PERCENTRANK.INC(FILTER($S$3:$S$435, $P$3:$P$435&lt;4.5), $S260), 1)"),0.018)</f>
        <v>0.018</v>
      </c>
      <c r="Y260" s="20">
        <f>IFERROR(__xludf.DUMMYFUNCTION("iferror(PERCENTRANK.INC(FILTER($S$3:$S$435, $P$3:$P$435&gt;=4.1), $S260), 0.01)"),0.01)</f>
        <v>0.01</v>
      </c>
    </row>
    <row r="261" ht="14.25" customHeight="1">
      <c r="A261" s="14" t="s">
        <v>1218</v>
      </c>
      <c r="B261" s="14" t="s">
        <v>590</v>
      </c>
      <c r="C261" s="14" t="s">
        <v>959</v>
      </c>
      <c r="D261" s="14" t="s">
        <v>959</v>
      </c>
      <c r="E261" s="14" t="s">
        <v>124</v>
      </c>
      <c r="F261" s="14">
        <v>19.0</v>
      </c>
      <c r="G261" s="14">
        <v>14.0</v>
      </c>
      <c r="H261" s="14">
        <v>192.0</v>
      </c>
      <c r="I261" s="14">
        <v>13.7</v>
      </c>
      <c r="J261" s="14">
        <v>1.0</v>
      </c>
      <c r="K261" s="20">
        <v>5.86824313784916</v>
      </c>
      <c r="L261" s="20">
        <v>42.223506336755456</v>
      </c>
      <c r="M261" s="15"/>
      <c r="N261" s="20">
        <v>5.86824313784916</v>
      </c>
      <c r="O261" s="14">
        <v>0.46</v>
      </c>
      <c r="R261" s="20">
        <f t="array" ref="R261">XLOOKUP(E261, 'Conference Match'!$A$2:$A$40,'Conference Match'!$C$2:$C$40)</f>
        <v>0.9</v>
      </c>
      <c r="S261" s="20">
        <f t="shared" si="1"/>
        <v>1.148283765</v>
      </c>
      <c r="T261" s="20">
        <f t="shared" si="2"/>
        <v>0.501659513</v>
      </c>
      <c r="U261" s="20">
        <f t="shared" si="3"/>
        <v>-41.72184682</v>
      </c>
      <c r="W261" s="20">
        <f>IFERROR(__xludf.DUMMYFUNCTION("iferror(PERCENTRANK.INC(FILTER($S$3:$S$435, $P$3:$P$435&lt;3.75), $S261), 1)"),0.007)</f>
        <v>0.007</v>
      </c>
      <c r="X261" s="20">
        <f>IFERROR(__xludf.DUMMYFUNCTION("iferror(PERCENTRANK.INC(FILTER($S$3:$S$435, $P$3:$P$435&lt;4.5), $S261), 1)"),0.005)</f>
        <v>0.005</v>
      </c>
      <c r="Y261" s="20">
        <f>IFERROR(__xludf.DUMMYFUNCTION("iferror(PERCENTRANK.INC(FILTER($S$3:$S$435, $P$3:$P$435&gt;=4.1), $S261), 0.01)"),0.01)</f>
        <v>0.01</v>
      </c>
    </row>
    <row r="262" ht="14.25" customHeight="1">
      <c r="A262" s="14" t="s">
        <v>1219</v>
      </c>
      <c r="B262" s="14" t="s">
        <v>489</v>
      </c>
      <c r="C262" s="14" t="s">
        <v>959</v>
      </c>
      <c r="D262" s="14" t="s">
        <v>959</v>
      </c>
      <c r="E262" s="14" t="s">
        <v>138</v>
      </c>
      <c r="F262" s="14">
        <v>31.0</v>
      </c>
      <c r="G262" s="14">
        <v>17.0</v>
      </c>
      <c r="H262" s="14">
        <v>275.0</v>
      </c>
      <c r="I262" s="14">
        <v>16.2</v>
      </c>
      <c r="J262" s="14">
        <v>0.0</v>
      </c>
      <c r="K262" s="20">
        <v>6.287201114367001</v>
      </c>
      <c r="L262" s="20">
        <v>46.03413688649924</v>
      </c>
      <c r="M262" s="15"/>
      <c r="N262" s="20">
        <v>6.287201114367001</v>
      </c>
      <c r="O262" s="14">
        <v>0.44</v>
      </c>
      <c r="P262" s="20">
        <v>4.13</v>
      </c>
      <c r="Q262" s="20">
        <v>0.0</v>
      </c>
      <c r="R262" s="20">
        <f t="array" ref="R262">XLOOKUP(E262, 'Conference Match'!$A$2:$A$40,'Conference Match'!$C$2:$C$40)</f>
        <v>0.9</v>
      </c>
      <c r="S262" s="20">
        <f t="shared" si="1"/>
        <v>3.284696201</v>
      </c>
      <c r="T262" s="20">
        <f t="shared" si="2"/>
        <v>21.78475236</v>
      </c>
      <c r="U262" s="20">
        <f t="shared" si="3"/>
        <v>-24.24938453</v>
      </c>
      <c r="W262" s="20">
        <f>IFERROR(__xludf.DUMMYFUNCTION("iferror(PERCENTRANK.INC(FILTER($S$3:$S$435, $P$3:$P$435&lt;3.75), $S262), 1)"),0.731)</f>
        <v>0.731</v>
      </c>
      <c r="X262" s="20">
        <f>IFERROR(__xludf.DUMMYFUNCTION("iferror(PERCENTRANK.INC(FILTER($S$3:$S$435, $P$3:$P$435&lt;4.5), $S262), 1)"),0.532)</f>
        <v>0.532</v>
      </c>
      <c r="Y262" s="20">
        <f>IFERROR(__xludf.DUMMYFUNCTION("iferror(PERCENTRANK.INC(FILTER($S$3:$S$435, $P$3:$P$435&gt;=4.1), $S262), 0.01)"),0.026)</f>
        <v>0.026</v>
      </c>
    </row>
    <row r="263" ht="14.25" customHeight="1">
      <c r="A263" s="14" t="s">
        <v>1220</v>
      </c>
      <c r="B263" s="14" t="s">
        <v>491</v>
      </c>
      <c r="C263" s="14" t="s">
        <v>959</v>
      </c>
      <c r="D263" s="14" t="s">
        <v>959</v>
      </c>
      <c r="E263" s="14" t="s">
        <v>105</v>
      </c>
      <c r="F263" s="14">
        <v>20.0</v>
      </c>
      <c r="G263" s="14">
        <v>12.0</v>
      </c>
      <c r="H263" s="14">
        <v>182.0</v>
      </c>
      <c r="I263" s="14">
        <v>15.2</v>
      </c>
      <c r="J263" s="14">
        <v>0.0</v>
      </c>
      <c r="K263" s="20">
        <v>5.925582853203197</v>
      </c>
      <c r="L263" s="20">
        <v>42.74503948157769</v>
      </c>
      <c r="M263" s="15"/>
      <c r="N263" s="20">
        <v>5.925582853203197</v>
      </c>
      <c r="O263" s="14">
        <v>0.43</v>
      </c>
      <c r="R263" s="20">
        <f t="array" ref="R263">XLOOKUP(E263, 'Conference Match'!$A$2:$A$40,'Conference Match'!$C$2:$C$40)</f>
        <v>0.9</v>
      </c>
      <c r="S263" s="20">
        <f t="shared" si="1"/>
        <v>1.152604914</v>
      </c>
      <c r="T263" s="20">
        <f t="shared" si="2"/>
        <v>0.5447071047</v>
      </c>
      <c r="U263" s="20">
        <f t="shared" si="3"/>
        <v>-42.20033238</v>
      </c>
      <c r="W263" s="20">
        <f>IFERROR(__xludf.DUMMYFUNCTION("iferror(PERCENTRANK.INC(FILTER($S$3:$S$435, $P$3:$P$435&lt;3.75), $S263), 1)"),0.014)</f>
        <v>0.014</v>
      </c>
      <c r="X263" s="20">
        <f>IFERROR(__xludf.DUMMYFUNCTION("iferror(PERCENTRANK.INC(FILTER($S$3:$S$435, $P$3:$P$435&lt;4.5), $S263), 1)"),0.009)</f>
        <v>0.009</v>
      </c>
      <c r="Y263" s="20">
        <f>IFERROR(__xludf.DUMMYFUNCTION("iferror(PERCENTRANK.INC(FILTER($S$3:$S$435, $P$3:$P$435&gt;=4.1), $S263), 0.01)"),0.01)</f>
        <v>0.01</v>
      </c>
    </row>
    <row r="264" ht="14.25" customHeight="1">
      <c r="A264" s="14" t="s">
        <v>1221</v>
      </c>
      <c r="B264" s="14" t="s">
        <v>517</v>
      </c>
      <c r="C264" s="14">
        <v>6.0</v>
      </c>
      <c r="D264" s="14" t="s">
        <v>959</v>
      </c>
      <c r="E264" s="14" t="s">
        <v>117</v>
      </c>
      <c r="F264" s="14">
        <v>35.0</v>
      </c>
      <c r="G264" s="14">
        <v>14.0</v>
      </c>
      <c r="H264" s="14">
        <v>248.0</v>
      </c>
      <c r="I264" s="14">
        <v>17.7</v>
      </c>
      <c r="J264" s="14">
        <v>1.0</v>
      </c>
      <c r="K264" s="20">
        <v>6.687803057031068</v>
      </c>
      <c r="L264" s="20">
        <v>56.463847871875856</v>
      </c>
      <c r="M264" s="15"/>
      <c r="N264" s="20">
        <v>6.687803057031068</v>
      </c>
      <c r="O264" s="14">
        <v>0.38</v>
      </c>
      <c r="P264" s="20">
        <v>3.89</v>
      </c>
      <c r="Q264" s="20">
        <v>0.5</v>
      </c>
      <c r="R264" s="20">
        <f t="array" ref="R264">XLOOKUP(E264, 'Conference Match'!$A$2:$A$40,'Conference Match'!$C$2:$C$40)</f>
        <v>0.95</v>
      </c>
      <c r="S264" s="20">
        <f t="shared" si="1"/>
        <v>3.341682581</v>
      </c>
      <c r="T264" s="20">
        <f t="shared" si="2"/>
        <v>22.35245474</v>
      </c>
      <c r="U264" s="20">
        <f t="shared" si="3"/>
        <v>-34.11139313</v>
      </c>
      <c r="W264" s="20">
        <f>IFERROR(__xludf.DUMMYFUNCTION("iferror(PERCENTRANK.INC(FILTER($S$3:$S$435, $P$3:$P$435&lt;3.75), $S264), 1)"),0.752)</f>
        <v>0.752</v>
      </c>
      <c r="X264" s="20">
        <f>IFERROR(__xludf.DUMMYFUNCTION("iferror(PERCENTRANK.INC(FILTER($S$3:$S$435, $P$3:$P$435&lt;4.5), $S264), 1)"),0.555)</f>
        <v>0.555</v>
      </c>
      <c r="Y264" s="20">
        <f>IFERROR(__xludf.DUMMYFUNCTION("iferror(PERCENTRANK.INC(FILTER($S$3:$S$435, $P$3:$P$435&gt;=4.1), $S264), 0.01)"),0.034)</f>
        <v>0.034</v>
      </c>
    </row>
    <row r="265" ht="14.25" customHeight="1">
      <c r="A265" s="14" t="s">
        <v>1222</v>
      </c>
      <c r="B265" s="14" t="s">
        <v>525</v>
      </c>
      <c r="C265" s="14">
        <v>14.0</v>
      </c>
      <c r="D265" s="14" t="s">
        <v>959</v>
      </c>
      <c r="E265" s="14" t="s">
        <v>132</v>
      </c>
      <c r="F265" s="14">
        <v>30.0</v>
      </c>
      <c r="G265" s="14">
        <v>17.0</v>
      </c>
      <c r="H265" s="14">
        <v>213.0</v>
      </c>
      <c r="I265" s="14">
        <v>12.5</v>
      </c>
      <c r="J265" s="14">
        <v>1.0</v>
      </c>
      <c r="K265" s="20">
        <v>5.378562188236468</v>
      </c>
      <c r="L265" s="20">
        <v>40.8160853990502</v>
      </c>
      <c r="M265" s="15"/>
      <c r="N265" s="20">
        <v>5.378562188236468</v>
      </c>
      <c r="O265" s="14">
        <v>0.38</v>
      </c>
      <c r="R265" s="20">
        <f t="array" ref="R265">XLOOKUP(E265, 'Conference Match'!$A$2:$A$40,'Conference Match'!$C$2:$C$40)</f>
        <v>0.95</v>
      </c>
      <c r="S265" s="20">
        <f t="shared" si="1"/>
        <v>1.097926816</v>
      </c>
      <c r="T265" s="20">
        <f t="shared" si="2"/>
        <v>0</v>
      </c>
      <c r="U265" s="20">
        <f t="shared" si="3"/>
        <v>-40.8160854</v>
      </c>
      <c r="W265" s="20">
        <f>IFERROR(__xludf.DUMMYFUNCTION("iferror(PERCENTRANK.INC(FILTER($S$3:$S$435, $P$3:$P$435&lt;3.75), $S265), 1)"),0.0)</f>
        <v>0</v>
      </c>
      <c r="X265" s="20">
        <f>IFERROR(__xludf.DUMMYFUNCTION("iferror(PERCENTRANK.INC(FILTER($S$3:$S$435, $P$3:$P$435&lt;4.5), $S265), 1)"),0.0)</f>
        <v>0</v>
      </c>
      <c r="Y265" s="20">
        <f>IFERROR(__xludf.DUMMYFUNCTION("iferror(PERCENTRANK.INC(FILTER($S$3:$S$435, $P$3:$P$435&gt;=4.1), $S265), 0.01)"),0.01)</f>
        <v>0.01</v>
      </c>
    </row>
    <row r="266" ht="14.25" customHeight="1">
      <c r="A266" s="14" t="s">
        <v>1223</v>
      </c>
      <c r="B266" s="14" t="s">
        <v>201</v>
      </c>
      <c r="C266" s="14" t="s">
        <v>959</v>
      </c>
      <c r="D266" s="14" t="s">
        <v>959</v>
      </c>
      <c r="E266" s="14" t="s">
        <v>105</v>
      </c>
      <c r="F266" s="14">
        <v>22.0</v>
      </c>
      <c r="G266" s="14">
        <v>16.0</v>
      </c>
      <c r="H266" s="14">
        <v>240.0</v>
      </c>
      <c r="I266" s="14">
        <v>15.0</v>
      </c>
      <c r="J266" s="14">
        <v>1.0</v>
      </c>
      <c r="K266" s="20">
        <v>6.320150248302475</v>
      </c>
      <c r="L266" s="20">
        <v>46.33382559849294</v>
      </c>
      <c r="M266" s="15"/>
      <c r="N266" s="20">
        <v>6.320150248302475</v>
      </c>
      <c r="O266" s="14">
        <v>0.33</v>
      </c>
      <c r="R266" s="20">
        <f t="array" ref="R266">XLOOKUP(E266, 'Conference Match'!$A$2:$A$40,'Conference Match'!$C$2:$C$40)</f>
        <v>0.9</v>
      </c>
      <c r="S266" s="20">
        <f t="shared" si="1"/>
        <v>1.203627045</v>
      </c>
      <c r="T266" s="20">
        <f t="shared" si="2"/>
        <v>1.052993209</v>
      </c>
      <c r="U266" s="20">
        <f t="shared" si="3"/>
        <v>-45.28083239</v>
      </c>
      <c r="W266" s="20">
        <f>IFERROR(__xludf.DUMMYFUNCTION("iferror(PERCENTRANK.INC(FILTER($S$3:$S$435, $P$3:$P$435&lt;3.75), $S266), 1)"),0.054)</f>
        <v>0.054</v>
      </c>
      <c r="X266" s="20">
        <f>IFERROR(__xludf.DUMMYFUNCTION("iferror(PERCENTRANK.INC(FILTER($S$3:$S$435, $P$3:$P$435&lt;4.5), $S266), 1)"),0.036)</f>
        <v>0.036</v>
      </c>
      <c r="Y266" s="20">
        <f>IFERROR(__xludf.DUMMYFUNCTION("iferror(PERCENTRANK.INC(FILTER($S$3:$S$435, $P$3:$P$435&gt;=4.1), $S266), 0.01)"),0.01)</f>
        <v>0.01</v>
      </c>
    </row>
    <row r="267" ht="14.25" customHeight="1">
      <c r="A267" s="14" t="s">
        <v>1224</v>
      </c>
      <c r="B267" s="14" t="s">
        <v>779</v>
      </c>
      <c r="C267" s="14" t="s">
        <v>959</v>
      </c>
      <c r="D267" s="14" t="s">
        <v>959</v>
      </c>
      <c r="E267" s="14" t="s">
        <v>138</v>
      </c>
      <c r="F267" s="14">
        <v>26.0</v>
      </c>
      <c r="G267" s="14">
        <v>18.0</v>
      </c>
      <c r="H267" s="14">
        <v>296.0</v>
      </c>
      <c r="I267" s="14">
        <v>16.4</v>
      </c>
      <c r="J267" s="14">
        <v>1.0</v>
      </c>
      <c r="K267" s="20">
        <v>6.765081364639977</v>
      </c>
      <c r="L267" s="20">
        <v>50.38069473448394</v>
      </c>
      <c r="M267" s="15"/>
      <c r="N267" s="20">
        <v>6.765081364639977</v>
      </c>
      <c r="O267" s="14">
        <v>0.01</v>
      </c>
      <c r="R267" s="20">
        <f t="array" ref="R267">XLOOKUP(E267, 'Conference Match'!$A$2:$A$40,'Conference Match'!$C$2:$C$40)</f>
        <v>0.9</v>
      </c>
      <c r="S267" s="20">
        <f t="shared" si="1"/>
        <v>1.219714646</v>
      </c>
      <c r="T267" s="20">
        <f t="shared" si="2"/>
        <v>1.213259035</v>
      </c>
      <c r="U267" s="20">
        <f t="shared" si="3"/>
        <v>-49.1674357</v>
      </c>
      <c r="W267" s="20">
        <f>IFERROR(__xludf.DUMMYFUNCTION("iferror(PERCENTRANK.INC(FILTER($S$3:$S$435, $P$3:$P$435&lt;3.75), $S267), 1)"),0.061)</f>
        <v>0.061</v>
      </c>
      <c r="X267" s="20">
        <f>IFERROR(__xludf.DUMMYFUNCTION("iferror(PERCENTRANK.INC(FILTER($S$3:$S$435, $P$3:$P$435&lt;4.5), $S267), 1)"),0.041)</f>
        <v>0.041</v>
      </c>
      <c r="Y267" s="20">
        <f>IFERROR(__xludf.DUMMYFUNCTION("iferror(PERCENTRANK.INC(FILTER($S$3:$S$435, $P$3:$P$435&gt;=4.1), $S267), 0.01)"),0.01)</f>
        <v>0.01</v>
      </c>
    </row>
    <row r="268" ht="14.25" customHeight="1">
      <c r="A268" s="17" t="s">
        <v>1225</v>
      </c>
      <c r="B268" s="17" t="s">
        <v>479</v>
      </c>
      <c r="C268" s="18">
        <v>0.0</v>
      </c>
      <c r="D268" s="17" t="s">
        <v>959</v>
      </c>
      <c r="E268" s="17" t="s">
        <v>182</v>
      </c>
      <c r="F268" s="18">
        <v>33.0</v>
      </c>
      <c r="G268" s="18">
        <v>22.0</v>
      </c>
      <c r="H268" s="18">
        <v>231.0</v>
      </c>
      <c r="I268" s="18">
        <v>10.5</v>
      </c>
      <c r="J268" s="18">
        <v>1.0</v>
      </c>
      <c r="K268" s="22">
        <v>4.93</v>
      </c>
      <c r="L268" s="22">
        <v>29.58</v>
      </c>
      <c r="M268" s="15"/>
      <c r="N268" s="38">
        <v>4.93</v>
      </c>
      <c r="O268" s="16">
        <v>3.49</v>
      </c>
      <c r="P268" s="16">
        <v>4.84</v>
      </c>
      <c r="Q268" s="16">
        <v>-5.0</v>
      </c>
      <c r="R268" s="20">
        <f t="array" ref="R268">XLOOKUP(E268, 'Conference Match'!$A$2:$A$40,'Conference Match'!$C$2:$C$40)</f>
        <v>1</v>
      </c>
      <c r="S268" s="20">
        <f t="shared" si="1"/>
        <v>3.604</v>
      </c>
      <c r="T268" s="20">
        <f t="shared" si="2"/>
        <v>24.96567955</v>
      </c>
      <c r="U268" s="20">
        <f t="shared" si="3"/>
        <v>-4.614320449</v>
      </c>
      <c r="W268" s="20">
        <f>IFERROR(__xludf.DUMMYFUNCTION("iferror(PERCENTRANK.INC(FILTER($S$3:$S$435, $P$3:$P$435&lt;3.75), $S268), 1)"),0.859)</f>
        <v>0.859</v>
      </c>
      <c r="X268" s="20">
        <f>IFERROR(__xludf.DUMMYFUNCTION("iferror(PERCENTRANK.INC(FILTER($S$3:$S$435, $P$3:$P$435&lt;4.5), $S268), 1)"),0.67)</f>
        <v>0.67</v>
      </c>
      <c r="Y268" s="20">
        <f>IFERROR(__xludf.DUMMYFUNCTION("iferror(PERCENTRANK.INC(FILTER($S$3:$S$435, $P$3:$P$435&gt;=4.1), $S268), 0.01)"),0.091)</f>
        <v>0.091</v>
      </c>
    </row>
    <row r="269" ht="14.25" customHeight="1">
      <c r="M269" s="15"/>
      <c r="N269" s="20"/>
    </row>
    <row r="270" ht="14.25" customHeight="1">
      <c r="M270" s="15"/>
      <c r="N270" s="20"/>
    </row>
    <row r="271" ht="14.25" customHeight="1">
      <c r="M271" s="15"/>
      <c r="N271" s="20"/>
    </row>
    <row r="272" ht="14.25" customHeight="1">
      <c r="M272" s="15"/>
      <c r="N272" s="20"/>
    </row>
    <row r="273" ht="14.25" customHeight="1">
      <c r="M273" s="15"/>
      <c r="N273" s="20"/>
    </row>
    <row r="274" ht="14.25" customHeight="1">
      <c r="M274" s="15"/>
      <c r="N274" s="20"/>
    </row>
    <row r="275" ht="14.25" customHeight="1">
      <c r="M275" s="15"/>
      <c r="N275" s="20"/>
    </row>
    <row r="276" ht="14.25" customHeight="1">
      <c r="M276" s="15"/>
      <c r="N276" s="20"/>
    </row>
    <row r="277" ht="14.25" customHeight="1">
      <c r="M277" s="15"/>
      <c r="N277" s="20"/>
    </row>
    <row r="278" ht="14.25" customHeight="1">
      <c r="M278" s="15"/>
      <c r="N278" s="20"/>
    </row>
    <row r="279" ht="14.25" customHeight="1">
      <c r="M279" s="15"/>
      <c r="N279" s="20"/>
    </row>
    <row r="280" ht="14.25" customHeight="1">
      <c r="M280" s="15"/>
      <c r="N280" s="20"/>
    </row>
    <row r="281" ht="14.25" customHeight="1">
      <c r="M281" s="15"/>
      <c r="N281" s="20"/>
    </row>
    <row r="282" ht="14.25" customHeight="1">
      <c r="M282" s="15"/>
      <c r="N282" s="20"/>
    </row>
    <row r="283" ht="14.25" customHeight="1">
      <c r="M283" s="15"/>
      <c r="N283" s="20"/>
    </row>
    <row r="284" ht="14.25" customHeight="1">
      <c r="M284" s="15"/>
      <c r="N284" s="20"/>
    </row>
    <row r="285" ht="14.25" customHeight="1">
      <c r="M285" s="15"/>
      <c r="N285" s="20"/>
    </row>
    <row r="286" ht="14.25" customHeight="1">
      <c r="M286" s="15"/>
      <c r="N286" s="20"/>
    </row>
    <row r="287" ht="14.25" customHeight="1">
      <c r="M287" s="15"/>
      <c r="N287" s="20"/>
    </row>
    <row r="288" ht="14.25" customHeight="1">
      <c r="M288" s="15"/>
      <c r="N288" s="20"/>
    </row>
    <row r="289" ht="14.25" customHeight="1">
      <c r="M289" s="15"/>
      <c r="N289" s="20"/>
    </row>
    <row r="290" ht="14.25" customHeight="1">
      <c r="M290" s="15"/>
      <c r="N290" s="20"/>
    </row>
    <row r="291" ht="14.25" customHeight="1">
      <c r="M291" s="15"/>
      <c r="N291" s="20"/>
    </row>
    <row r="292" ht="14.25" customHeight="1">
      <c r="M292" s="15"/>
      <c r="N292" s="20"/>
    </row>
    <row r="293" ht="14.25" customHeight="1">
      <c r="M293" s="15"/>
      <c r="N293" s="20"/>
    </row>
    <row r="294" ht="14.25" customHeight="1">
      <c r="M294" s="15"/>
      <c r="N294" s="20"/>
    </row>
    <row r="295" ht="14.25" customHeight="1">
      <c r="M295" s="15"/>
      <c r="N295" s="20"/>
    </row>
    <row r="296" ht="14.25" customHeight="1">
      <c r="M296" s="15"/>
      <c r="N296" s="20"/>
    </row>
    <row r="297" ht="14.25" customHeight="1">
      <c r="M297" s="15"/>
      <c r="N297" s="20"/>
    </row>
    <row r="298" ht="14.25" customHeight="1">
      <c r="M298" s="15"/>
      <c r="N298" s="20"/>
    </row>
    <row r="299" ht="14.25" customHeight="1">
      <c r="M299" s="15"/>
      <c r="N299" s="20"/>
    </row>
    <row r="300" ht="14.25" customHeight="1">
      <c r="M300" s="15"/>
      <c r="N300" s="20"/>
    </row>
    <row r="301" ht="14.25" customHeight="1">
      <c r="M301" s="15"/>
      <c r="N301" s="20"/>
    </row>
    <row r="302" ht="14.25" customHeight="1">
      <c r="M302" s="15"/>
      <c r="N302" s="20"/>
    </row>
    <row r="303" ht="14.25" customHeight="1">
      <c r="M303" s="15"/>
      <c r="N303" s="20"/>
    </row>
    <row r="304" ht="14.25" customHeight="1">
      <c r="M304" s="15"/>
      <c r="N304" s="20"/>
    </row>
    <row r="305" ht="14.25" customHeight="1">
      <c r="M305" s="15"/>
      <c r="N305" s="20"/>
    </row>
    <row r="306" ht="14.25" customHeight="1">
      <c r="M306" s="15"/>
      <c r="N306" s="20"/>
    </row>
    <row r="307" ht="14.25" customHeight="1">
      <c r="M307" s="15"/>
      <c r="N307" s="20"/>
    </row>
    <row r="308" ht="14.25" customHeight="1">
      <c r="M308" s="15"/>
      <c r="N308" s="20"/>
    </row>
    <row r="309" ht="14.25" customHeight="1">
      <c r="M309" s="15"/>
      <c r="N309" s="20"/>
    </row>
    <row r="310" ht="14.25" customHeight="1">
      <c r="M310" s="15"/>
      <c r="N310" s="20"/>
    </row>
    <row r="311" ht="14.25" customHeight="1">
      <c r="M311" s="15"/>
      <c r="N311" s="20"/>
    </row>
    <row r="312" ht="14.25" customHeight="1">
      <c r="M312" s="15"/>
      <c r="N312" s="20"/>
    </row>
    <row r="313" ht="14.25" customHeight="1">
      <c r="M313" s="15"/>
      <c r="N313" s="20"/>
    </row>
    <row r="314" ht="14.25" customHeight="1">
      <c r="M314" s="15"/>
      <c r="N314" s="20"/>
    </row>
    <row r="315" ht="14.25" customHeight="1">
      <c r="M315" s="15"/>
      <c r="N315" s="20"/>
    </row>
    <row r="316" ht="14.25" customHeight="1">
      <c r="M316" s="15"/>
      <c r="N316" s="20"/>
    </row>
    <row r="317" ht="14.25" customHeight="1">
      <c r="M317" s="15"/>
      <c r="N317" s="20"/>
    </row>
    <row r="318" ht="14.25" customHeight="1">
      <c r="M318" s="15"/>
      <c r="N318" s="20"/>
    </row>
    <row r="319" ht="14.25" customHeight="1">
      <c r="M319" s="15"/>
      <c r="N319" s="20"/>
    </row>
    <row r="320" ht="14.25" customHeight="1">
      <c r="M320" s="15"/>
      <c r="N320" s="20"/>
    </row>
    <row r="321" ht="14.25" customHeight="1">
      <c r="M321" s="15"/>
      <c r="N321" s="20"/>
    </row>
    <row r="322" ht="14.25" customHeight="1">
      <c r="M322" s="15"/>
      <c r="N322" s="20"/>
    </row>
    <row r="323" ht="14.25" customHeight="1">
      <c r="M323" s="15"/>
      <c r="N323" s="20"/>
    </row>
    <row r="324" ht="14.25" customHeight="1">
      <c r="M324" s="15"/>
      <c r="N324" s="20"/>
    </row>
    <row r="325" ht="14.25" customHeight="1">
      <c r="M325" s="15"/>
      <c r="N325" s="20"/>
    </row>
    <row r="326" ht="14.25" customHeight="1">
      <c r="M326" s="15"/>
      <c r="N326" s="20"/>
    </row>
    <row r="327" ht="14.25" customHeight="1">
      <c r="M327" s="15"/>
      <c r="N327" s="20"/>
    </row>
    <row r="328" ht="14.25" customHeight="1">
      <c r="M328" s="15"/>
      <c r="N328" s="20"/>
    </row>
    <row r="329" ht="14.25" customHeight="1">
      <c r="M329" s="15"/>
      <c r="N329" s="20"/>
    </row>
    <row r="330" ht="14.25" customHeight="1">
      <c r="M330" s="15"/>
      <c r="N330" s="20"/>
    </row>
    <row r="331" ht="14.25" customHeight="1">
      <c r="M331" s="15"/>
      <c r="N331" s="20"/>
    </row>
    <row r="332" ht="14.25" customHeight="1">
      <c r="M332" s="15"/>
      <c r="N332" s="20"/>
    </row>
    <row r="333" ht="14.25" customHeight="1">
      <c r="M333" s="15"/>
      <c r="N333" s="20"/>
    </row>
    <row r="334" ht="14.25" customHeight="1">
      <c r="M334" s="15"/>
      <c r="N334" s="20"/>
    </row>
    <row r="335" ht="14.25" customHeight="1">
      <c r="M335" s="15"/>
      <c r="N335" s="20"/>
    </row>
    <row r="336" ht="14.25" customHeight="1">
      <c r="M336" s="15"/>
      <c r="N336" s="20"/>
    </row>
    <row r="337" ht="14.25" customHeight="1">
      <c r="M337" s="15"/>
      <c r="N337" s="20"/>
    </row>
    <row r="338" ht="14.25" customHeight="1">
      <c r="M338" s="15"/>
      <c r="N338" s="20"/>
    </row>
    <row r="339" ht="14.25" customHeight="1">
      <c r="M339" s="15"/>
      <c r="N339" s="20"/>
    </row>
    <row r="340" ht="14.25" customHeight="1">
      <c r="M340" s="15"/>
      <c r="N340" s="20"/>
    </row>
    <row r="341" ht="14.25" customHeight="1">
      <c r="M341" s="15"/>
      <c r="N341" s="20"/>
    </row>
    <row r="342" ht="14.25" customHeight="1">
      <c r="M342" s="15"/>
      <c r="N342" s="20"/>
    </row>
    <row r="343" ht="14.25" customHeight="1">
      <c r="M343" s="15"/>
      <c r="N343" s="20"/>
    </row>
    <row r="344" ht="14.25" customHeight="1">
      <c r="M344" s="15"/>
      <c r="N344" s="20"/>
    </row>
    <row r="345" ht="14.25" customHeight="1">
      <c r="M345" s="15"/>
      <c r="N345" s="20"/>
    </row>
    <row r="346" ht="14.25" customHeight="1">
      <c r="M346" s="15"/>
      <c r="N346" s="20"/>
    </row>
    <row r="347" ht="14.25" customHeight="1">
      <c r="M347" s="15"/>
      <c r="N347" s="20"/>
    </row>
    <row r="348" ht="14.25" customHeight="1">
      <c r="M348" s="15"/>
      <c r="N348" s="20"/>
    </row>
    <row r="349" ht="14.25" customHeight="1">
      <c r="M349" s="15"/>
      <c r="N349" s="20"/>
    </row>
    <row r="350" ht="14.25" customHeight="1">
      <c r="M350" s="15"/>
      <c r="N350" s="20"/>
    </row>
    <row r="351" ht="14.25" customHeight="1">
      <c r="M351" s="15"/>
      <c r="N351" s="20"/>
    </row>
    <row r="352" ht="14.25" customHeight="1">
      <c r="M352" s="15"/>
      <c r="N352" s="20"/>
    </row>
    <row r="353" ht="14.25" customHeight="1">
      <c r="M353" s="15"/>
      <c r="N353" s="20"/>
    </row>
    <row r="354" ht="14.25" customHeight="1">
      <c r="M354" s="15"/>
      <c r="N354" s="20"/>
    </row>
    <row r="355" ht="14.25" customHeight="1">
      <c r="M355" s="15"/>
      <c r="N355" s="20"/>
    </row>
    <row r="356" ht="14.25" customHeight="1">
      <c r="M356" s="15"/>
      <c r="N356" s="20"/>
    </row>
    <row r="357" ht="14.25" customHeight="1">
      <c r="M357" s="15"/>
      <c r="N357" s="20"/>
    </row>
    <row r="358" ht="14.25" customHeight="1">
      <c r="M358" s="15"/>
      <c r="N358" s="20"/>
    </row>
    <row r="359" ht="14.25" customHeight="1">
      <c r="M359" s="15"/>
      <c r="N359" s="20"/>
    </row>
    <row r="360" ht="14.25" customHeight="1">
      <c r="M360" s="15"/>
      <c r="N360" s="20"/>
    </row>
    <row r="361" ht="14.25" customHeight="1">
      <c r="M361" s="15"/>
      <c r="N361" s="20"/>
    </row>
    <row r="362" ht="14.25" customHeight="1">
      <c r="M362" s="15"/>
      <c r="N362" s="20"/>
    </row>
    <row r="363" ht="14.25" customHeight="1">
      <c r="M363" s="15"/>
      <c r="N363" s="20"/>
    </row>
    <row r="364" ht="14.25" customHeight="1">
      <c r="M364" s="15"/>
      <c r="N364" s="20"/>
    </row>
    <row r="365" ht="14.25" customHeight="1">
      <c r="M365" s="15"/>
      <c r="N365" s="20"/>
    </row>
    <row r="366" ht="14.25" customHeight="1">
      <c r="M366" s="15"/>
      <c r="N366" s="20"/>
    </row>
    <row r="367" ht="14.25" customHeight="1">
      <c r="M367" s="15"/>
      <c r="N367" s="20"/>
    </row>
    <row r="368" ht="14.25" customHeight="1">
      <c r="M368" s="15"/>
      <c r="N368" s="20"/>
    </row>
    <row r="369" ht="14.25" customHeight="1">
      <c r="M369" s="15"/>
      <c r="N369" s="20"/>
    </row>
    <row r="370" ht="14.25" customHeight="1">
      <c r="M370" s="15"/>
      <c r="N370" s="20"/>
    </row>
    <row r="371" ht="14.25" customHeight="1">
      <c r="M371" s="15"/>
      <c r="N371" s="20"/>
    </row>
    <row r="372" ht="14.25" customHeight="1">
      <c r="M372" s="15"/>
      <c r="N372" s="20"/>
    </row>
    <row r="373" ht="14.25" customHeight="1">
      <c r="M373" s="15"/>
      <c r="N373" s="20"/>
    </row>
    <row r="374" ht="14.25" customHeight="1">
      <c r="M374" s="15"/>
      <c r="N374" s="20"/>
    </row>
    <row r="375" ht="14.25" customHeight="1">
      <c r="M375" s="15"/>
      <c r="N375" s="20"/>
    </row>
    <row r="376" ht="14.25" customHeight="1">
      <c r="M376" s="15"/>
      <c r="N376" s="20"/>
    </row>
    <row r="377" ht="14.25" customHeight="1">
      <c r="M377" s="15"/>
      <c r="N377" s="20"/>
    </row>
    <row r="378" ht="14.25" customHeight="1">
      <c r="M378" s="15"/>
      <c r="N378" s="20"/>
    </row>
    <row r="379" ht="14.25" customHeight="1">
      <c r="M379" s="15"/>
      <c r="N379" s="20"/>
    </row>
    <row r="380" ht="14.25" customHeight="1">
      <c r="M380" s="15"/>
      <c r="N380" s="20"/>
    </row>
    <row r="381" ht="14.25" customHeight="1">
      <c r="M381" s="15"/>
      <c r="N381" s="20"/>
    </row>
    <row r="382" ht="14.25" customHeight="1">
      <c r="M382" s="15"/>
      <c r="N382" s="20"/>
    </row>
    <row r="383" ht="14.25" customHeight="1">
      <c r="M383" s="15"/>
      <c r="N383" s="20"/>
    </row>
    <row r="384" ht="14.25" customHeight="1">
      <c r="M384" s="15"/>
      <c r="N384" s="20"/>
    </row>
    <row r="385" ht="14.25" customHeight="1">
      <c r="M385" s="15"/>
      <c r="N385" s="20"/>
    </row>
    <row r="386" ht="14.25" customHeight="1">
      <c r="M386" s="15"/>
      <c r="N386" s="20"/>
    </row>
    <row r="387" ht="14.25" customHeight="1">
      <c r="M387" s="15"/>
      <c r="N387" s="20"/>
    </row>
    <row r="388" ht="14.25" customHeight="1">
      <c r="M388" s="15"/>
      <c r="N388" s="20"/>
    </row>
    <row r="389" ht="14.25" customHeight="1">
      <c r="M389" s="15"/>
      <c r="N389" s="20"/>
    </row>
    <row r="390" ht="14.25" customHeight="1">
      <c r="M390" s="15"/>
      <c r="N390" s="20"/>
    </row>
    <row r="391" ht="14.25" customHeight="1">
      <c r="M391" s="15"/>
      <c r="N391" s="20"/>
    </row>
    <row r="392" ht="14.25" customHeight="1">
      <c r="M392" s="15"/>
      <c r="N392" s="20"/>
    </row>
    <row r="393" ht="14.25" customHeight="1">
      <c r="M393" s="15"/>
      <c r="N393" s="20"/>
    </row>
    <row r="394" ht="14.25" customHeight="1">
      <c r="M394" s="15"/>
      <c r="N394" s="20"/>
    </row>
    <row r="395" ht="14.25" customHeight="1">
      <c r="M395" s="15"/>
      <c r="N395" s="20"/>
    </row>
    <row r="396" ht="14.25" customHeight="1">
      <c r="M396" s="15"/>
      <c r="N396" s="20"/>
    </row>
    <row r="397" ht="14.25" customHeight="1">
      <c r="M397" s="15"/>
      <c r="N397" s="20"/>
    </row>
    <row r="398" ht="14.25" customHeight="1">
      <c r="M398" s="15"/>
      <c r="N398" s="20"/>
    </row>
    <row r="399" ht="14.25" customHeight="1">
      <c r="M399" s="15"/>
      <c r="N399" s="20"/>
    </row>
    <row r="400" ht="14.25" customHeight="1">
      <c r="M400" s="15"/>
      <c r="N400" s="20"/>
    </row>
    <row r="401" ht="14.25" customHeight="1">
      <c r="M401" s="15"/>
      <c r="N401" s="20"/>
    </row>
    <row r="402" ht="14.25" customHeight="1">
      <c r="M402" s="15"/>
      <c r="N402" s="20"/>
    </row>
    <row r="403" ht="14.25" customHeight="1">
      <c r="M403" s="15"/>
      <c r="N403" s="20"/>
    </row>
    <row r="404" ht="14.25" customHeight="1">
      <c r="M404" s="15"/>
      <c r="N404" s="20"/>
    </row>
    <row r="405" ht="14.25" customHeight="1">
      <c r="M405" s="15"/>
      <c r="N405" s="20"/>
    </row>
    <row r="406" ht="14.25" customHeight="1">
      <c r="M406" s="15"/>
      <c r="N406" s="20"/>
    </row>
    <row r="407" ht="14.25" customHeight="1">
      <c r="M407" s="15"/>
      <c r="N407" s="20"/>
    </row>
    <row r="408" ht="14.25" customHeight="1">
      <c r="M408" s="15"/>
      <c r="N408" s="20"/>
    </row>
    <row r="409" ht="14.25" customHeight="1">
      <c r="M409" s="15"/>
      <c r="N409" s="20"/>
    </row>
    <row r="410" ht="14.25" customHeight="1">
      <c r="M410" s="15"/>
      <c r="N410" s="20"/>
    </row>
    <row r="411" ht="14.25" customHeight="1">
      <c r="M411" s="15"/>
      <c r="N411" s="20"/>
    </row>
    <row r="412" ht="14.25" customHeight="1">
      <c r="M412" s="15"/>
      <c r="N412" s="20"/>
    </row>
    <row r="413" ht="14.25" customHeight="1">
      <c r="M413" s="15"/>
      <c r="N413" s="20"/>
    </row>
    <row r="414" ht="14.25" customHeight="1">
      <c r="M414" s="15"/>
      <c r="N414" s="20"/>
    </row>
    <row r="415" ht="14.25" customHeight="1">
      <c r="M415" s="15"/>
      <c r="N415" s="20"/>
    </row>
    <row r="416" ht="14.25" customHeight="1">
      <c r="M416" s="15"/>
      <c r="N416" s="20"/>
    </row>
    <row r="417" ht="14.25" customHeight="1">
      <c r="M417" s="15"/>
      <c r="N417" s="20"/>
    </row>
    <row r="418" ht="14.25" customHeight="1">
      <c r="M418" s="15"/>
      <c r="N418" s="20"/>
    </row>
    <row r="419" ht="14.25" customHeight="1">
      <c r="M419" s="15"/>
      <c r="N419" s="20"/>
    </row>
    <row r="420" ht="14.25" customHeight="1">
      <c r="M420" s="15"/>
      <c r="N420" s="20"/>
    </row>
    <row r="421" ht="14.25" customHeight="1">
      <c r="M421" s="15"/>
      <c r="N421" s="20"/>
    </row>
    <row r="422" ht="14.25" customHeight="1">
      <c r="M422" s="15"/>
      <c r="N422" s="20"/>
    </row>
    <row r="423" ht="14.25" customHeight="1">
      <c r="M423" s="15"/>
      <c r="N423" s="20"/>
    </row>
    <row r="424" ht="14.25" customHeight="1">
      <c r="M424" s="15"/>
      <c r="N424" s="20"/>
    </row>
    <row r="425" ht="14.25" customHeight="1">
      <c r="M425" s="15"/>
      <c r="N425" s="20"/>
    </row>
    <row r="426" ht="14.25" customHeight="1">
      <c r="M426" s="15"/>
      <c r="N426" s="20"/>
    </row>
    <row r="427" ht="14.25" customHeight="1">
      <c r="M427" s="15"/>
      <c r="N427" s="20"/>
    </row>
    <row r="428" ht="14.25" customHeight="1">
      <c r="M428" s="15"/>
      <c r="N428" s="20"/>
    </row>
    <row r="429" ht="14.25" customHeight="1">
      <c r="M429" s="15"/>
      <c r="N429" s="20"/>
    </row>
    <row r="430" ht="14.25" customHeight="1">
      <c r="M430" s="15"/>
      <c r="N430" s="20"/>
    </row>
    <row r="431" ht="14.25" customHeight="1">
      <c r="M431" s="15"/>
      <c r="N431" s="20"/>
    </row>
    <row r="432" ht="14.25" customHeight="1">
      <c r="M432" s="15"/>
      <c r="N432" s="20"/>
    </row>
    <row r="433" ht="14.25" customHeight="1">
      <c r="M433" s="15"/>
      <c r="N433" s="20"/>
    </row>
    <row r="434" ht="14.25" customHeight="1">
      <c r="M434" s="15"/>
      <c r="N434" s="20"/>
    </row>
    <row r="435" ht="14.25" customHeight="1">
      <c r="M435" s="15"/>
      <c r="N435" s="20"/>
    </row>
    <row r="436" ht="14.25" customHeight="1">
      <c r="M436" s="15"/>
      <c r="N436" s="20"/>
    </row>
    <row r="437" ht="14.25" customHeight="1">
      <c r="M437" s="15"/>
      <c r="N437" s="20"/>
    </row>
    <row r="438" ht="14.25" customHeight="1">
      <c r="M438" s="15"/>
      <c r="N438" s="20"/>
    </row>
    <row r="439" ht="14.25" customHeight="1">
      <c r="M439" s="15"/>
      <c r="N439" s="20"/>
    </row>
    <row r="440" ht="14.25" customHeight="1">
      <c r="M440" s="15"/>
      <c r="N440" s="20"/>
    </row>
    <row r="441" ht="14.25" customHeight="1">
      <c r="M441" s="15"/>
      <c r="N441" s="20"/>
    </row>
    <row r="442" ht="14.25" customHeight="1">
      <c r="M442" s="15"/>
      <c r="N442" s="20"/>
    </row>
    <row r="443" ht="14.25" customHeight="1">
      <c r="M443" s="15"/>
      <c r="N443" s="20"/>
    </row>
    <row r="444" ht="14.25" customHeight="1">
      <c r="M444" s="15"/>
      <c r="N444" s="20"/>
    </row>
    <row r="445" ht="14.25" customHeight="1">
      <c r="M445" s="15"/>
      <c r="N445" s="20"/>
    </row>
    <row r="446" ht="14.25" customHeight="1">
      <c r="M446" s="15"/>
      <c r="N446" s="20"/>
    </row>
    <row r="447" ht="14.25" customHeight="1">
      <c r="M447" s="15"/>
      <c r="N447" s="20"/>
    </row>
    <row r="448" ht="14.25" customHeight="1">
      <c r="M448" s="15"/>
      <c r="N448" s="20"/>
    </row>
    <row r="449" ht="14.25" customHeight="1">
      <c r="M449" s="15"/>
      <c r="N449" s="20"/>
    </row>
    <row r="450" ht="14.25" customHeight="1">
      <c r="M450" s="15"/>
      <c r="N450" s="20"/>
    </row>
    <row r="451" ht="14.25" customHeight="1">
      <c r="M451" s="15"/>
      <c r="N451" s="20"/>
    </row>
    <row r="452" ht="14.25" customHeight="1">
      <c r="M452" s="15"/>
      <c r="N452" s="20"/>
    </row>
    <row r="453" ht="14.25" customHeight="1">
      <c r="M453" s="15"/>
      <c r="N453" s="20"/>
    </row>
    <row r="454" ht="14.25" customHeight="1">
      <c r="M454" s="15"/>
      <c r="N454" s="20"/>
    </row>
    <row r="455" ht="14.25" customHeight="1">
      <c r="M455" s="15"/>
      <c r="N455" s="20"/>
    </row>
    <row r="456" ht="14.25" customHeight="1">
      <c r="M456" s="15"/>
      <c r="N456" s="20"/>
    </row>
    <row r="457" ht="14.25" customHeight="1">
      <c r="M457" s="15"/>
      <c r="N457" s="20"/>
    </row>
    <row r="458" ht="14.25" customHeight="1">
      <c r="M458" s="15"/>
      <c r="N458" s="20"/>
    </row>
    <row r="459" ht="14.25" customHeight="1">
      <c r="M459" s="15"/>
      <c r="N459" s="20"/>
    </row>
    <row r="460" ht="14.25" customHeight="1">
      <c r="M460" s="15"/>
      <c r="N460" s="20"/>
    </row>
    <row r="461" ht="14.25" customHeight="1">
      <c r="M461" s="15"/>
      <c r="N461" s="20"/>
    </row>
    <row r="462" ht="14.25" customHeight="1">
      <c r="M462" s="15"/>
      <c r="N462" s="20"/>
    </row>
    <row r="463" ht="14.25" customHeight="1">
      <c r="M463" s="15"/>
      <c r="N463" s="20"/>
    </row>
    <row r="464" ht="14.25" customHeight="1">
      <c r="M464" s="15"/>
      <c r="N464" s="20"/>
    </row>
    <row r="465" ht="14.25" customHeight="1">
      <c r="M465" s="15"/>
      <c r="N465" s="20"/>
    </row>
    <row r="466" ht="14.25" customHeight="1">
      <c r="M466" s="15"/>
      <c r="N466" s="20"/>
    </row>
    <row r="467" ht="14.25" customHeight="1">
      <c r="M467" s="15"/>
      <c r="N467" s="20"/>
    </row>
    <row r="468" ht="14.25" customHeight="1">
      <c r="M468" s="15"/>
      <c r="N468" s="20"/>
    </row>
    <row r="469" ht="14.25" customHeight="1">
      <c r="M469" s="15"/>
    </row>
    <row r="470" ht="14.25" customHeight="1">
      <c r="M470" s="15"/>
    </row>
    <row r="471" ht="14.25" customHeight="1">
      <c r="M471" s="15"/>
    </row>
    <row r="472" ht="14.25" customHeight="1">
      <c r="M472" s="15"/>
    </row>
    <row r="473" ht="14.25" customHeight="1">
      <c r="M473" s="15"/>
    </row>
    <row r="474" ht="14.25" customHeight="1">
      <c r="M474" s="15"/>
    </row>
    <row r="475" ht="14.25" customHeight="1">
      <c r="M475" s="15"/>
    </row>
    <row r="476" ht="14.25" customHeight="1">
      <c r="M476" s="15"/>
    </row>
    <row r="477" ht="14.25" customHeight="1">
      <c r="M477" s="15"/>
    </row>
    <row r="478" ht="14.25" customHeight="1">
      <c r="M478" s="15"/>
    </row>
    <row r="479" ht="14.25" customHeight="1">
      <c r="M479" s="15"/>
    </row>
    <row r="480" ht="14.25" customHeight="1">
      <c r="M480" s="15"/>
    </row>
    <row r="481" ht="14.25" customHeight="1">
      <c r="M481" s="15"/>
    </row>
    <row r="482" ht="14.25" customHeight="1">
      <c r="M482" s="15"/>
    </row>
    <row r="483" ht="14.25" customHeight="1">
      <c r="M483" s="15"/>
    </row>
    <row r="484" ht="14.25" customHeight="1">
      <c r="M484" s="15"/>
    </row>
    <row r="485" ht="14.25" customHeight="1">
      <c r="M485" s="15"/>
    </row>
    <row r="486" ht="14.25" customHeight="1">
      <c r="M486" s="15"/>
    </row>
    <row r="487" ht="14.25" customHeight="1">
      <c r="M487" s="15"/>
    </row>
    <row r="488" ht="14.25" customHeight="1">
      <c r="M488" s="15"/>
    </row>
    <row r="489" ht="14.25" customHeight="1">
      <c r="M489" s="15"/>
    </row>
    <row r="490" ht="14.25" customHeight="1">
      <c r="M490" s="15"/>
    </row>
    <row r="491" ht="14.25" customHeight="1">
      <c r="M491" s="15"/>
    </row>
    <row r="492" ht="14.25" customHeight="1">
      <c r="M492" s="15"/>
    </row>
    <row r="493" ht="14.25" customHeight="1">
      <c r="M493" s="15"/>
    </row>
    <row r="494" ht="14.25" customHeight="1">
      <c r="M494" s="15"/>
    </row>
    <row r="495" ht="14.25" customHeight="1">
      <c r="M495" s="15"/>
    </row>
    <row r="496" ht="14.25" customHeight="1">
      <c r="M496" s="15"/>
    </row>
    <row r="497" ht="14.25" customHeight="1">
      <c r="M497" s="15"/>
    </row>
    <row r="498" ht="14.25" customHeight="1">
      <c r="M498" s="15"/>
    </row>
    <row r="499" ht="14.25" customHeight="1">
      <c r="M499" s="15"/>
    </row>
    <row r="500" ht="14.25" customHeight="1">
      <c r="M500" s="15"/>
    </row>
    <row r="501" ht="14.25" customHeight="1">
      <c r="M501" s="15"/>
    </row>
    <row r="502" ht="14.25" customHeight="1">
      <c r="M502" s="15"/>
    </row>
    <row r="503" ht="14.25" customHeight="1">
      <c r="M503" s="15"/>
    </row>
    <row r="504" ht="14.25" customHeight="1">
      <c r="M504" s="15"/>
    </row>
    <row r="505" ht="14.25" customHeight="1">
      <c r="M505" s="15"/>
    </row>
    <row r="506" ht="14.25" customHeight="1">
      <c r="M506" s="15"/>
    </row>
    <row r="507" ht="14.25" customHeight="1">
      <c r="M507" s="15"/>
    </row>
    <row r="508" ht="14.25" customHeight="1">
      <c r="M508" s="15"/>
    </row>
    <row r="509" ht="14.25" customHeight="1">
      <c r="M509" s="15"/>
    </row>
    <row r="510" ht="14.25" customHeight="1">
      <c r="M510" s="15"/>
    </row>
    <row r="511" ht="14.25" customHeight="1">
      <c r="M511" s="15"/>
    </row>
    <row r="512" ht="14.25" customHeight="1">
      <c r="M512" s="15"/>
    </row>
    <row r="513" ht="14.25" customHeight="1">
      <c r="M513" s="15"/>
    </row>
    <row r="514" ht="14.25" customHeight="1">
      <c r="M514" s="15"/>
    </row>
    <row r="515" ht="14.25" customHeight="1">
      <c r="M515" s="15"/>
    </row>
    <row r="516" ht="14.25" customHeight="1">
      <c r="M516" s="15"/>
    </row>
    <row r="517" ht="14.25" customHeight="1">
      <c r="M517" s="15"/>
    </row>
    <row r="518" ht="14.25" customHeight="1">
      <c r="M518" s="15"/>
    </row>
    <row r="519" ht="14.25" customHeight="1">
      <c r="M519" s="15"/>
    </row>
    <row r="520" ht="14.25" customHeight="1">
      <c r="M520" s="15"/>
    </row>
    <row r="521" ht="14.25" customHeight="1">
      <c r="M521" s="15"/>
    </row>
    <row r="522" ht="14.25" customHeight="1">
      <c r="M522" s="15"/>
    </row>
    <row r="523" ht="14.25" customHeight="1">
      <c r="M523" s="15"/>
    </row>
    <row r="524" ht="14.25" customHeight="1">
      <c r="M524" s="15"/>
    </row>
    <row r="525" ht="14.25" customHeight="1">
      <c r="M525" s="15"/>
    </row>
    <row r="526" ht="14.25" customHeight="1">
      <c r="M526" s="15"/>
    </row>
    <row r="527" ht="14.25" customHeight="1">
      <c r="M527" s="15"/>
    </row>
    <row r="528" ht="14.25" customHeight="1">
      <c r="M528" s="15"/>
    </row>
    <row r="529" ht="14.25" customHeight="1">
      <c r="M529" s="15"/>
    </row>
    <row r="530" ht="14.25" customHeight="1">
      <c r="M530" s="15"/>
    </row>
    <row r="531" ht="14.25" customHeight="1">
      <c r="M531" s="15"/>
    </row>
    <row r="532" ht="14.25" customHeight="1">
      <c r="M532" s="15"/>
    </row>
    <row r="533" ht="14.25" customHeight="1">
      <c r="M533" s="15"/>
    </row>
    <row r="534" ht="14.25" customHeight="1">
      <c r="M534" s="15"/>
    </row>
    <row r="535" ht="14.25" customHeight="1">
      <c r="M535" s="15"/>
    </row>
    <row r="536" ht="14.25" customHeight="1">
      <c r="M536" s="15"/>
    </row>
    <row r="537" ht="14.25" customHeight="1">
      <c r="M537" s="15"/>
    </row>
    <row r="538" ht="14.25" customHeight="1">
      <c r="M538" s="15"/>
    </row>
    <row r="539" ht="14.25" customHeight="1">
      <c r="M539" s="15"/>
    </row>
    <row r="540" ht="14.25" customHeight="1">
      <c r="M540" s="15"/>
    </row>
    <row r="541" ht="14.25" customHeight="1">
      <c r="M541" s="15"/>
    </row>
    <row r="542" ht="14.25" customHeight="1">
      <c r="M542" s="15"/>
    </row>
    <row r="543" ht="14.25" customHeight="1">
      <c r="M543" s="15"/>
    </row>
    <row r="544" ht="14.25" customHeight="1">
      <c r="M544" s="15"/>
    </row>
    <row r="545" ht="14.25" customHeight="1">
      <c r="M545" s="15"/>
    </row>
    <row r="546" ht="14.25" customHeight="1">
      <c r="M546" s="15"/>
    </row>
    <row r="547" ht="14.25" customHeight="1">
      <c r="M547" s="15"/>
    </row>
    <row r="548" ht="14.25" customHeight="1">
      <c r="M548" s="15"/>
    </row>
    <row r="549" ht="14.25" customHeight="1">
      <c r="M549" s="15"/>
    </row>
    <row r="550" ht="14.25" customHeight="1">
      <c r="M550" s="15"/>
    </row>
    <row r="551" ht="14.25" customHeight="1">
      <c r="M551" s="15"/>
    </row>
    <row r="552" ht="14.25" customHeight="1">
      <c r="M552" s="15"/>
    </row>
    <row r="553" ht="14.25" customHeight="1">
      <c r="M553" s="15"/>
    </row>
    <row r="554" ht="14.25" customHeight="1">
      <c r="M554" s="15"/>
    </row>
    <row r="555" ht="14.25" customHeight="1">
      <c r="M555" s="15"/>
    </row>
    <row r="556" ht="14.25" customHeight="1">
      <c r="M556" s="15"/>
    </row>
    <row r="557" ht="14.25" customHeight="1">
      <c r="M557" s="15"/>
    </row>
    <row r="558" ht="14.25" customHeight="1">
      <c r="M558" s="15"/>
    </row>
    <row r="559" ht="14.25" customHeight="1">
      <c r="M559" s="15"/>
    </row>
    <row r="560" ht="14.25" customHeight="1">
      <c r="M560" s="15"/>
    </row>
    <row r="561" ht="14.25" customHeight="1">
      <c r="M561" s="15"/>
    </row>
    <row r="562" ht="14.25" customHeight="1">
      <c r="M562" s="15"/>
    </row>
    <row r="563" ht="14.25" customHeight="1">
      <c r="M563" s="15"/>
    </row>
    <row r="564" ht="14.25" customHeight="1">
      <c r="M564" s="15"/>
    </row>
    <row r="565" ht="14.25" customHeight="1">
      <c r="M565" s="15"/>
    </row>
    <row r="566" ht="14.25" customHeight="1">
      <c r="M566" s="15"/>
    </row>
    <row r="567" ht="14.25" customHeight="1">
      <c r="M567" s="15"/>
    </row>
    <row r="568" ht="14.25" customHeight="1">
      <c r="M568" s="15"/>
    </row>
    <row r="569" ht="14.25" customHeight="1">
      <c r="M569" s="15"/>
    </row>
    <row r="570" ht="14.25" customHeight="1">
      <c r="M570" s="15"/>
    </row>
    <row r="571" ht="14.25" customHeight="1">
      <c r="M571" s="15"/>
    </row>
    <row r="572" ht="14.25" customHeight="1">
      <c r="M572" s="15"/>
    </row>
    <row r="573" ht="14.25" customHeight="1">
      <c r="M573" s="15"/>
    </row>
    <row r="574" ht="14.25" customHeight="1">
      <c r="M574" s="15"/>
    </row>
    <row r="575" ht="14.25" customHeight="1">
      <c r="M575" s="15"/>
    </row>
    <row r="576" ht="14.25" customHeight="1">
      <c r="M576" s="15"/>
    </row>
    <row r="577" ht="14.25" customHeight="1">
      <c r="M577" s="15"/>
    </row>
    <row r="578" ht="14.25" customHeight="1">
      <c r="M578" s="15"/>
    </row>
    <row r="579" ht="14.25" customHeight="1">
      <c r="M579" s="15"/>
    </row>
    <row r="580" ht="14.25" customHeight="1">
      <c r="M580" s="15"/>
    </row>
    <row r="581" ht="14.25" customHeight="1">
      <c r="M581" s="15"/>
    </row>
    <row r="582" ht="14.25" customHeight="1">
      <c r="M582" s="15"/>
    </row>
    <row r="583" ht="14.25" customHeight="1">
      <c r="M583" s="15"/>
    </row>
    <row r="584" ht="14.25" customHeight="1">
      <c r="M584" s="15"/>
    </row>
    <row r="585" ht="14.25" customHeight="1">
      <c r="M585" s="15"/>
    </row>
    <row r="586" ht="14.25" customHeight="1">
      <c r="M586" s="15"/>
    </row>
    <row r="587" ht="14.25" customHeight="1">
      <c r="M587" s="15"/>
    </row>
    <row r="588" ht="14.25" customHeight="1">
      <c r="M588" s="15"/>
    </row>
    <row r="589" ht="14.25" customHeight="1">
      <c r="M589" s="15"/>
    </row>
    <row r="590" ht="14.25" customHeight="1">
      <c r="M590" s="15"/>
    </row>
    <row r="591" ht="14.25" customHeight="1">
      <c r="M591" s="15"/>
    </row>
    <row r="592" ht="14.25" customHeight="1">
      <c r="M592" s="15"/>
    </row>
    <row r="593" ht="14.25" customHeight="1">
      <c r="M593" s="15"/>
    </row>
    <row r="594" ht="14.25" customHeight="1">
      <c r="M594" s="15"/>
    </row>
    <row r="595" ht="14.25" customHeight="1">
      <c r="M595" s="15"/>
    </row>
    <row r="596" ht="14.25" customHeight="1">
      <c r="M596" s="15"/>
    </row>
    <row r="597" ht="14.25" customHeight="1">
      <c r="M597" s="15"/>
    </row>
    <row r="598" ht="14.25" customHeight="1">
      <c r="M598" s="15"/>
    </row>
    <row r="599" ht="14.25" customHeight="1">
      <c r="M599" s="15"/>
    </row>
    <row r="600" ht="14.25" customHeight="1">
      <c r="M600" s="15"/>
    </row>
    <row r="601" ht="14.25" customHeight="1">
      <c r="M601" s="15"/>
    </row>
    <row r="602" ht="14.25" customHeight="1">
      <c r="M602" s="15"/>
    </row>
    <row r="603" ht="14.25" customHeight="1">
      <c r="M603" s="15"/>
    </row>
    <row r="604" ht="14.25" customHeight="1">
      <c r="M604" s="15"/>
    </row>
    <row r="605" ht="14.25" customHeight="1">
      <c r="M605" s="15"/>
    </row>
    <row r="606" ht="14.25" customHeight="1">
      <c r="M606" s="15"/>
    </row>
    <row r="607" ht="14.25" customHeight="1">
      <c r="M607" s="15"/>
    </row>
    <row r="608" ht="14.25" customHeight="1">
      <c r="M608" s="15"/>
    </row>
    <row r="609" ht="14.25" customHeight="1">
      <c r="M609" s="15"/>
    </row>
    <row r="610" ht="14.25" customHeight="1">
      <c r="M610" s="15"/>
    </row>
    <row r="611" ht="14.25" customHeight="1">
      <c r="M611" s="15"/>
    </row>
    <row r="612" ht="14.25" customHeight="1">
      <c r="M612" s="15"/>
    </row>
    <row r="613" ht="14.25" customHeight="1">
      <c r="M613" s="15"/>
    </row>
    <row r="614" ht="14.25" customHeight="1">
      <c r="M614" s="15"/>
    </row>
    <row r="615" ht="14.25" customHeight="1">
      <c r="M615" s="15"/>
    </row>
    <row r="616" ht="14.25" customHeight="1">
      <c r="M616" s="15"/>
    </row>
    <row r="617" ht="14.25" customHeight="1">
      <c r="M617" s="15"/>
    </row>
    <row r="618" ht="14.25" customHeight="1">
      <c r="M618" s="15"/>
    </row>
    <row r="619" ht="14.25" customHeight="1">
      <c r="M619" s="15"/>
    </row>
    <row r="620" ht="14.25" customHeight="1">
      <c r="M620" s="15"/>
    </row>
    <row r="621" ht="14.25" customHeight="1">
      <c r="M621" s="15"/>
    </row>
    <row r="622" ht="14.25" customHeight="1">
      <c r="M622" s="15"/>
    </row>
    <row r="623" ht="14.25" customHeight="1">
      <c r="M623" s="15"/>
    </row>
    <row r="624" ht="14.25" customHeight="1">
      <c r="M624" s="15"/>
    </row>
    <row r="625" ht="14.25" customHeight="1">
      <c r="M625" s="15"/>
    </row>
    <row r="626" ht="14.25" customHeight="1">
      <c r="M626" s="15"/>
    </row>
    <row r="627" ht="14.25" customHeight="1">
      <c r="M627" s="15"/>
    </row>
    <row r="628" ht="14.25" customHeight="1">
      <c r="M628" s="15"/>
    </row>
    <row r="629" ht="14.25" customHeight="1">
      <c r="M629" s="15"/>
    </row>
    <row r="630" ht="14.25" customHeight="1">
      <c r="M630" s="15"/>
    </row>
    <row r="631" ht="14.25" customHeight="1">
      <c r="M631" s="15"/>
    </row>
    <row r="632" ht="14.25" customHeight="1">
      <c r="M632" s="15"/>
    </row>
    <row r="633" ht="14.25" customHeight="1">
      <c r="M633" s="15"/>
    </row>
    <row r="634" ht="14.25" customHeight="1">
      <c r="M634" s="15"/>
    </row>
    <row r="635" ht="14.25" customHeight="1">
      <c r="M635" s="15"/>
    </row>
    <row r="636" ht="14.25" customHeight="1">
      <c r="M636" s="15"/>
    </row>
    <row r="637" ht="14.25" customHeight="1">
      <c r="M637" s="15"/>
    </row>
    <row r="638" ht="14.25" customHeight="1">
      <c r="M638" s="15"/>
    </row>
    <row r="639" ht="14.25" customHeight="1">
      <c r="M639" s="15"/>
    </row>
    <row r="640" ht="14.25" customHeight="1">
      <c r="M640" s="15"/>
    </row>
    <row r="641" ht="14.25" customHeight="1">
      <c r="M641" s="15"/>
    </row>
    <row r="642" ht="14.25" customHeight="1">
      <c r="M642" s="15"/>
    </row>
    <row r="643" ht="14.25" customHeight="1">
      <c r="M643" s="15"/>
    </row>
    <row r="644" ht="14.25" customHeight="1">
      <c r="M644" s="15"/>
    </row>
    <row r="645" ht="14.25" customHeight="1">
      <c r="M645" s="15"/>
    </row>
    <row r="646" ht="14.25" customHeight="1">
      <c r="M646" s="15"/>
    </row>
    <row r="647" ht="14.25" customHeight="1">
      <c r="M647" s="15"/>
    </row>
    <row r="648" ht="14.25" customHeight="1">
      <c r="M648" s="15"/>
    </row>
    <row r="649" ht="14.25" customHeight="1">
      <c r="M649" s="15"/>
    </row>
    <row r="650" ht="14.25" customHeight="1">
      <c r="M650" s="15"/>
    </row>
    <row r="651" ht="14.25" customHeight="1">
      <c r="M651" s="15"/>
    </row>
    <row r="652" ht="14.25" customHeight="1">
      <c r="M652" s="15"/>
    </row>
    <row r="653" ht="14.25" customHeight="1">
      <c r="M653" s="15"/>
    </row>
    <row r="654" ht="14.25" customHeight="1">
      <c r="M654" s="15"/>
    </row>
    <row r="655" ht="14.25" customHeight="1">
      <c r="M655" s="15"/>
    </row>
    <row r="656" ht="14.25" customHeight="1">
      <c r="M656" s="15"/>
    </row>
    <row r="657" ht="14.25" customHeight="1">
      <c r="M657" s="15"/>
    </row>
    <row r="658" ht="14.25" customHeight="1">
      <c r="M658" s="15"/>
    </row>
    <row r="659" ht="14.25" customHeight="1">
      <c r="M659" s="15"/>
    </row>
    <row r="660" ht="14.25" customHeight="1">
      <c r="M660" s="15"/>
    </row>
    <row r="661" ht="14.25" customHeight="1">
      <c r="M661" s="15"/>
    </row>
    <row r="662" ht="14.25" customHeight="1">
      <c r="M662" s="15"/>
    </row>
    <row r="663" ht="14.25" customHeight="1">
      <c r="M663" s="15"/>
    </row>
    <row r="664" ht="14.25" customHeight="1">
      <c r="M664" s="15"/>
    </row>
    <row r="665" ht="14.25" customHeight="1">
      <c r="M665" s="15"/>
    </row>
    <row r="666" ht="14.25" customHeight="1">
      <c r="M666" s="15"/>
    </row>
    <row r="667" ht="14.25" customHeight="1">
      <c r="M667" s="15"/>
    </row>
    <row r="668" ht="14.25" customHeight="1">
      <c r="M668" s="15"/>
    </row>
    <row r="669" ht="14.25" customHeight="1">
      <c r="M669" s="15"/>
    </row>
    <row r="670" ht="14.25" customHeight="1">
      <c r="M670" s="15"/>
    </row>
    <row r="671" ht="14.25" customHeight="1">
      <c r="M671" s="15"/>
    </row>
    <row r="672" ht="14.25" customHeight="1">
      <c r="M672" s="15"/>
    </row>
    <row r="673" ht="14.25" customHeight="1">
      <c r="M673" s="15"/>
    </row>
    <row r="674" ht="14.25" customHeight="1">
      <c r="M674" s="15"/>
    </row>
    <row r="675" ht="14.25" customHeight="1">
      <c r="M675" s="15"/>
    </row>
    <row r="676" ht="14.25" customHeight="1">
      <c r="M676" s="15"/>
    </row>
    <row r="677" ht="14.25" customHeight="1">
      <c r="M677" s="15"/>
    </row>
    <row r="678" ht="14.25" customHeight="1">
      <c r="M678" s="15"/>
    </row>
    <row r="679" ht="14.25" customHeight="1">
      <c r="M679" s="15"/>
    </row>
    <row r="680" ht="14.25" customHeight="1">
      <c r="M680" s="15"/>
    </row>
    <row r="681" ht="14.25" customHeight="1">
      <c r="M681" s="15"/>
    </row>
    <row r="682" ht="14.25" customHeight="1">
      <c r="M682" s="15"/>
    </row>
    <row r="683" ht="14.25" customHeight="1">
      <c r="M683" s="15"/>
    </row>
    <row r="684" ht="14.25" customHeight="1">
      <c r="M684" s="15"/>
    </row>
    <row r="685" ht="14.25" customHeight="1">
      <c r="M685" s="15"/>
    </row>
    <row r="686" ht="14.25" customHeight="1">
      <c r="M686" s="15"/>
    </row>
    <row r="687" ht="14.25" customHeight="1">
      <c r="M687" s="15"/>
    </row>
    <row r="688" ht="14.25" customHeight="1">
      <c r="M688" s="15"/>
    </row>
    <row r="689" ht="14.25" customHeight="1">
      <c r="M689" s="15"/>
    </row>
    <row r="690" ht="14.25" customHeight="1">
      <c r="M690" s="15"/>
    </row>
    <row r="691" ht="14.25" customHeight="1">
      <c r="M691" s="15"/>
    </row>
    <row r="692" ht="14.25" customHeight="1">
      <c r="M692" s="15"/>
    </row>
    <row r="693" ht="14.25" customHeight="1">
      <c r="M693" s="15"/>
    </row>
    <row r="694" ht="14.25" customHeight="1">
      <c r="M694" s="15"/>
    </row>
    <row r="695" ht="14.25" customHeight="1">
      <c r="M695" s="15"/>
    </row>
    <row r="696" ht="14.25" customHeight="1">
      <c r="M696" s="15"/>
    </row>
    <row r="697" ht="14.25" customHeight="1">
      <c r="M697" s="15"/>
    </row>
    <row r="698" ht="14.25" customHeight="1">
      <c r="M698" s="15"/>
    </row>
    <row r="699" ht="14.25" customHeight="1">
      <c r="M699" s="15"/>
    </row>
    <row r="700" ht="14.25" customHeight="1">
      <c r="M700" s="15"/>
    </row>
    <row r="701" ht="14.25" customHeight="1">
      <c r="M701" s="15"/>
    </row>
    <row r="702" ht="14.25" customHeight="1">
      <c r="M702" s="15"/>
    </row>
    <row r="703" ht="14.25" customHeight="1">
      <c r="M703" s="15"/>
    </row>
    <row r="704" ht="14.25" customHeight="1">
      <c r="M704" s="15"/>
    </row>
    <row r="705" ht="14.25" customHeight="1">
      <c r="M705" s="15"/>
    </row>
    <row r="706" ht="14.25" customHeight="1">
      <c r="M706" s="15"/>
    </row>
    <row r="707" ht="14.25" customHeight="1">
      <c r="M707" s="15"/>
    </row>
    <row r="708" ht="14.25" customHeight="1">
      <c r="M708" s="15"/>
    </row>
    <row r="709" ht="14.25" customHeight="1">
      <c r="M709" s="15"/>
    </row>
    <row r="710" ht="14.25" customHeight="1">
      <c r="M710" s="15"/>
    </row>
    <row r="711" ht="14.25" customHeight="1">
      <c r="M711" s="15"/>
    </row>
    <row r="712" ht="14.25" customHeight="1">
      <c r="M712" s="15"/>
    </row>
    <row r="713" ht="14.25" customHeight="1">
      <c r="M713" s="15"/>
    </row>
    <row r="714" ht="14.25" customHeight="1">
      <c r="M714" s="15"/>
    </row>
    <row r="715" ht="14.25" customHeight="1">
      <c r="M715" s="15"/>
    </row>
    <row r="716" ht="14.25" customHeight="1">
      <c r="M716" s="15"/>
    </row>
    <row r="717" ht="14.25" customHeight="1">
      <c r="M717" s="15"/>
    </row>
    <row r="718" ht="14.25" customHeight="1">
      <c r="M718" s="15"/>
    </row>
    <row r="719" ht="14.25" customHeight="1">
      <c r="M719" s="15"/>
    </row>
    <row r="720" ht="14.25" customHeight="1">
      <c r="M720" s="15"/>
    </row>
    <row r="721" ht="14.25" customHeight="1">
      <c r="M721" s="15"/>
    </row>
    <row r="722" ht="14.25" customHeight="1">
      <c r="M722" s="15"/>
    </row>
    <row r="723" ht="14.25" customHeight="1">
      <c r="M723" s="15"/>
    </row>
    <row r="724" ht="14.25" customHeight="1">
      <c r="M724" s="15"/>
    </row>
    <row r="725" ht="14.25" customHeight="1">
      <c r="M725" s="15"/>
    </row>
    <row r="726" ht="14.25" customHeight="1">
      <c r="M726" s="15"/>
    </row>
    <row r="727" ht="14.25" customHeight="1">
      <c r="M727" s="15"/>
    </row>
    <row r="728" ht="14.25" customHeight="1">
      <c r="M728" s="15"/>
    </row>
    <row r="729" ht="14.25" customHeight="1">
      <c r="M729" s="15"/>
    </row>
    <row r="730" ht="14.25" customHeight="1">
      <c r="M730" s="15"/>
    </row>
    <row r="731" ht="14.25" customHeight="1">
      <c r="M731" s="15"/>
    </row>
    <row r="732" ht="14.25" customHeight="1">
      <c r="M732" s="15"/>
    </row>
    <row r="733" ht="14.25" customHeight="1">
      <c r="M733" s="15"/>
    </row>
    <row r="734" ht="14.25" customHeight="1">
      <c r="M734" s="15"/>
    </row>
    <row r="735" ht="14.25" customHeight="1">
      <c r="M735" s="15"/>
    </row>
    <row r="736" ht="14.25" customHeight="1">
      <c r="M736" s="15"/>
    </row>
    <row r="737" ht="14.25" customHeight="1">
      <c r="M737" s="15"/>
    </row>
    <row r="738" ht="14.25" customHeight="1">
      <c r="M738" s="15"/>
    </row>
    <row r="739" ht="14.25" customHeight="1">
      <c r="M739" s="15"/>
    </row>
    <row r="740" ht="14.25" customHeight="1">
      <c r="M740" s="15"/>
    </row>
    <row r="741" ht="14.25" customHeight="1">
      <c r="M741" s="15"/>
    </row>
    <row r="742" ht="14.25" customHeight="1">
      <c r="M742" s="15"/>
    </row>
    <row r="743" ht="14.25" customHeight="1">
      <c r="M743" s="15"/>
    </row>
    <row r="744" ht="14.25" customHeight="1">
      <c r="M744" s="15"/>
    </row>
    <row r="745" ht="14.25" customHeight="1">
      <c r="M745" s="15"/>
    </row>
    <row r="746" ht="14.25" customHeight="1">
      <c r="M746" s="15"/>
    </row>
    <row r="747" ht="14.25" customHeight="1">
      <c r="M747" s="15"/>
    </row>
    <row r="748" ht="14.25" customHeight="1">
      <c r="M748" s="15"/>
    </row>
    <row r="749" ht="14.25" customHeight="1">
      <c r="M749" s="15"/>
    </row>
    <row r="750" ht="14.25" customHeight="1">
      <c r="M750" s="15"/>
    </row>
    <row r="751" ht="14.25" customHeight="1">
      <c r="M751" s="15"/>
    </row>
    <row r="752" ht="14.25" customHeight="1">
      <c r="M752" s="15"/>
    </row>
    <row r="753" ht="14.25" customHeight="1">
      <c r="M753" s="15"/>
    </row>
    <row r="754" ht="14.25" customHeight="1">
      <c r="M754" s="15"/>
    </row>
    <row r="755" ht="14.25" customHeight="1">
      <c r="M755" s="15"/>
    </row>
    <row r="756" ht="14.25" customHeight="1">
      <c r="M756" s="15"/>
    </row>
    <row r="757" ht="14.25" customHeight="1">
      <c r="M757" s="15"/>
    </row>
    <row r="758" ht="14.25" customHeight="1">
      <c r="M758" s="15"/>
    </row>
    <row r="759" ht="14.25" customHeight="1">
      <c r="M759" s="15"/>
    </row>
    <row r="760" ht="14.25" customHeight="1">
      <c r="M760" s="15"/>
    </row>
    <row r="761" ht="14.25" customHeight="1">
      <c r="M761" s="15"/>
    </row>
    <row r="762" ht="14.25" customHeight="1">
      <c r="M762" s="15"/>
    </row>
    <row r="763" ht="14.25" customHeight="1">
      <c r="M763" s="15"/>
    </row>
    <row r="764" ht="14.25" customHeight="1">
      <c r="M764" s="15"/>
    </row>
    <row r="765" ht="14.25" customHeight="1">
      <c r="M765" s="15"/>
    </row>
    <row r="766" ht="14.25" customHeight="1">
      <c r="M766" s="15"/>
    </row>
    <row r="767" ht="14.25" customHeight="1">
      <c r="M767" s="15"/>
    </row>
    <row r="768" ht="14.25" customHeight="1">
      <c r="M768" s="15"/>
    </row>
    <row r="769" ht="14.25" customHeight="1">
      <c r="M769" s="15"/>
    </row>
    <row r="770" ht="14.25" customHeight="1">
      <c r="M770" s="15"/>
    </row>
    <row r="771" ht="14.25" customHeight="1">
      <c r="M771" s="15"/>
    </row>
    <row r="772" ht="14.25" customHeight="1">
      <c r="M772" s="15"/>
    </row>
    <row r="773" ht="14.25" customHeight="1">
      <c r="M773" s="15"/>
    </row>
    <row r="774" ht="14.25" customHeight="1">
      <c r="M774" s="15"/>
    </row>
    <row r="775" ht="14.25" customHeight="1">
      <c r="M775" s="15"/>
    </row>
    <row r="776" ht="14.25" customHeight="1">
      <c r="M776" s="15"/>
    </row>
    <row r="777" ht="14.25" customHeight="1">
      <c r="M777" s="15"/>
    </row>
    <row r="778" ht="14.25" customHeight="1">
      <c r="M778" s="15"/>
    </row>
    <row r="779" ht="14.25" customHeight="1">
      <c r="M779" s="15"/>
    </row>
    <row r="780" ht="14.25" customHeight="1">
      <c r="M780" s="15"/>
    </row>
    <row r="781" ht="14.25" customHeight="1">
      <c r="M781" s="15"/>
    </row>
    <row r="782" ht="14.25" customHeight="1">
      <c r="M782" s="15"/>
    </row>
    <row r="783" ht="14.25" customHeight="1">
      <c r="M783" s="15"/>
    </row>
    <row r="784" ht="14.25" customHeight="1">
      <c r="M784" s="15"/>
    </row>
    <row r="785" ht="14.25" customHeight="1">
      <c r="M785" s="15"/>
    </row>
    <row r="786" ht="14.25" customHeight="1">
      <c r="M786" s="15"/>
    </row>
    <row r="787" ht="14.25" customHeight="1">
      <c r="M787" s="15"/>
    </row>
    <row r="788" ht="14.25" customHeight="1">
      <c r="M788" s="15"/>
    </row>
    <row r="789" ht="14.25" customHeight="1">
      <c r="M789" s="15"/>
    </row>
    <row r="790" ht="14.25" customHeight="1">
      <c r="M790" s="15"/>
    </row>
    <row r="791" ht="14.25" customHeight="1">
      <c r="M791" s="15"/>
    </row>
    <row r="792" ht="14.25" customHeight="1">
      <c r="M792" s="15"/>
    </row>
    <row r="793" ht="14.25" customHeight="1">
      <c r="M793" s="15"/>
    </row>
    <row r="794" ht="14.25" customHeight="1">
      <c r="M794" s="15"/>
    </row>
    <row r="795" ht="14.25" customHeight="1">
      <c r="M795" s="15"/>
    </row>
    <row r="796" ht="14.25" customHeight="1">
      <c r="M796" s="15"/>
    </row>
    <row r="797" ht="14.25" customHeight="1">
      <c r="M797" s="15"/>
    </row>
    <row r="798" ht="14.25" customHeight="1">
      <c r="M798" s="15"/>
    </row>
    <row r="799" ht="14.25" customHeight="1">
      <c r="M799" s="15"/>
    </row>
    <row r="800" ht="14.25" customHeight="1">
      <c r="M800" s="15"/>
    </row>
    <row r="801" ht="14.25" customHeight="1">
      <c r="M801" s="15"/>
    </row>
    <row r="802" ht="14.25" customHeight="1">
      <c r="M802" s="15"/>
    </row>
    <row r="803" ht="14.25" customHeight="1">
      <c r="M803" s="15"/>
    </row>
    <row r="804" ht="14.25" customHeight="1">
      <c r="M804" s="15"/>
    </row>
    <row r="805" ht="14.25" customHeight="1">
      <c r="M805" s="15"/>
    </row>
    <row r="806" ht="14.25" customHeight="1">
      <c r="M806" s="15"/>
    </row>
    <row r="807" ht="14.25" customHeight="1">
      <c r="M807" s="15"/>
    </row>
    <row r="808" ht="14.25" customHeight="1">
      <c r="M808" s="15"/>
    </row>
    <row r="809" ht="14.25" customHeight="1">
      <c r="M809" s="15"/>
    </row>
    <row r="810" ht="14.25" customHeight="1">
      <c r="M810" s="15"/>
    </row>
    <row r="811" ht="14.25" customHeight="1">
      <c r="M811" s="15"/>
    </row>
    <row r="812" ht="14.25" customHeight="1">
      <c r="M812" s="15"/>
    </row>
    <row r="813" ht="14.25" customHeight="1">
      <c r="M813" s="15"/>
    </row>
    <row r="814" ht="14.25" customHeight="1">
      <c r="M814" s="15"/>
    </row>
    <row r="815" ht="14.25" customHeight="1">
      <c r="M815" s="15"/>
    </row>
    <row r="816" ht="14.25" customHeight="1">
      <c r="M816" s="15"/>
    </row>
    <row r="817" ht="14.25" customHeight="1">
      <c r="M817" s="15"/>
    </row>
    <row r="818" ht="14.25" customHeight="1">
      <c r="M818" s="15"/>
    </row>
    <row r="819" ht="14.25" customHeight="1">
      <c r="M819" s="15"/>
    </row>
    <row r="820" ht="14.25" customHeight="1">
      <c r="M820" s="15"/>
    </row>
    <row r="821" ht="14.25" customHeight="1">
      <c r="M821" s="15"/>
    </row>
    <row r="822" ht="14.25" customHeight="1">
      <c r="M822" s="15"/>
    </row>
    <row r="823" ht="14.25" customHeight="1">
      <c r="M823" s="15"/>
    </row>
    <row r="824" ht="14.25" customHeight="1">
      <c r="M824" s="15"/>
    </row>
    <row r="825" ht="14.25" customHeight="1">
      <c r="M825" s="15"/>
    </row>
    <row r="826" ht="14.25" customHeight="1">
      <c r="M826" s="15"/>
    </row>
    <row r="827" ht="14.25" customHeight="1">
      <c r="M827" s="15"/>
    </row>
    <row r="828" ht="14.25" customHeight="1">
      <c r="M828" s="15"/>
    </row>
    <row r="829" ht="14.25" customHeight="1">
      <c r="M829" s="15"/>
    </row>
    <row r="830" ht="14.25" customHeight="1">
      <c r="M830" s="15"/>
    </row>
    <row r="831" ht="14.25" customHeight="1">
      <c r="M831" s="15"/>
    </row>
    <row r="832" ht="14.25" customHeight="1">
      <c r="M832" s="15"/>
    </row>
    <row r="833" ht="14.25" customHeight="1">
      <c r="M833" s="15"/>
    </row>
    <row r="834" ht="14.25" customHeight="1">
      <c r="M834" s="15"/>
    </row>
    <row r="835" ht="14.25" customHeight="1">
      <c r="M835" s="15"/>
    </row>
    <row r="836" ht="14.25" customHeight="1">
      <c r="M836" s="15"/>
    </row>
    <row r="837" ht="14.25" customHeight="1">
      <c r="M837" s="15"/>
    </row>
    <row r="838" ht="14.25" customHeight="1">
      <c r="M838" s="15"/>
    </row>
    <row r="839" ht="14.25" customHeight="1">
      <c r="M839" s="15"/>
    </row>
    <row r="840" ht="14.25" customHeight="1">
      <c r="M840" s="15"/>
    </row>
    <row r="841" ht="14.25" customHeight="1">
      <c r="M841" s="15"/>
    </row>
    <row r="842" ht="14.25" customHeight="1">
      <c r="M842" s="15"/>
    </row>
    <row r="843" ht="14.25" customHeight="1">
      <c r="M843" s="15"/>
    </row>
    <row r="844" ht="14.25" customHeight="1">
      <c r="M844" s="15"/>
    </row>
    <row r="845" ht="14.25" customHeight="1">
      <c r="M845" s="15"/>
    </row>
    <row r="846" ht="14.25" customHeight="1">
      <c r="M846" s="15"/>
    </row>
    <row r="847" ht="14.25" customHeight="1">
      <c r="M847" s="15"/>
    </row>
    <row r="848" ht="14.25" customHeight="1">
      <c r="M848" s="15"/>
    </row>
    <row r="849" ht="14.25" customHeight="1">
      <c r="M849" s="15"/>
    </row>
    <row r="850" ht="14.25" customHeight="1">
      <c r="M850" s="15"/>
    </row>
    <row r="851" ht="14.25" customHeight="1">
      <c r="M851" s="15"/>
    </row>
    <row r="852" ht="14.25" customHeight="1">
      <c r="M852" s="15"/>
    </row>
    <row r="853" ht="14.25" customHeight="1">
      <c r="M853" s="15"/>
    </row>
    <row r="854" ht="14.25" customHeight="1">
      <c r="M854" s="15"/>
    </row>
    <row r="855" ht="14.25" customHeight="1">
      <c r="M855" s="15"/>
    </row>
    <row r="856" ht="14.25" customHeight="1">
      <c r="M856" s="15"/>
    </row>
    <row r="857" ht="14.25" customHeight="1">
      <c r="M857" s="15"/>
    </row>
    <row r="858" ht="14.25" customHeight="1">
      <c r="M858" s="15"/>
    </row>
    <row r="859" ht="14.25" customHeight="1">
      <c r="M859" s="15"/>
    </row>
    <row r="860" ht="14.25" customHeight="1">
      <c r="M860" s="15"/>
    </row>
    <row r="861" ht="14.25" customHeight="1">
      <c r="M861" s="15"/>
    </row>
    <row r="862" ht="14.25" customHeight="1">
      <c r="M862" s="15"/>
    </row>
    <row r="863" ht="14.25" customHeight="1">
      <c r="M863" s="15"/>
    </row>
    <row r="864" ht="14.25" customHeight="1">
      <c r="M864" s="15"/>
    </row>
    <row r="865" ht="14.25" customHeight="1">
      <c r="M865" s="15"/>
    </row>
    <row r="866" ht="14.25" customHeight="1">
      <c r="M866" s="15"/>
    </row>
    <row r="867" ht="14.25" customHeight="1">
      <c r="M867" s="15"/>
    </row>
    <row r="868" ht="14.25" customHeight="1">
      <c r="M868" s="15"/>
    </row>
    <row r="869" ht="14.25" customHeight="1">
      <c r="M869" s="15"/>
    </row>
    <row r="870" ht="14.25" customHeight="1">
      <c r="M870" s="15"/>
    </row>
    <row r="871" ht="14.25" customHeight="1">
      <c r="M871" s="15"/>
    </row>
    <row r="872" ht="14.25" customHeight="1">
      <c r="M872" s="15"/>
    </row>
    <row r="873" ht="14.25" customHeight="1">
      <c r="M873" s="15"/>
    </row>
    <row r="874" ht="14.25" customHeight="1">
      <c r="M874" s="15"/>
    </row>
    <row r="875" ht="14.25" customHeight="1">
      <c r="M875" s="15"/>
    </row>
    <row r="876" ht="14.25" customHeight="1">
      <c r="M876" s="15"/>
    </row>
    <row r="877" ht="14.25" customHeight="1">
      <c r="M877" s="15"/>
    </row>
    <row r="878" ht="14.25" customHeight="1">
      <c r="M878" s="15"/>
    </row>
    <row r="879" ht="14.25" customHeight="1">
      <c r="M879" s="15"/>
    </row>
    <row r="880" ht="14.25" customHeight="1">
      <c r="M880" s="15"/>
    </row>
    <row r="881" ht="14.25" customHeight="1">
      <c r="M881" s="15"/>
    </row>
    <row r="882" ht="14.25" customHeight="1">
      <c r="M882" s="15"/>
    </row>
    <row r="883" ht="14.25" customHeight="1">
      <c r="M883" s="15"/>
    </row>
    <row r="884" ht="14.25" customHeight="1">
      <c r="M884" s="15"/>
    </row>
    <row r="885" ht="14.25" customHeight="1">
      <c r="M885" s="15"/>
    </row>
    <row r="886" ht="14.25" customHeight="1">
      <c r="M886" s="15"/>
    </row>
    <row r="887" ht="14.25" customHeight="1">
      <c r="M887" s="15"/>
    </row>
    <row r="888" ht="14.25" customHeight="1">
      <c r="M888" s="15"/>
    </row>
    <row r="889" ht="14.25" customHeight="1">
      <c r="M889" s="15"/>
    </row>
    <row r="890" ht="14.25" customHeight="1">
      <c r="M890" s="15"/>
    </row>
    <row r="891" ht="14.25" customHeight="1">
      <c r="M891" s="15"/>
    </row>
    <row r="892" ht="14.25" customHeight="1">
      <c r="M892" s="15"/>
    </row>
    <row r="893" ht="14.25" customHeight="1">
      <c r="M893" s="15"/>
    </row>
    <row r="894" ht="14.25" customHeight="1">
      <c r="M894" s="15"/>
    </row>
    <row r="895" ht="14.25" customHeight="1">
      <c r="M895" s="15"/>
    </row>
    <row r="896" ht="14.25" customHeight="1">
      <c r="M896" s="15"/>
    </row>
    <row r="897" ht="14.25" customHeight="1">
      <c r="M897" s="15"/>
    </row>
    <row r="898" ht="14.25" customHeight="1">
      <c r="M898" s="15"/>
    </row>
    <row r="899" ht="14.25" customHeight="1">
      <c r="M899" s="15"/>
    </row>
    <row r="900" ht="14.25" customHeight="1">
      <c r="M900" s="15"/>
    </row>
    <row r="901" ht="14.25" customHeight="1">
      <c r="M901" s="15"/>
    </row>
    <row r="902" ht="14.25" customHeight="1">
      <c r="M902" s="15"/>
    </row>
    <row r="903" ht="14.25" customHeight="1">
      <c r="M903" s="15"/>
    </row>
    <row r="904" ht="14.25" customHeight="1">
      <c r="M904" s="15"/>
    </row>
    <row r="905" ht="14.25" customHeight="1">
      <c r="M905" s="15"/>
    </row>
    <row r="906" ht="14.25" customHeight="1">
      <c r="M906" s="15"/>
    </row>
    <row r="907" ht="14.25" customHeight="1">
      <c r="M907" s="15"/>
    </row>
    <row r="908" ht="14.25" customHeight="1">
      <c r="M908" s="15"/>
    </row>
    <row r="909" ht="14.25" customHeight="1">
      <c r="M909" s="15"/>
    </row>
    <row r="910" ht="14.25" customHeight="1">
      <c r="M910" s="15"/>
    </row>
    <row r="911" ht="14.25" customHeight="1">
      <c r="M911" s="15"/>
    </row>
    <row r="912" ht="14.25" customHeight="1">
      <c r="M912" s="15"/>
    </row>
    <row r="913" ht="14.25" customHeight="1">
      <c r="M913" s="15"/>
    </row>
    <row r="914" ht="14.25" customHeight="1">
      <c r="M914" s="15"/>
    </row>
    <row r="915" ht="14.25" customHeight="1">
      <c r="M915" s="15"/>
    </row>
    <row r="916" ht="14.25" customHeight="1">
      <c r="M916" s="15"/>
    </row>
    <row r="917" ht="14.25" customHeight="1">
      <c r="M917" s="15"/>
    </row>
    <row r="918" ht="14.25" customHeight="1">
      <c r="M918" s="15"/>
    </row>
    <row r="919" ht="14.25" customHeight="1">
      <c r="M919" s="15"/>
    </row>
    <row r="920" ht="14.25" customHeight="1">
      <c r="M920" s="15"/>
    </row>
    <row r="921" ht="14.25" customHeight="1">
      <c r="M921" s="15"/>
    </row>
    <row r="922" ht="14.25" customHeight="1">
      <c r="M922" s="15"/>
    </row>
    <row r="923" ht="14.25" customHeight="1">
      <c r="M923" s="15"/>
    </row>
    <row r="924" ht="14.25" customHeight="1">
      <c r="M924" s="15"/>
    </row>
    <row r="925" ht="14.25" customHeight="1">
      <c r="M925" s="15"/>
    </row>
    <row r="926" ht="14.25" customHeight="1">
      <c r="M926" s="15"/>
    </row>
    <row r="927" ht="14.25" customHeight="1">
      <c r="M927" s="15"/>
    </row>
    <row r="928" ht="14.25" customHeight="1">
      <c r="M928" s="15"/>
    </row>
    <row r="929" ht="14.25" customHeight="1">
      <c r="M929" s="15"/>
    </row>
    <row r="930" ht="14.25" customHeight="1">
      <c r="M930" s="15"/>
    </row>
    <row r="931" ht="14.25" customHeight="1">
      <c r="M931" s="15"/>
    </row>
    <row r="932" ht="14.25" customHeight="1">
      <c r="M932" s="15"/>
    </row>
    <row r="933" ht="14.25" customHeight="1">
      <c r="M933" s="15"/>
    </row>
    <row r="934" ht="14.25" customHeight="1">
      <c r="M934" s="15"/>
    </row>
    <row r="935" ht="14.25" customHeight="1">
      <c r="M935" s="15"/>
    </row>
    <row r="936" ht="14.25" customHeight="1">
      <c r="M936" s="15"/>
    </row>
    <row r="937" ht="14.25" customHeight="1">
      <c r="M937" s="15"/>
    </row>
    <row r="938" ht="14.25" customHeight="1">
      <c r="M938" s="15"/>
    </row>
    <row r="939" ht="14.25" customHeight="1">
      <c r="M939" s="15"/>
    </row>
    <row r="940" ht="14.25" customHeight="1">
      <c r="M940" s="15"/>
    </row>
    <row r="941" ht="14.25" customHeight="1">
      <c r="M941" s="15"/>
    </row>
    <row r="942" ht="14.25" customHeight="1">
      <c r="M942" s="15"/>
    </row>
    <row r="943" ht="14.25" customHeight="1">
      <c r="M943" s="15"/>
    </row>
    <row r="944" ht="14.25" customHeight="1">
      <c r="M944" s="15"/>
    </row>
    <row r="945" ht="14.25" customHeight="1">
      <c r="M945" s="15"/>
    </row>
    <row r="946" ht="14.25" customHeight="1">
      <c r="M946" s="15"/>
    </row>
    <row r="947" ht="14.25" customHeight="1">
      <c r="M947" s="15"/>
    </row>
    <row r="948" ht="14.25" customHeight="1">
      <c r="M948" s="15"/>
    </row>
    <row r="949" ht="14.25" customHeight="1">
      <c r="M949" s="15"/>
    </row>
    <row r="950" ht="14.25" customHeight="1">
      <c r="M950" s="15"/>
    </row>
    <row r="951" ht="14.25" customHeight="1">
      <c r="M951" s="15"/>
    </row>
    <row r="952" ht="14.25" customHeight="1">
      <c r="M952" s="15"/>
    </row>
    <row r="953" ht="14.25" customHeight="1">
      <c r="M953" s="15"/>
    </row>
    <row r="954" ht="14.25" customHeight="1">
      <c r="M954" s="15"/>
    </row>
    <row r="955" ht="14.25" customHeight="1">
      <c r="M955" s="15"/>
    </row>
    <row r="956" ht="14.25" customHeight="1">
      <c r="M956" s="15"/>
    </row>
    <row r="957" ht="14.25" customHeight="1">
      <c r="M957" s="15"/>
    </row>
    <row r="958" ht="14.25" customHeight="1">
      <c r="M958" s="15"/>
    </row>
    <row r="959" ht="14.25" customHeight="1">
      <c r="M959" s="15"/>
    </row>
    <row r="960" ht="14.25" customHeight="1">
      <c r="M960" s="15"/>
    </row>
    <row r="961" ht="14.25" customHeight="1">
      <c r="M961" s="15"/>
    </row>
    <row r="962" ht="14.25" customHeight="1">
      <c r="M962" s="15"/>
    </row>
    <row r="963" ht="14.25" customHeight="1">
      <c r="M963" s="15"/>
    </row>
    <row r="964" ht="14.25" customHeight="1">
      <c r="M964" s="15"/>
    </row>
    <row r="965" ht="14.25" customHeight="1">
      <c r="M965" s="15"/>
    </row>
    <row r="966" ht="14.25" customHeight="1">
      <c r="M966" s="15"/>
    </row>
    <row r="967" ht="14.25" customHeight="1">
      <c r="M967" s="15"/>
    </row>
    <row r="968" ht="14.25" customHeight="1">
      <c r="M968" s="15"/>
    </row>
    <row r="969" ht="14.25" customHeight="1">
      <c r="M969" s="15"/>
    </row>
    <row r="970" ht="14.25" customHeight="1">
      <c r="M970" s="15"/>
    </row>
    <row r="971" ht="14.25" customHeight="1">
      <c r="M971" s="15"/>
    </row>
    <row r="972" ht="14.25" customHeight="1">
      <c r="M972" s="15"/>
    </row>
    <row r="973" ht="14.25" customHeight="1">
      <c r="M973" s="15"/>
    </row>
    <row r="974" ht="14.25" customHeight="1">
      <c r="M974" s="15"/>
    </row>
    <row r="975" ht="14.25" customHeight="1">
      <c r="M975" s="15"/>
    </row>
    <row r="976" ht="14.25" customHeight="1">
      <c r="M976" s="15"/>
    </row>
    <row r="977" ht="14.25" customHeight="1">
      <c r="M977" s="15"/>
    </row>
    <row r="978" ht="14.25" customHeight="1">
      <c r="M978" s="15"/>
    </row>
    <row r="979" ht="14.25" customHeight="1">
      <c r="M979" s="15"/>
    </row>
    <row r="980" ht="14.25" customHeight="1">
      <c r="M980" s="15"/>
    </row>
    <row r="981" ht="14.25" customHeight="1">
      <c r="M981" s="15"/>
    </row>
    <row r="982" ht="14.25" customHeight="1">
      <c r="M982" s="15"/>
    </row>
    <row r="983" ht="14.25" customHeight="1">
      <c r="M983" s="15"/>
    </row>
    <row r="984" ht="14.25" customHeight="1">
      <c r="M984" s="15"/>
    </row>
    <row r="985" ht="14.25" customHeight="1">
      <c r="M985" s="15"/>
    </row>
    <row r="986" ht="14.25" customHeight="1">
      <c r="M986" s="15"/>
    </row>
    <row r="987" ht="14.25" customHeight="1">
      <c r="M987" s="15"/>
    </row>
    <row r="988" ht="14.25" customHeight="1">
      <c r="M988" s="15"/>
    </row>
    <row r="989" ht="14.25" customHeight="1">
      <c r="M989" s="15"/>
    </row>
    <row r="990" ht="14.25" customHeight="1">
      <c r="M990" s="15"/>
    </row>
    <row r="991" ht="14.25" customHeight="1">
      <c r="M991" s="15"/>
    </row>
    <row r="992" ht="14.25" customHeight="1">
      <c r="M992" s="15"/>
    </row>
    <row r="993" ht="14.25" customHeight="1">
      <c r="M993" s="15"/>
    </row>
    <row r="994" ht="14.25" customHeight="1">
      <c r="M994" s="15"/>
    </row>
    <row r="995" ht="14.25" customHeight="1">
      <c r="M995" s="15"/>
    </row>
    <row r="996" ht="14.25" customHeight="1">
      <c r="M996" s="15"/>
    </row>
    <row r="997" ht="14.25" customHeight="1">
      <c r="M997" s="15"/>
    </row>
    <row r="998" ht="14.25" customHeight="1">
      <c r="M998" s="15"/>
    </row>
    <row r="999" ht="14.25" customHeight="1">
      <c r="M999" s="15"/>
    </row>
    <row r="1000" ht="14.25" customHeight="1">
      <c r="M1000" s="15"/>
    </row>
    <row r="1001" ht="14.25" customHeight="1">
      <c r="M1001" s="15"/>
    </row>
    <row r="1002" ht="14.25" customHeight="1">
      <c r="M1002" s="15"/>
    </row>
    <row r="1003" ht="14.25" customHeight="1">
      <c r="M1003" s="15"/>
    </row>
    <row r="1004" ht="14.25" customHeight="1">
      <c r="M1004" s="15"/>
    </row>
    <row r="1005" ht="14.25" customHeight="1">
      <c r="M1005" s="15"/>
    </row>
    <row r="1006" ht="14.25" customHeight="1">
      <c r="M1006" s="15"/>
    </row>
    <row r="1007" ht="14.25" customHeight="1">
      <c r="M1007" s="15"/>
    </row>
    <row r="1008" ht="14.25" customHeight="1">
      <c r="M1008" s="15"/>
    </row>
    <row r="1009" ht="14.25" customHeight="1">
      <c r="M1009" s="15"/>
    </row>
    <row r="1010" ht="14.25" customHeight="1">
      <c r="M1010" s="15"/>
    </row>
    <row r="1011" ht="14.25" customHeight="1">
      <c r="M1011" s="15"/>
    </row>
    <row r="1012" ht="14.25" customHeight="1">
      <c r="M1012" s="15"/>
    </row>
    <row r="1013" ht="14.25" customHeight="1">
      <c r="M1013" s="15"/>
    </row>
    <row r="1014" ht="14.25" customHeight="1">
      <c r="M1014" s="15"/>
    </row>
    <row r="1015" ht="14.25" customHeight="1">
      <c r="M1015" s="15"/>
    </row>
    <row r="1016" ht="14.25" customHeight="1">
      <c r="M1016" s="15"/>
    </row>
  </sheetData>
  <autoFilter ref="$A$1:$Z$268">
    <sortState ref="A1:Z268">
      <sortCondition descending="1" ref="O1:O268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2.5"/>
    <col customWidth="1" min="3" max="11" width="8.63"/>
    <col customWidth="1" min="12" max="12" width="24.88"/>
    <col customWidth="1" min="13" max="13" width="9.13"/>
    <col customWidth="1" min="14" max="14" width="20.5"/>
    <col customWidth="1" min="15" max="15" width="19.5"/>
    <col customWidth="1" min="16" max="19" width="8.63"/>
    <col customWidth="1" min="20" max="20" width="18.88"/>
    <col customWidth="1" min="21" max="21" width="8.63"/>
    <col customWidth="1" min="22" max="22" width="19.88"/>
    <col customWidth="1" min="23" max="23" width="33.63"/>
    <col customWidth="1" min="24" max="28" width="8.63"/>
  </cols>
  <sheetData>
    <row r="1" ht="14.25" customHeight="1">
      <c r="A1" s="16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950</v>
      </c>
      <c r="G1" s="14" t="s">
        <v>951</v>
      </c>
      <c r="H1" s="14" t="s">
        <v>952</v>
      </c>
      <c r="I1" s="14" t="s">
        <v>953</v>
      </c>
      <c r="J1" s="14" t="s">
        <v>954</v>
      </c>
      <c r="K1" s="14" t="s">
        <v>86</v>
      </c>
      <c r="L1" s="14" t="s">
        <v>87</v>
      </c>
      <c r="M1" s="15"/>
      <c r="N1" s="14" t="s">
        <v>71</v>
      </c>
      <c r="O1" s="14" t="s">
        <v>72</v>
      </c>
      <c r="P1" s="14" t="s">
        <v>1226</v>
      </c>
      <c r="Q1" s="20" t="s">
        <v>86</v>
      </c>
      <c r="R1" s="14" t="s">
        <v>88</v>
      </c>
      <c r="S1" s="14" t="s">
        <v>89</v>
      </c>
      <c r="T1" s="14" t="s">
        <v>955</v>
      </c>
      <c r="V1" s="14" t="s">
        <v>92</v>
      </c>
      <c r="W1" s="14" t="s">
        <v>93</v>
      </c>
      <c r="X1" s="14" t="s">
        <v>90</v>
      </c>
      <c r="Z1" s="16" t="s">
        <v>94</v>
      </c>
      <c r="AA1" s="16" t="s">
        <v>95</v>
      </c>
      <c r="AB1" s="16" t="s">
        <v>96</v>
      </c>
    </row>
    <row r="2" ht="14.25" customHeight="1">
      <c r="A2" s="14" t="s">
        <v>1227</v>
      </c>
      <c r="B2" s="14" t="s">
        <v>386</v>
      </c>
      <c r="C2" s="14">
        <v>80.0</v>
      </c>
      <c r="D2" s="14" t="s">
        <v>1228</v>
      </c>
      <c r="E2" s="14" t="s">
        <v>158</v>
      </c>
      <c r="F2" s="14">
        <v>34.0</v>
      </c>
      <c r="G2" s="14">
        <v>24.0</v>
      </c>
      <c r="H2" s="14">
        <v>387.0</v>
      </c>
      <c r="I2" s="14">
        <v>16.1</v>
      </c>
      <c r="J2" s="14">
        <v>6.0</v>
      </c>
      <c r="K2" s="20">
        <v>7.784077703874237</v>
      </c>
      <c r="L2" s="20">
        <v>69.56628432008758</v>
      </c>
      <c r="M2" s="15"/>
      <c r="N2" s="14" t="s">
        <v>1227</v>
      </c>
      <c r="O2" s="14" t="s">
        <v>1229</v>
      </c>
      <c r="P2" s="14" t="s">
        <v>1230</v>
      </c>
      <c r="Q2" s="20">
        <v>7.784077703874237</v>
      </c>
      <c r="R2" s="14">
        <v>4.59</v>
      </c>
      <c r="S2" s="14">
        <v>4.61</v>
      </c>
      <c r="T2" s="14">
        <v>-15.2</v>
      </c>
      <c r="U2" s="14">
        <f t="array" ref="U2">XLOOKUP(E2, 'Conference Match'!$A$2:$A$40,'Conference Match'!$C$2:$C$40)</f>
        <v>0.95</v>
      </c>
      <c r="V2" s="20">
        <f t="shared" ref="V2:V41" si="1">IFERROR((S2*0.7+R2*0.15+U2*Q2*0.15),0)</f>
        <v>5.024731073</v>
      </c>
      <c r="W2" s="20">
        <f t="shared" ref="W2:W35" si="2">100*(V2-MIN($V$2:$V$572))/(MAX($V$2:$V$572) - MIN($V$2:$V$572))</f>
        <v>100</v>
      </c>
      <c r="X2" s="20">
        <f t="shared" ref="X2:X41" si="3">W2-L2</f>
        <v>30.43371568</v>
      </c>
      <c r="Z2" s="20">
        <f>IFERROR(__xludf.DUMMYFUNCTION("iferror(PERCENTRANK.INC(FILTER($V$2:$V$429, $S$2:$S$429&lt;3.75), $V2), 1)"),1.0)</f>
        <v>1</v>
      </c>
      <c r="AA2" s="20">
        <f>IFERROR(__xludf.DUMMYFUNCTION("iferror(PERCENTRANK.INC(FILTER($V$2:$V$429, $S$2:$S$429&lt;4.5), $V2), 1)"),1.0)</f>
        <v>1</v>
      </c>
      <c r="AB2" s="20">
        <f>IFERROR(__xludf.DUMMYFUNCTION("iferror(PERCENTRANK.INC(FILTER($V$2:$V$429, $S$2:$S$429&gt;=4.1), $V2), 0.01)"),1.0)</f>
        <v>1</v>
      </c>
    </row>
    <row r="3" ht="14.25" customHeight="1">
      <c r="A3" s="14" t="s">
        <v>1231</v>
      </c>
      <c r="B3" s="14" t="s">
        <v>245</v>
      </c>
      <c r="C3" s="14">
        <v>8.0</v>
      </c>
      <c r="D3" s="14" t="s">
        <v>1228</v>
      </c>
      <c r="E3" s="14" t="s">
        <v>158</v>
      </c>
      <c r="F3" s="14">
        <v>18.0</v>
      </c>
      <c r="G3" s="14">
        <v>12.0</v>
      </c>
      <c r="H3" s="14">
        <v>216.0</v>
      </c>
      <c r="I3" s="14">
        <v>18.0</v>
      </c>
      <c r="J3" s="14">
        <v>2.0</v>
      </c>
      <c r="K3" s="20">
        <v>7.2972203093749215</v>
      </c>
      <c r="L3" s="20">
        <v>63.747470495341894</v>
      </c>
      <c r="M3" s="15"/>
      <c r="N3" s="14" t="s">
        <v>1231</v>
      </c>
      <c r="O3" s="14" t="s">
        <v>1232</v>
      </c>
      <c r="P3" s="14" t="s">
        <v>1230</v>
      </c>
      <c r="Q3" s="20">
        <v>7.2972203093749215</v>
      </c>
      <c r="R3" s="14">
        <v>3.12</v>
      </c>
      <c r="S3" s="16">
        <v>4.23</v>
      </c>
      <c r="T3" s="16">
        <v>11.1</v>
      </c>
      <c r="U3" s="14">
        <f t="array" ref="U3">XLOOKUP(E3, 'Conference Match'!$A$2:$A$40,'Conference Match'!$C$2:$C$40)</f>
        <v>0.95</v>
      </c>
      <c r="V3" s="20">
        <f t="shared" si="1"/>
        <v>4.468853894</v>
      </c>
      <c r="W3" s="20">
        <f t="shared" si="2"/>
        <v>86.9404642</v>
      </c>
      <c r="X3" s="20">
        <f t="shared" si="3"/>
        <v>23.19299371</v>
      </c>
      <c r="Z3" s="20">
        <f>IFERROR(__xludf.DUMMYFUNCTION("iferror(PERCENTRANK.INC(FILTER($V$2:$V$429, $S$2:$S$429&lt;3.75), $V3), 1)"),1.0)</f>
        <v>1</v>
      </c>
      <c r="AA3" s="20">
        <f>IFERROR(__xludf.DUMMYFUNCTION("iferror(PERCENTRANK.INC(FILTER($V$2:$V$429, $S$2:$S$429&lt;4.5), $V3), 1)"),1.0)</f>
        <v>1</v>
      </c>
      <c r="AB3" s="20">
        <f>IFERROR(__xludf.DUMMYFUNCTION("iferror(PERCENTRANK.INC(FILTER($V$2:$V$429, $S$2:$S$429&gt;=4.1), $V3), 0.01)"),0.818)</f>
        <v>0.818</v>
      </c>
    </row>
    <row r="4" ht="14.25" customHeight="1">
      <c r="A4" s="14" t="s">
        <v>1233</v>
      </c>
      <c r="B4" s="14" t="s">
        <v>655</v>
      </c>
      <c r="C4" s="16">
        <v>85.0</v>
      </c>
      <c r="D4" s="14" t="s">
        <v>1228</v>
      </c>
      <c r="E4" s="14" t="s">
        <v>189</v>
      </c>
      <c r="F4" s="14">
        <v>27.0</v>
      </c>
      <c r="G4" s="14">
        <v>16.0</v>
      </c>
      <c r="H4" s="14">
        <v>288.0</v>
      </c>
      <c r="I4" s="14">
        <v>18.0</v>
      </c>
      <c r="J4" s="14">
        <v>0.0</v>
      </c>
      <c r="K4" s="20">
        <v>6.881086393376136</v>
      </c>
      <c r="L4" s="20">
        <v>51.43581799553273</v>
      </c>
      <c r="M4" s="15"/>
      <c r="N4" s="14" t="s">
        <v>1233</v>
      </c>
      <c r="O4" s="14" t="s">
        <v>1234</v>
      </c>
      <c r="P4" s="14" t="s">
        <v>189</v>
      </c>
      <c r="Q4" s="20">
        <v>6.881086393376136</v>
      </c>
      <c r="R4" s="14">
        <v>3.01</v>
      </c>
      <c r="S4" s="14">
        <v>4.28</v>
      </c>
      <c r="T4" s="14">
        <v>1.7</v>
      </c>
      <c r="U4" s="14">
        <f t="array" ref="U4">XLOOKUP(E4, 'Conference Match'!$A$2:$A$40,'Conference Match'!$C$2:$C$40)</f>
        <v>0.9</v>
      </c>
      <c r="V4" s="20">
        <f t="shared" si="1"/>
        <v>4.376446663</v>
      </c>
      <c r="W4" s="20">
        <f t="shared" si="2"/>
        <v>84.76948906</v>
      </c>
      <c r="X4" s="20">
        <f t="shared" si="3"/>
        <v>33.33367106</v>
      </c>
      <c r="Z4" s="20">
        <f>IFERROR(__xludf.DUMMYFUNCTION("iferror(PERCENTRANK.INC(FILTER($V$2:$V$429, $S$2:$S$429&lt;3.75), $V4), 1)"),1.0)</f>
        <v>1</v>
      </c>
      <c r="AA4" s="20">
        <f>IFERROR(__xludf.DUMMYFUNCTION("iferror(PERCENTRANK.INC(FILTER($V$2:$V$429, $S$2:$S$429&lt;4.5), $V4), 1)"),0.971)</f>
        <v>0.971</v>
      </c>
      <c r="AB4" s="20">
        <f>IFERROR(__xludf.DUMMYFUNCTION("iferror(PERCENTRANK.INC(FILTER($V$2:$V$429, $S$2:$S$429&gt;=4.1), $V4), 0.01)"),0.727)</f>
        <v>0.727</v>
      </c>
    </row>
    <row r="5" ht="14.25" customHeight="1">
      <c r="A5" s="14" t="s">
        <v>1235</v>
      </c>
      <c r="B5" s="14" t="s">
        <v>579</v>
      </c>
      <c r="C5" s="14">
        <v>88.0</v>
      </c>
      <c r="D5" s="14" t="s">
        <v>1228</v>
      </c>
      <c r="E5" s="14" t="s">
        <v>158</v>
      </c>
      <c r="F5" s="14">
        <v>29.0</v>
      </c>
      <c r="G5" s="14">
        <v>23.0</v>
      </c>
      <c r="H5" s="14">
        <v>378.0</v>
      </c>
      <c r="I5" s="14">
        <v>16.4</v>
      </c>
      <c r="J5" s="14">
        <v>4.0</v>
      </c>
      <c r="K5" s="20">
        <v>7.592143221512788</v>
      </c>
      <c r="L5" s="20">
        <v>67.27232507857548</v>
      </c>
      <c r="M5" s="15"/>
      <c r="N5" s="14" t="s">
        <v>1235</v>
      </c>
      <c r="O5" s="14" t="s">
        <v>1236</v>
      </c>
      <c r="P5" s="14" t="s">
        <v>1230</v>
      </c>
      <c r="Q5" s="20">
        <v>7.592143221512788</v>
      </c>
      <c r="R5" s="14">
        <v>3.51</v>
      </c>
      <c r="S5" s="14">
        <v>3.82</v>
      </c>
      <c r="T5" s="14">
        <v>2.5</v>
      </c>
      <c r="U5" s="14">
        <f t="array" ref="U5">XLOOKUP(E5, 'Conference Match'!$A$2:$A$40,'Conference Match'!$C$2:$C$40)</f>
        <v>0.95</v>
      </c>
      <c r="V5" s="20">
        <f t="shared" si="1"/>
        <v>4.282380409</v>
      </c>
      <c r="W5" s="20">
        <f t="shared" si="2"/>
        <v>82.55953754</v>
      </c>
      <c r="X5" s="20">
        <f t="shared" si="3"/>
        <v>15.28721246</v>
      </c>
      <c r="Z5" s="20">
        <f>IFERROR(__xludf.DUMMYFUNCTION("iferror(PERCENTRANK.INC(FILTER($V$2:$V$429, $S$2:$S$429&lt;3.75), $V5), 1)"),1.0)</f>
        <v>1</v>
      </c>
      <c r="AA5" s="20">
        <f>IFERROR(__xludf.DUMMYFUNCTION("iferror(PERCENTRANK.INC(FILTER($V$2:$V$429, $S$2:$S$429&lt;4.5), $V5), 1)"),0.943)</f>
        <v>0.943</v>
      </c>
      <c r="AB5" s="20">
        <f>IFERROR(__xludf.DUMMYFUNCTION("iferror(PERCENTRANK.INC(FILTER($V$2:$V$429, $S$2:$S$429&gt;=4.1), $V5), 0.01)"),0.664)</f>
        <v>0.664</v>
      </c>
    </row>
    <row r="6" ht="14.25" customHeight="1">
      <c r="A6" s="17" t="s">
        <v>1237</v>
      </c>
      <c r="B6" s="17" t="s">
        <v>176</v>
      </c>
      <c r="D6" s="17" t="s">
        <v>1228</v>
      </c>
      <c r="E6" s="17" t="s">
        <v>114</v>
      </c>
      <c r="F6" s="18">
        <v>15.0</v>
      </c>
      <c r="G6" s="18">
        <v>11.0</v>
      </c>
      <c r="H6" s="18">
        <v>136.0</v>
      </c>
      <c r="I6" s="18">
        <v>12.4</v>
      </c>
      <c r="J6" s="18">
        <v>5.0</v>
      </c>
      <c r="K6" s="18">
        <v>6.16</v>
      </c>
      <c r="L6" s="22">
        <v>44.88</v>
      </c>
      <c r="M6" s="15"/>
      <c r="N6" s="16" t="s">
        <v>1237</v>
      </c>
      <c r="O6" s="16" t="s">
        <v>1238</v>
      </c>
      <c r="P6" s="16" t="s">
        <v>114</v>
      </c>
      <c r="Q6" s="18">
        <v>6.16</v>
      </c>
      <c r="R6" s="16">
        <v>2.19</v>
      </c>
      <c r="S6" s="16">
        <v>4.3</v>
      </c>
      <c r="T6" s="16">
        <v>-3.1</v>
      </c>
      <c r="U6" s="14">
        <f t="array" ref="U6">XLOOKUP(E6, 'Conference Match'!$A$2:$A$40,'Conference Match'!$C$2:$C$40)</f>
        <v>0.9</v>
      </c>
      <c r="V6" s="20">
        <f t="shared" si="1"/>
        <v>4.1701</v>
      </c>
      <c r="W6" s="20">
        <f t="shared" si="2"/>
        <v>79.92167062</v>
      </c>
      <c r="X6" s="20">
        <f t="shared" si="3"/>
        <v>35.04167062</v>
      </c>
      <c r="Z6" s="20">
        <f>IFERROR(__xludf.DUMMYFUNCTION("iferror(PERCENTRANK.INC(FILTER($V$2:$V$429, $S$2:$S$429&lt;3.75), $V6), 1)"),1.0)</f>
        <v>1</v>
      </c>
      <c r="AA6" s="20">
        <f>IFERROR(__xludf.DUMMYFUNCTION("iferror(PERCENTRANK.INC(FILTER($V$2:$V$429, $S$2:$S$429&lt;4.5), $V6), 1)"),0.857)</f>
        <v>0.857</v>
      </c>
      <c r="AB6" s="20">
        <f>IFERROR(__xludf.DUMMYFUNCTION("iferror(PERCENTRANK.INC(FILTER($V$2:$V$429, $S$2:$S$429&gt;=4.1), $V6), 0.01)"),0.455)</f>
        <v>0.455</v>
      </c>
    </row>
    <row r="7" ht="14.25" customHeight="1">
      <c r="A7" s="14" t="s">
        <v>1239</v>
      </c>
      <c r="B7" s="14" t="s">
        <v>287</v>
      </c>
      <c r="C7" s="16">
        <v>15.0</v>
      </c>
      <c r="D7" s="14" t="s">
        <v>1228</v>
      </c>
      <c r="E7" s="14" t="s">
        <v>117</v>
      </c>
      <c r="F7" s="14">
        <v>17.0</v>
      </c>
      <c r="G7" s="14">
        <v>12.0</v>
      </c>
      <c r="H7" s="14">
        <v>145.0</v>
      </c>
      <c r="I7" s="14">
        <v>12.1</v>
      </c>
      <c r="J7" s="14">
        <v>2.0</v>
      </c>
      <c r="K7" s="20">
        <v>5.46604187996954</v>
      </c>
      <c r="L7" s="20">
        <v>41.86162367245853</v>
      </c>
      <c r="M7" s="15"/>
      <c r="N7" s="14" t="s">
        <v>1239</v>
      </c>
      <c r="O7" s="14" t="s">
        <v>1240</v>
      </c>
      <c r="P7" s="14" t="s">
        <v>117</v>
      </c>
      <c r="Q7" s="20">
        <v>5.46604187996954</v>
      </c>
      <c r="R7" s="14">
        <v>1.38</v>
      </c>
      <c r="S7" s="14">
        <v>4.42</v>
      </c>
      <c r="T7" s="14">
        <v>-2.0</v>
      </c>
      <c r="U7" s="14">
        <f t="array" ref="U7">XLOOKUP(E7, 'Conference Match'!$A$2:$A$40,'Conference Match'!$C$2:$C$40)</f>
        <v>0.95</v>
      </c>
      <c r="V7" s="20">
        <f t="shared" si="1"/>
        <v>4.079910968</v>
      </c>
      <c r="W7" s="20">
        <f t="shared" si="2"/>
        <v>77.80280887</v>
      </c>
      <c r="X7" s="20">
        <f t="shared" si="3"/>
        <v>35.9411852</v>
      </c>
      <c r="Z7" s="20">
        <f>IFERROR(__xludf.DUMMYFUNCTION("iferror(PERCENTRANK.INC(FILTER($V$2:$V$429, $S$2:$S$429&lt;3.75), $V7), 1)"),1.0)</f>
        <v>1</v>
      </c>
      <c r="AA7" s="20">
        <f>IFERROR(__xludf.DUMMYFUNCTION("iferror(PERCENTRANK.INC(FILTER($V$2:$V$429, $S$2:$S$429&lt;4.5), $V7), 1)"),0.829)</f>
        <v>0.829</v>
      </c>
      <c r="AB7" s="20">
        <f>IFERROR(__xludf.DUMMYFUNCTION("iferror(PERCENTRANK.INC(FILTER($V$2:$V$429, $S$2:$S$429&gt;=4.1), $V7), 0.01)"),0.364)</f>
        <v>0.364</v>
      </c>
    </row>
    <row r="8" ht="14.25" customHeight="1">
      <c r="A8" s="17" t="s">
        <v>1241</v>
      </c>
      <c r="B8" s="17" t="s">
        <v>723</v>
      </c>
      <c r="C8" s="18">
        <v>85.0</v>
      </c>
      <c r="D8" s="17" t="s">
        <v>1228</v>
      </c>
      <c r="E8" s="17" t="s">
        <v>132</v>
      </c>
      <c r="F8" s="18">
        <v>35.0</v>
      </c>
      <c r="G8" s="18">
        <v>23.0</v>
      </c>
      <c r="H8" s="18">
        <v>231.0</v>
      </c>
      <c r="I8" s="18">
        <v>10.0</v>
      </c>
      <c r="J8" s="18">
        <v>0.0</v>
      </c>
      <c r="K8" s="22">
        <v>4.58</v>
      </c>
      <c r="L8" s="22">
        <v>31.25</v>
      </c>
      <c r="M8" s="15"/>
      <c r="N8" s="17" t="s">
        <v>1241</v>
      </c>
      <c r="O8" s="17" t="s">
        <v>1242</v>
      </c>
      <c r="P8" s="17" t="s">
        <v>1243</v>
      </c>
      <c r="Q8" s="22">
        <v>4.58</v>
      </c>
      <c r="R8" s="18">
        <v>1.27</v>
      </c>
      <c r="S8" s="16">
        <v>4.51</v>
      </c>
      <c r="T8" s="16">
        <v>-2.9</v>
      </c>
      <c r="U8" s="14">
        <f t="array" ref="U8">XLOOKUP(E8, 'Conference Match'!$A$2:$A$40,'Conference Match'!$C$2:$C$40)</f>
        <v>0.95</v>
      </c>
      <c r="V8" s="20">
        <f t="shared" si="1"/>
        <v>4.00015</v>
      </c>
      <c r="W8" s="20">
        <f t="shared" si="2"/>
        <v>75.92893951</v>
      </c>
      <c r="X8" s="20">
        <f t="shared" si="3"/>
        <v>44.67893951</v>
      </c>
      <c r="Z8" s="20">
        <f>IFERROR(__xludf.DUMMYFUNCTION("iferror(PERCENTRANK.INC(FILTER($V$2:$V$429, $S$2:$S$429&lt;3.75), $V8), 1)"),1.0)</f>
        <v>1</v>
      </c>
      <c r="AA8" s="20">
        <f>IFERROR(__xludf.DUMMYFUNCTION("iferror(PERCENTRANK.INC(FILTER($V$2:$V$429, $S$2:$S$429&lt;4.5), $V8), 1)"),0.807)</f>
        <v>0.807</v>
      </c>
      <c r="AB8" s="20">
        <f>IFERROR(__xludf.DUMMYFUNCTION("iferror(PERCENTRANK.INC(FILTER($V$2:$V$429, $S$2:$S$429&gt;=4.1), $V8), 0.01)"),0.273)</f>
        <v>0.273</v>
      </c>
    </row>
    <row r="9" ht="14.25" customHeight="1">
      <c r="A9" s="14" t="s">
        <v>1244</v>
      </c>
      <c r="B9" s="14" t="s">
        <v>503</v>
      </c>
      <c r="C9" s="16">
        <v>86.0</v>
      </c>
      <c r="D9" s="14" t="s">
        <v>1228</v>
      </c>
      <c r="E9" s="14" t="s">
        <v>189</v>
      </c>
      <c r="F9" s="14">
        <v>27.0</v>
      </c>
      <c r="G9" s="14">
        <v>19.0</v>
      </c>
      <c r="H9" s="14">
        <v>265.0</v>
      </c>
      <c r="I9" s="14">
        <v>13.9</v>
      </c>
      <c r="J9" s="14">
        <v>2.0</v>
      </c>
      <c r="K9" s="20">
        <v>6.198678985968729</v>
      </c>
      <c r="L9" s="20">
        <v>45.228984232272516</v>
      </c>
      <c r="M9" s="15"/>
      <c r="N9" s="14" t="s">
        <v>1244</v>
      </c>
      <c r="O9" s="14" t="s">
        <v>1245</v>
      </c>
      <c r="P9" s="14" t="s">
        <v>189</v>
      </c>
      <c r="Q9" s="20">
        <v>6.198678985968729</v>
      </c>
      <c r="R9" s="14">
        <v>2.89</v>
      </c>
      <c r="S9" s="14">
        <v>3.86</v>
      </c>
      <c r="T9" s="14">
        <v>6.6</v>
      </c>
      <c r="U9" s="14">
        <f t="array" ref="U9">XLOOKUP(E9, 'Conference Match'!$A$2:$A$40,'Conference Match'!$C$2:$C$40)</f>
        <v>0.9</v>
      </c>
      <c r="V9" s="20">
        <f t="shared" si="1"/>
        <v>3.972321663</v>
      </c>
      <c r="W9" s="20">
        <f t="shared" si="2"/>
        <v>75.27515271</v>
      </c>
      <c r="X9" s="20">
        <f t="shared" si="3"/>
        <v>30.04616847</v>
      </c>
      <c r="Z9" s="20">
        <f>IFERROR(__xludf.DUMMYFUNCTION("iferror(PERCENTRANK.INC(FILTER($V$2:$V$429, $S$2:$S$429&lt;3.75), $V9), 1)"),1.0)</f>
        <v>1</v>
      </c>
      <c r="AA9" s="20">
        <f>IFERROR(__xludf.DUMMYFUNCTION("iferror(PERCENTRANK.INC(FILTER($V$2:$V$429, $S$2:$S$429&lt;4.5), $V9), 1)"),0.8)</f>
        <v>0.8</v>
      </c>
      <c r="AB9" s="20">
        <f>IFERROR(__xludf.DUMMYFUNCTION("iferror(PERCENTRANK.INC(FILTER($V$2:$V$429, $S$2:$S$429&gt;=4.1), $V9), 0.01)"),0.188)</f>
        <v>0.188</v>
      </c>
    </row>
    <row r="10" ht="14.25" customHeight="1">
      <c r="A10" s="14" t="s">
        <v>1246</v>
      </c>
      <c r="B10" s="14" t="s">
        <v>375</v>
      </c>
      <c r="D10" s="14" t="s">
        <v>1228</v>
      </c>
      <c r="E10" s="14" t="s">
        <v>105</v>
      </c>
      <c r="F10" s="14">
        <v>32.0</v>
      </c>
      <c r="G10" s="14">
        <v>19.0</v>
      </c>
      <c r="H10" s="14">
        <v>208.0</v>
      </c>
      <c r="I10" s="14">
        <v>10.9</v>
      </c>
      <c r="J10" s="14">
        <v>1.0</v>
      </c>
      <c r="K10" s="20">
        <v>4.947215146513268</v>
      </c>
      <c r="L10" s="20">
        <v>33.846300035244106</v>
      </c>
      <c r="M10" s="15"/>
      <c r="N10" s="14" t="s">
        <v>1246</v>
      </c>
      <c r="O10" s="14" t="s">
        <v>1247</v>
      </c>
      <c r="P10" s="14" t="s">
        <v>1248</v>
      </c>
      <c r="Q10" s="20">
        <v>4.947215146513268</v>
      </c>
      <c r="R10" s="14">
        <v>1.39</v>
      </c>
      <c r="S10" s="14">
        <v>4.42</v>
      </c>
      <c r="T10" s="14">
        <v>-2.0</v>
      </c>
      <c r="U10" s="14">
        <f t="array" ref="U10">XLOOKUP(E10, 'Conference Match'!$A$2:$A$40,'Conference Match'!$C$2:$C$40)</f>
        <v>0.9</v>
      </c>
      <c r="V10" s="20">
        <f t="shared" si="1"/>
        <v>3.970374045</v>
      </c>
      <c r="W10" s="20">
        <f t="shared" si="2"/>
        <v>75.22939621</v>
      </c>
      <c r="X10" s="20">
        <f t="shared" si="3"/>
        <v>41.38309618</v>
      </c>
      <c r="Z10" s="20">
        <f>IFERROR(__xludf.DUMMYFUNCTION("iferror(PERCENTRANK.INC(FILTER($V$2:$V$429, $S$2:$S$429&lt;3.75), $V10), 1)"),1.0)</f>
        <v>1</v>
      </c>
      <c r="AA10" s="20">
        <f>IFERROR(__xludf.DUMMYFUNCTION("iferror(PERCENTRANK.INC(FILTER($V$2:$V$429, $S$2:$S$429&lt;4.5), $V10), 1)"),0.771)</f>
        <v>0.771</v>
      </c>
      <c r="AB10" s="20">
        <f>IFERROR(__xludf.DUMMYFUNCTION("iferror(PERCENTRANK.INC(FILTER($V$2:$V$429, $S$2:$S$429&gt;=4.1), $V10), 0.01)"),0.182)</f>
        <v>0.182</v>
      </c>
    </row>
    <row r="11" ht="14.25" customHeight="1">
      <c r="A11" s="14" t="s">
        <v>1249</v>
      </c>
      <c r="B11" s="14" t="s">
        <v>453</v>
      </c>
      <c r="D11" s="14" t="s">
        <v>1228</v>
      </c>
      <c r="E11" s="14" t="s">
        <v>102</v>
      </c>
      <c r="F11" s="14">
        <v>20.0</v>
      </c>
      <c r="G11" s="14">
        <v>12.0</v>
      </c>
      <c r="H11" s="14">
        <v>165.0</v>
      </c>
      <c r="I11" s="14">
        <v>13.8</v>
      </c>
      <c r="J11" s="14">
        <v>1.0</v>
      </c>
      <c r="K11" s="20">
        <v>5.690582853203198</v>
      </c>
      <c r="L11" s="20">
        <v>40.607597949535034</v>
      </c>
      <c r="M11" s="15"/>
      <c r="N11" s="14" t="s">
        <v>1249</v>
      </c>
      <c r="O11" s="14" t="s">
        <v>1250</v>
      </c>
      <c r="P11" s="14" t="s">
        <v>102</v>
      </c>
      <c r="Q11" s="20">
        <v>5.690582853203198</v>
      </c>
      <c r="R11" s="14">
        <v>2.07</v>
      </c>
      <c r="S11" s="14">
        <v>4.06</v>
      </c>
      <c r="T11" s="14">
        <v>12.9</v>
      </c>
      <c r="U11" s="14">
        <f t="array" ref="U11">XLOOKUP(E11, 'Conference Match'!$A$2:$A$40,'Conference Match'!$C$2:$C$40)</f>
        <v>0.9</v>
      </c>
      <c r="V11" s="20">
        <f t="shared" si="1"/>
        <v>3.920728685</v>
      </c>
      <c r="W11" s="20">
        <f t="shared" si="2"/>
        <v>74.0630498</v>
      </c>
      <c r="X11" s="20">
        <f t="shared" si="3"/>
        <v>33.45545185</v>
      </c>
      <c r="Z11" s="20">
        <f>IFERROR(__xludf.DUMMYFUNCTION("iferror(PERCENTRANK.INC(FILTER($V$2:$V$429, $S$2:$S$429&lt;3.75), $V11), 1)"),1.0)</f>
        <v>1</v>
      </c>
      <c r="AA11" s="20">
        <f>IFERROR(__xludf.DUMMYFUNCTION("iferror(PERCENTRANK.INC(FILTER($V$2:$V$429, $S$2:$S$429&lt;4.5), $V11), 1)"),0.743)</f>
        <v>0.743</v>
      </c>
      <c r="AB11" s="20">
        <f>IFERROR(__xludf.DUMMYFUNCTION("iferror(PERCENTRANK.INC(FILTER($V$2:$V$429, $S$2:$S$429&gt;=4.1), $V11), 0.01)"),0.098)</f>
        <v>0.098</v>
      </c>
    </row>
    <row r="12" ht="14.25" customHeight="1">
      <c r="A12" s="14" t="s">
        <v>1251</v>
      </c>
      <c r="B12" s="14" t="s">
        <v>513</v>
      </c>
      <c r="C12" s="16">
        <v>81.0</v>
      </c>
      <c r="D12" s="14" t="s">
        <v>1228</v>
      </c>
      <c r="E12" s="14" t="s">
        <v>144</v>
      </c>
      <c r="F12" s="14">
        <v>26.0</v>
      </c>
      <c r="G12" s="14">
        <v>22.0</v>
      </c>
      <c r="H12" s="14">
        <v>248.0</v>
      </c>
      <c r="I12" s="14">
        <v>11.3</v>
      </c>
      <c r="J12" s="14">
        <v>1.0</v>
      </c>
      <c r="K12" s="20">
        <v>5.343927518486131</v>
      </c>
      <c r="L12" s="20">
        <v>40.402139349476464</v>
      </c>
      <c r="M12" s="15"/>
      <c r="N12" s="14" t="s">
        <v>1251</v>
      </c>
      <c r="O12" s="14" t="s">
        <v>1252</v>
      </c>
      <c r="P12" s="14" t="s">
        <v>1253</v>
      </c>
      <c r="Q12" s="20">
        <v>5.343927518486131</v>
      </c>
      <c r="R12" s="14">
        <v>1.83</v>
      </c>
      <c r="S12" s="14">
        <v>3.92</v>
      </c>
      <c r="T12" s="14">
        <v>3.4</v>
      </c>
      <c r="U12" s="14">
        <f t="array" ref="U12">XLOOKUP(E12, 'Conference Match'!$A$2:$A$40,'Conference Match'!$C$2:$C$40)</f>
        <v>0.95</v>
      </c>
      <c r="V12" s="20">
        <f t="shared" si="1"/>
        <v>3.780009671</v>
      </c>
      <c r="W12" s="20">
        <f t="shared" si="2"/>
        <v>70.75705872</v>
      </c>
      <c r="X12" s="20">
        <f t="shared" si="3"/>
        <v>30.35491937</v>
      </c>
      <c r="Z12" s="20">
        <f>IFERROR(__xludf.DUMMYFUNCTION("iferror(PERCENTRANK.INC(FILTER($V$2:$V$429, $S$2:$S$429&lt;3.75), $V12), 1)"),1.0)</f>
        <v>1</v>
      </c>
      <c r="AA12" s="20">
        <f>IFERROR(__xludf.DUMMYFUNCTION("iferror(PERCENTRANK.INC(FILTER($V$2:$V$429, $S$2:$S$429&lt;4.5), $V12), 1)"),0.6)</f>
        <v>0.6</v>
      </c>
      <c r="AB12" s="20">
        <f>IFERROR(__xludf.DUMMYFUNCTION("iferror(PERCENTRANK.INC(FILTER($V$2:$V$429, $S$2:$S$429&gt;=4.1), $V12), 0.01)"),0.01)</f>
        <v>0.01</v>
      </c>
    </row>
    <row r="13" ht="14.25" customHeight="1">
      <c r="A13" s="14" t="s">
        <v>1254</v>
      </c>
      <c r="B13" s="14" t="s">
        <v>113</v>
      </c>
      <c r="D13" s="14" t="s">
        <v>1228</v>
      </c>
      <c r="E13" s="14" t="s">
        <v>114</v>
      </c>
      <c r="F13" s="14">
        <v>21.0</v>
      </c>
      <c r="G13" s="14">
        <v>17.0</v>
      </c>
      <c r="H13" s="14">
        <v>194.0</v>
      </c>
      <c r="I13" s="14">
        <v>11.4</v>
      </c>
      <c r="J13" s="14">
        <v>1.0</v>
      </c>
      <c r="K13" s="20">
        <v>5.258055334865888</v>
      </c>
      <c r="L13" s="20">
        <v>36.673545688064756</v>
      </c>
      <c r="M13" s="15"/>
      <c r="N13" s="14" t="s">
        <v>1254</v>
      </c>
      <c r="O13" s="14" t="s">
        <v>1255</v>
      </c>
      <c r="P13" s="14" t="s">
        <v>114</v>
      </c>
      <c r="Q13" s="20">
        <v>5.258055334865888</v>
      </c>
      <c r="R13" s="14">
        <v>2.54</v>
      </c>
      <c r="S13" s="14">
        <v>3.96</v>
      </c>
      <c r="T13" s="14">
        <v>-6.2</v>
      </c>
      <c r="U13" s="14">
        <f t="array" ref="U13">XLOOKUP(E13, 'Conference Match'!$A$2:$A$40,'Conference Match'!$C$2:$C$40)</f>
        <v>0.9</v>
      </c>
      <c r="V13" s="20">
        <f t="shared" si="1"/>
        <v>3.86283747</v>
      </c>
      <c r="W13" s="20">
        <f t="shared" si="2"/>
        <v>72.70297887</v>
      </c>
      <c r="X13" s="20">
        <f t="shared" si="3"/>
        <v>36.02943318</v>
      </c>
      <c r="Z13" s="20">
        <f>IFERROR(__xludf.DUMMYFUNCTION("iferror(PERCENTRANK.INC(FILTER($V$2:$V$429, $S$2:$S$429&lt;3.75), $V13), 1)"),1.0)</f>
        <v>1</v>
      </c>
      <c r="AA13" s="20">
        <f>IFERROR(__xludf.DUMMYFUNCTION("iferror(PERCENTRANK.INC(FILTER($V$2:$V$429, $S$2:$S$429&lt;4.5), $V13), 1)"),0.686)</f>
        <v>0.686</v>
      </c>
      <c r="AB13" s="20">
        <f>IFERROR(__xludf.DUMMYFUNCTION("iferror(PERCENTRANK.INC(FILTER($V$2:$V$429, $S$2:$S$429&gt;=4.1), $V13), 0.01)"),0.01)</f>
        <v>0.01</v>
      </c>
    </row>
    <row r="14" ht="14.25" customHeight="1">
      <c r="A14" s="14" t="s">
        <v>1256</v>
      </c>
      <c r="B14" s="14" t="s">
        <v>293</v>
      </c>
      <c r="C14" s="14">
        <v>81.0</v>
      </c>
      <c r="D14" s="14" t="s">
        <v>1228</v>
      </c>
      <c r="E14" s="14" t="s">
        <v>117</v>
      </c>
      <c r="F14" s="14">
        <v>23.0</v>
      </c>
      <c r="G14" s="14">
        <v>21.0</v>
      </c>
      <c r="H14" s="14">
        <v>221.0</v>
      </c>
      <c r="I14" s="14">
        <v>10.5</v>
      </c>
      <c r="J14" s="14">
        <v>2.0</v>
      </c>
      <c r="K14" s="20">
        <v>5.326449275404389</v>
      </c>
      <c r="L14" s="20">
        <v>40.19324318475682</v>
      </c>
      <c r="M14" s="15"/>
      <c r="N14" s="14" t="s">
        <v>1256</v>
      </c>
      <c r="O14" s="14" t="s">
        <v>1257</v>
      </c>
      <c r="P14" s="14" t="s">
        <v>117</v>
      </c>
      <c r="Q14" s="20">
        <v>5.326449275404389</v>
      </c>
      <c r="R14" s="14">
        <v>1.64</v>
      </c>
      <c r="S14" s="14">
        <v>3.83</v>
      </c>
      <c r="T14" s="14">
        <v>-2.4</v>
      </c>
      <c r="U14" s="14">
        <f t="array" ref="U14">XLOOKUP(E14, 'Conference Match'!$A$2:$A$40,'Conference Match'!$C$2:$C$40)</f>
        <v>0.95</v>
      </c>
      <c r="V14" s="20">
        <f t="shared" si="1"/>
        <v>3.686019022</v>
      </c>
      <c r="W14" s="20">
        <f t="shared" si="2"/>
        <v>68.54888342</v>
      </c>
      <c r="X14" s="20">
        <f t="shared" si="3"/>
        <v>28.35564024</v>
      </c>
      <c r="Z14" s="20">
        <f>IFERROR(__xludf.DUMMYFUNCTION("iferror(PERCENTRANK.INC(FILTER($V$2:$V$429, $S$2:$S$429&lt;3.75), $V14), 1)"),0.999)</f>
        <v>0.999</v>
      </c>
      <c r="AA14" s="20">
        <f>IFERROR(__xludf.DUMMYFUNCTION("iferror(PERCENTRANK.INC(FILTER($V$2:$V$429, $S$2:$S$429&lt;4.5), $V14), 1)"),0.486)</f>
        <v>0.486</v>
      </c>
      <c r="AB14" s="20">
        <f>IFERROR(__xludf.DUMMYFUNCTION("iferror(PERCENTRANK.INC(FILTER($V$2:$V$429, $S$2:$S$429&gt;=4.1), $V14), 0.01)"),0.01)</f>
        <v>0.01</v>
      </c>
    </row>
    <row r="15" ht="14.25" customHeight="1">
      <c r="A15" s="14" t="s">
        <v>1258</v>
      </c>
      <c r="B15" s="14" t="s">
        <v>471</v>
      </c>
      <c r="C15" s="16">
        <v>7.0</v>
      </c>
      <c r="D15" s="14" t="s">
        <v>1228</v>
      </c>
      <c r="E15" s="14" t="s">
        <v>102</v>
      </c>
      <c r="F15" s="14">
        <v>34.0</v>
      </c>
      <c r="G15" s="14">
        <v>25.0</v>
      </c>
      <c r="H15" s="14">
        <v>258.0</v>
      </c>
      <c r="I15" s="14">
        <v>10.3</v>
      </c>
      <c r="J15" s="14">
        <v>2.0</v>
      </c>
      <c r="K15" s="20">
        <v>5.162018880344824</v>
      </c>
      <c r="L15" s="20">
        <v>35.80004651153945</v>
      </c>
      <c r="M15" s="15"/>
      <c r="N15" s="14" t="s">
        <v>1258</v>
      </c>
      <c r="O15" s="14" t="s">
        <v>1259</v>
      </c>
      <c r="P15" s="14" t="s">
        <v>102</v>
      </c>
      <c r="Q15" s="20">
        <v>5.162018880344824</v>
      </c>
      <c r="R15" s="14">
        <v>1.74</v>
      </c>
      <c r="S15" s="14">
        <v>4.04</v>
      </c>
      <c r="T15" s="14">
        <v>4.5</v>
      </c>
      <c r="U15" s="14">
        <f t="array" ref="U15">XLOOKUP(E15, 'Conference Match'!$A$2:$A$40,'Conference Match'!$C$2:$C$40)</f>
        <v>0.9</v>
      </c>
      <c r="V15" s="20">
        <f t="shared" si="1"/>
        <v>3.785872549</v>
      </c>
      <c r="W15" s="20">
        <f t="shared" si="2"/>
        <v>70.8947986</v>
      </c>
      <c r="X15" s="20">
        <f t="shared" si="3"/>
        <v>35.09475209</v>
      </c>
      <c r="Z15" s="20">
        <f>IFERROR(__xludf.DUMMYFUNCTION("iferror(PERCENTRANK.INC(FILTER($V$2:$V$429, $S$2:$S$429&lt;3.75), $V15), 1)"),1.0)</f>
        <v>1</v>
      </c>
      <c r="AA15" s="20">
        <f>IFERROR(__xludf.DUMMYFUNCTION("iferror(PERCENTRANK.INC(FILTER($V$2:$V$429, $S$2:$S$429&lt;4.5), $V15), 1)"),0.629)</f>
        <v>0.629</v>
      </c>
      <c r="AB15" s="20">
        <f>IFERROR(__xludf.DUMMYFUNCTION("iferror(PERCENTRANK.INC(FILTER($V$2:$V$429, $S$2:$S$429&gt;=4.1), $V15), 0.01)"),0.01)</f>
        <v>0.01</v>
      </c>
    </row>
    <row r="16" ht="14.25" customHeight="1">
      <c r="A16" s="14" t="s">
        <v>1260</v>
      </c>
      <c r="B16" s="14" t="s">
        <v>101</v>
      </c>
      <c r="C16" s="16">
        <v>5.0</v>
      </c>
      <c r="D16" s="14" t="s">
        <v>1228</v>
      </c>
      <c r="E16" s="14" t="s">
        <v>102</v>
      </c>
      <c r="F16" s="14">
        <v>30.0</v>
      </c>
      <c r="G16" s="14">
        <v>21.0</v>
      </c>
      <c r="H16" s="14">
        <v>262.0</v>
      </c>
      <c r="I16" s="14">
        <v>12.5</v>
      </c>
      <c r="J16" s="14">
        <v>1.0</v>
      </c>
      <c r="K16" s="20">
        <v>5.575228854903134</v>
      </c>
      <c r="L16" s="20">
        <v>39.558396133136156</v>
      </c>
      <c r="M16" s="15"/>
      <c r="N16" s="14" t="s">
        <v>1260</v>
      </c>
      <c r="O16" s="14" t="s">
        <v>1261</v>
      </c>
      <c r="P16" s="14" t="s">
        <v>102</v>
      </c>
      <c r="Q16" s="20">
        <v>5.575228854903134</v>
      </c>
      <c r="R16" s="14">
        <v>1.54</v>
      </c>
      <c r="S16" s="14">
        <v>3.98</v>
      </c>
      <c r="T16" s="14">
        <v>7.2</v>
      </c>
      <c r="U16" s="14">
        <f t="array" ref="U16">XLOOKUP(E16, 'Conference Match'!$A$2:$A$40,'Conference Match'!$C$2:$C$40)</f>
        <v>0.9</v>
      </c>
      <c r="V16" s="20">
        <f t="shared" si="1"/>
        <v>3.769655895</v>
      </c>
      <c r="W16" s="20">
        <f t="shared" si="2"/>
        <v>70.51381162</v>
      </c>
      <c r="X16" s="20">
        <f t="shared" si="3"/>
        <v>30.95541549</v>
      </c>
      <c r="Z16" s="20">
        <f>IFERROR(__xludf.DUMMYFUNCTION("iferror(PERCENTRANK.INC(FILTER($V$2:$V$429, $S$2:$S$429&lt;3.75), $V16), 1)"),1.0)</f>
        <v>1</v>
      </c>
      <c r="AA16" s="20">
        <f>IFERROR(__xludf.DUMMYFUNCTION("iferror(PERCENTRANK.INC(FILTER($V$2:$V$429, $S$2:$S$429&lt;4.5), $V16), 1)"),0.543)</f>
        <v>0.543</v>
      </c>
      <c r="AB16" s="20">
        <f>IFERROR(__xludf.DUMMYFUNCTION("iferror(PERCENTRANK.INC(FILTER($V$2:$V$429, $S$2:$S$429&gt;=4.1), $V16), 0.01)"),0.01)</f>
        <v>0.01</v>
      </c>
    </row>
    <row r="17" ht="14.25" customHeight="1">
      <c r="A17" s="14" t="s">
        <v>1262</v>
      </c>
      <c r="B17" s="14" t="s">
        <v>1094</v>
      </c>
      <c r="D17" s="14" t="s">
        <v>1228</v>
      </c>
      <c r="E17" s="14" t="s">
        <v>210</v>
      </c>
      <c r="F17" s="14">
        <v>31.0</v>
      </c>
      <c r="G17" s="14">
        <v>23.0</v>
      </c>
      <c r="H17" s="14">
        <v>175.0</v>
      </c>
      <c r="I17" s="14">
        <v>7.6</v>
      </c>
      <c r="J17" s="14">
        <v>2.0</v>
      </c>
      <c r="K17" s="20">
        <v>4.263007565979905</v>
      </c>
      <c r="L17" s="20">
        <v>27.623092804731606</v>
      </c>
      <c r="M17" s="15"/>
      <c r="N17" s="14" t="s">
        <v>1262</v>
      </c>
      <c r="O17" s="14" t="s">
        <v>1263</v>
      </c>
      <c r="P17" s="14" t="s">
        <v>210</v>
      </c>
      <c r="Q17" s="20">
        <v>4.263007565979905</v>
      </c>
      <c r="R17" s="14">
        <v>3.03</v>
      </c>
      <c r="S17" s="14">
        <v>3.92</v>
      </c>
      <c r="T17" s="14">
        <v>3.4</v>
      </c>
      <c r="U17" s="14">
        <f t="array" ref="U17">XLOOKUP(E17, 'Conference Match'!$A$2:$A$40,'Conference Match'!$C$2:$C$40)</f>
        <v>0.9</v>
      </c>
      <c r="V17" s="20">
        <f t="shared" si="1"/>
        <v>3.774006021</v>
      </c>
      <c r="W17" s="20">
        <f t="shared" si="2"/>
        <v>70.61601159</v>
      </c>
      <c r="X17" s="20">
        <f t="shared" si="3"/>
        <v>42.99291878</v>
      </c>
      <c r="Z17" s="20">
        <f>IFERROR(__xludf.DUMMYFUNCTION("iferror(PERCENTRANK.INC(FILTER($V$2:$V$429, $S$2:$S$429&lt;3.75), $V17), 1)"),1.0)</f>
        <v>1</v>
      </c>
      <c r="AA17" s="20">
        <f>IFERROR(__xludf.DUMMYFUNCTION("iferror(PERCENTRANK.INC(FILTER($V$2:$V$429, $S$2:$S$429&lt;4.5), $V17), 1)"),0.571)</f>
        <v>0.571</v>
      </c>
      <c r="AB17" s="20">
        <f>IFERROR(__xludf.DUMMYFUNCTION("iferror(PERCENTRANK.INC(FILTER($V$2:$V$429, $S$2:$S$429&gt;=4.1), $V17), 0.01)"),0.01)</f>
        <v>0.01</v>
      </c>
    </row>
    <row r="18" ht="14.25" customHeight="1">
      <c r="A18" s="14" t="s">
        <v>1264</v>
      </c>
      <c r="B18" s="14" t="s">
        <v>249</v>
      </c>
      <c r="D18" s="14" t="s">
        <v>1228</v>
      </c>
      <c r="E18" s="14" t="s">
        <v>189</v>
      </c>
      <c r="F18" s="14">
        <v>20.0</v>
      </c>
      <c r="G18" s="14">
        <v>14.0</v>
      </c>
      <c r="H18" s="14">
        <v>225.0</v>
      </c>
      <c r="I18" s="14">
        <v>16.1</v>
      </c>
      <c r="J18" s="14">
        <v>0.0</v>
      </c>
      <c r="K18" s="20">
        <v>6.390582853203198</v>
      </c>
      <c r="L18" s="20">
        <v>46.97444506625786</v>
      </c>
      <c r="M18" s="15"/>
      <c r="N18" s="14" t="s">
        <v>1264</v>
      </c>
      <c r="O18" s="14" t="s">
        <v>1265</v>
      </c>
      <c r="P18" s="14" t="s">
        <v>189</v>
      </c>
      <c r="Q18" s="20">
        <v>6.390582853203198</v>
      </c>
      <c r="R18" s="14">
        <v>1.66</v>
      </c>
      <c r="S18" s="14">
        <v>3.68</v>
      </c>
      <c r="T18" s="14">
        <v>1.2</v>
      </c>
      <c r="U18" s="14">
        <f t="array" ref="U18">XLOOKUP(E18, 'Conference Match'!$A$2:$A$40,'Conference Match'!$C$2:$C$40)</f>
        <v>0.9</v>
      </c>
      <c r="V18" s="20">
        <f t="shared" si="1"/>
        <v>3.687728685</v>
      </c>
      <c r="W18" s="20">
        <f t="shared" si="2"/>
        <v>68.58904951</v>
      </c>
      <c r="X18" s="20">
        <f t="shared" si="3"/>
        <v>21.61460444</v>
      </c>
      <c r="Z18" s="20">
        <f>IFERROR(__xludf.DUMMYFUNCTION("iferror(PERCENTRANK.INC(FILTER($V$2:$V$429, $S$2:$S$429&lt;3.75), $V18), 1)"),1.0)</f>
        <v>1</v>
      </c>
      <c r="AA18" s="20">
        <f>IFERROR(__xludf.DUMMYFUNCTION("iferror(PERCENTRANK.INC(FILTER($V$2:$V$429, $S$2:$S$429&lt;4.5), $V18), 1)"),0.514)</f>
        <v>0.514</v>
      </c>
      <c r="AB18" s="20">
        <f>IFERROR(__xludf.DUMMYFUNCTION("iferror(PERCENTRANK.INC(FILTER($V$2:$V$429, $S$2:$S$429&gt;=4.1), $V18), 0.01)"),0.01)</f>
        <v>0.01</v>
      </c>
    </row>
    <row r="19" ht="14.25" customHeight="1">
      <c r="A19" s="14" t="s">
        <v>1266</v>
      </c>
      <c r="B19" s="14" t="s">
        <v>477</v>
      </c>
      <c r="D19" s="14" t="s">
        <v>1228</v>
      </c>
      <c r="E19" s="14" t="s">
        <v>179</v>
      </c>
      <c r="F19" s="14">
        <v>38.0</v>
      </c>
      <c r="G19" s="14">
        <v>21.0</v>
      </c>
      <c r="H19" s="14">
        <v>257.0</v>
      </c>
      <c r="I19" s="14">
        <v>12.2</v>
      </c>
      <c r="J19" s="14">
        <v>1.0</v>
      </c>
      <c r="K19" s="20">
        <v>5.3467202603559025</v>
      </c>
      <c r="L19" s="20">
        <v>37.47999715265125</v>
      </c>
      <c r="M19" s="15"/>
      <c r="N19" s="14" t="s">
        <v>1266</v>
      </c>
      <c r="O19" s="14" t="s">
        <v>1267</v>
      </c>
      <c r="P19" s="14" t="s">
        <v>179</v>
      </c>
      <c r="Q19" s="20">
        <v>5.3467202603559025</v>
      </c>
      <c r="R19" s="14">
        <v>1.55</v>
      </c>
      <c r="S19" s="14">
        <v>3.7</v>
      </c>
      <c r="T19" s="14">
        <v>1.4</v>
      </c>
      <c r="U19" s="14">
        <f t="array" ref="U19">XLOOKUP(E19, 'Conference Match'!$A$2:$A$40,'Conference Match'!$C$2:$C$40)</f>
        <v>0.9</v>
      </c>
      <c r="V19" s="20">
        <f t="shared" si="1"/>
        <v>3.544307235</v>
      </c>
      <c r="W19" s="20">
        <f t="shared" si="2"/>
        <v>65.21956857</v>
      </c>
      <c r="X19" s="20">
        <f t="shared" si="3"/>
        <v>27.73957141</v>
      </c>
      <c r="Z19" s="20">
        <f>IFERROR(__xludf.DUMMYFUNCTION("iferror(PERCENTRANK.INC(FILTER($V$2:$V$429, $S$2:$S$429&lt;3.75), $V19), 1)"),0.929)</f>
        <v>0.929</v>
      </c>
      <c r="AA19" s="20">
        <f>IFERROR(__xludf.DUMMYFUNCTION("iferror(PERCENTRANK.INC(FILTER($V$2:$V$429, $S$2:$S$429&lt;4.5), $V19), 1)"),0.4)</f>
        <v>0.4</v>
      </c>
      <c r="AB19" s="20">
        <f>IFERROR(__xludf.DUMMYFUNCTION("iferror(PERCENTRANK.INC(FILTER($V$2:$V$429, $S$2:$S$429&gt;=4.1), $V19), 0.01)"),0.01)</f>
        <v>0.01</v>
      </c>
    </row>
    <row r="20" ht="14.25" customHeight="1">
      <c r="A20" s="14" t="s">
        <v>1268</v>
      </c>
      <c r="B20" s="14" t="s">
        <v>263</v>
      </c>
      <c r="D20" s="14" t="s">
        <v>1228</v>
      </c>
      <c r="E20" s="14" t="s">
        <v>179</v>
      </c>
      <c r="F20" s="14">
        <v>21.0</v>
      </c>
      <c r="G20" s="14">
        <v>13.0</v>
      </c>
      <c r="H20" s="14">
        <v>189.0</v>
      </c>
      <c r="I20" s="14">
        <v>14.5</v>
      </c>
      <c r="J20" s="14">
        <v>3.0</v>
      </c>
      <c r="K20" s="20">
        <v>6.361626763437316</v>
      </c>
      <c r="L20" s="20">
        <v>46.71107507106148</v>
      </c>
      <c r="M20" s="15"/>
      <c r="N20" s="14" t="s">
        <v>1268</v>
      </c>
      <c r="O20" s="14" t="s">
        <v>1269</v>
      </c>
      <c r="P20" s="14" t="s">
        <v>179</v>
      </c>
      <c r="Q20" s="20">
        <v>6.361626763437316</v>
      </c>
      <c r="R20" s="14">
        <v>3.44</v>
      </c>
      <c r="S20" s="14">
        <v>2.98</v>
      </c>
      <c r="T20" s="14">
        <v>-0.1</v>
      </c>
      <c r="U20" s="14">
        <f t="array" ref="U20">XLOOKUP(E20, 'Conference Match'!$A$2:$A$40,'Conference Match'!$C$2:$C$40)</f>
        <v>0.9</v>
      </c>
      <c r="V20" s="20">
        <f t="shared" si="1"/>
        <v>3.460819613</v>
      </c>
      <c r="W20" s="20">
        <f t="shared" si="2"/>
        <v>63.25814681</v>
      </c>
      <c r="X20" s="20">
        <f t="shared" si="3"/>
        <v>16.54707174</v>
      </c>
      <c r="Z20" s="20">
        <f>IFERROR(__xludf.DUMMYFUNCTION("iferror(PERCENTRANK.INC(FILTER($V$2:$V$429, $S$2:$S$429&lt;3.75), $V20), 1)"),0.857)</f>
        <v>0.857</v>
      </c>
      <c r="AA20" s="20">
        <f>IFERROR(__xludf.DUMMYFUNCTION("iferror(PERCENTRANK.INC(FILTER($V$2:$V$429, $S$2:$S$429&lt;4.5), $V20), 1)"),0.371)</f>
        <v>0.371</v>
      </c>
      <c r="AB20" s="20">
        <f>IFERROR(__xludf.DUMMYFUNCTION("iferror(PERCENTRANK.INC(FILTER($V$2:$V$429, $S$2:$S$429&gt;=4.1), $V20), 0.01)"),0.01)</f>
        <v>0.01</v>
      </c>
    </row>
    <row r="21" ht="14.25" customHeight="1">
      <c r="A21" s="14" t="s">
        <v>1270</v>
      </c>
      <c r="B21" s="14" t="s">
        <v>309</v>
      </c>
      <c r="D21" s="14" t="s">
        <v>1228</v>
      </c>
      <c r="E21" s="14" t="s">
        <v>179</v>
      </c>
      <c r="F21" s="14">
        <v>16.0</v>
      </c>
      <c r="G21" s="14">
        <v>10.0</v>
      </c>
      <c r="H21" s="14">
        <v>158.0</v>
      </c>
      <c r="I21" s="14">
        <v>15.8</v>
      </c>
      <c r="J21" s="14">
        <v>1.0</v>
      </c>
      <c r="K21" s="20">
        <v>6.285374670419676</v>
      </c>
      <c r="L21" s="20">
        <v>46.017524473099414</v>
      </c>
      <c r="M21" s="15"/>
      <c r="N21" s="14" t="s">
        <v>1270</v>
      </c>
      <c r="O21" s="14" t="s">
        <v>1271</v>
      </c>
      <c r="P21" s="14" t="s">
        <v>179</v>
      </c>
      <c r="Q21" s="20">
        <v>6.285374670419676</v>
      </c>
      <c r="R21" s="14">
        <v>2.0</v>
      </c>
      <c r="S21" s="14">
        <v>3.26</v>
      </c>
      <c r="T21" s="14">
        <v>10.6</v>
      </c>
      <c r="U21" s="14">
        <f t="array" ref="U21">XLOOKUP(E21, 'Conference Match'!$A$2:$A$40,'Conference Match'!$C$2:$C$40)</f>
        <v>0.9</v>
      </c>
      <c r="V21" s="20">
        <f t="shared" si="1"/>
        <v>3.430525581</v>
      </c>
      <c r="W21" s="20">
        <f t="shared" si="2"/>
        <v>62.54643204</v>
      </c>
      <c r="X21" s="20">
        <f t="shared" si="3"/>
        <v>16.52890756</v>
      </c>
      <c r="Z21" s="20">
        <f>IFERROR(__xludf.DUMMYFUNCTION("iferror(PERCENTRANK.INC(FILTER($V$2:$V$429, $S$2:$S$429&lt;3.75), $V21), 1)"),0.786)</f>
        <v>0.786</v>
      </c>
      <c r="AA21" s="20">
        <f>IFERROR(__xludf.DUMMYFUNCTION("iferror(PERCENTRANK.INC(FILTER($V$2:$V$429, $S$2:$S$429&lt;4.5), $V21), 1)"),0.343)</f>
        <v>0.343</v>
      </c>
      <c r="AB21" s="20">
        <f>IFERROR(__xludf.DUMMYFUNCTION("iferror(PERCENTRANK.INC(FILTER($V$2:$V$429, $S$2:$S$429&gt;=4.1), $V21), 0.01)"),0.01)</f>
        <v>0.01</v>
      </c>
    </row>
    <row r="22" ht="14.25" customHeight="1">
      <c r="A22" s="14" t="s">
        <v>1272</v>
      </c>
      <c r="B22" s="14" t="s">
        <v>487</v>
      </c>
      <c r="D22" s="14" t="s">
        <v>1228</v>
      </c>
      <c r="E22" s="14" t="s">
        <v>102</v>
      </c>
      <c r="F22" s="14">
        <v>53.0</v>
      </c>
      <c r="G22" s="14">
        <v>25.0</v>
      </c>
      <c r="H22" s="14">
        <v>350.0</v>
      </c>
      <c r="I22" s="14">
        <v>14.0</v>
      </c>
      <c r="J22" s="14">
        <v>3.0</v>
      </c>
      <c r="K22" s="20">
        <v>6.274446303089949</v>
      </c>
      <c r="L22" s="20">
        <v>45.91812555306547</v>
      </c>
      <c r="M22" s="15"/>
      <c r="N22" s="14" t="s">
        <v>1272</v>
      </c>
      <c r="O22" s="14" t="s">
        <v>1273</v>
      </c>
      <c r="P22" s="14" t="s">
        <v>102</v>
      </c>
      <c r="Q22" s="20">
        <v>6.274446303089949</v>
      </c>
      <c r="R22" s="14">
        <v>2.35</v>
      </c>
      <c r="S22" s="14">
        <v>3.16</v>
      </c>
      <c r="T22" s="14">
        <v>4.8</v>
      </c>
      <c r="U22" s="14">
        <f t="array" ref="U22">XLOOKUP(E22, 'Conference Match'!$A$2:$A$40,'Conference Match'!$C$2:$C$40)</f>
        <v>0.9</v>
      </c>
      <c r="V22" s="20">
        <f t="shared" si="1"/>
        <v>3.411550251</v>
      </c>
      <c r="W22" s="20">
        <f t="shared" si="2"/>
        <v>62.10063393</v>
      </c>
      <c r="X22" s="20">
        <f t="shared" si="3"/>
        <v>16.18250837</v>
      </c>
      <c r="Z22" s="20">
        <f>IFERROR(__xludf.DUMMYFUNCTION("iferror(PERCENTRANK.INC(FILTER($V$2:$V$429, $S$2:$S$429&lt;3.75), $V22), 1)"),0.714)</f>
        <v>0.714</v>
      </c>
      <c r="AA22" s="20">
        <f>IFERROR(__xludf.DUMMYFUNCTION("iferror(PERCENTRANK.INC(FILTER($V$2:$V$429, $S$2:$S$429&lt;4.5), $V22), 1)"),0.314)</f>
        <v>0.314</v>
      </c>
      <c r="AB22" s="20">
        <f>IFERROR(__xludf.DUMMYFUNCTION("iferror(PERCENTRANK.INC(FILTER($V$2:$V$429, $S$2:$S$429&gt;=4.1), $V22), 0.01)"),0.01)</f>
        <v>0.01</v>
      </c>
    </row>
    <row r="23" ht="14.25" customHeight="1">
      <c r="A23" s="14" t="s">
        <v>1274</v>
      </c>
      <c r="B23" s="14" t="s">
        <v>570</v>
      </c>
      <c r="C23" s="14">
        <v>2.0</v>
      </c>
      <c r="D23" s="14" t="s">
        <v>1228</v>
      </c>
      <c r="E23" s="14" t="s">
        <v>144</v>
      </c>
      <c r="F23" s="14">
        <v>39.0</v>
      </c>
      <c r="G23" s="14">
        <v>25.0</v>
      </c>
      <c r="H23" s="14">
        <v>379.0</v>
      </c>
      <c r="I23" s="14">
        <v>15.2</v>
      </c>
      <c r="J23" s="14">
        <v>1.0</v>
      </c>
      <c r="K23" s="20">
        <v>6.42315909099116</v>
      </c>
      <c r="L23" s="20">
        <v>53.300880675265454</v>
      </c>
      <c r="M23" s="15"/>
      <c r="N23" s="14" t="s">
        <v>1274</v>
      </c>
      <c r="O23" s="14" t="s">
        <v>1275</v>
      </c>
      <c r="P23" s="14" t="s">
        <v>1253</v>
      </c>
      <c r="Q23" s="20">
        <v>6.42315909099116</v>
      </c>
      <c r="R23" s="14">
        <v>2.51</v>
      </c>
      <c r="S23" s="14">
        <v>2.81</v>
      </c>
      <c r="T23" s="14">
        <v>6.6</v>
      </c>
      <c r="U23" s="14">
        <f t="array" ref="U23">XLOOKUP(E23, 'Conference Match'!$A$2:$A$40,'Conference Match'!$C$2:$C$40)</f>
        <v>0.95</v>
      </c>
      <c r="V23" s="20">
        <f t="shared" si="1"/>
        <v>3.25880017</v>
      </c>
      <c r="W23" s="20">
        <f t="shared" si="2"/>
        <v>58.51199021</v>
      </c>
      <c r="X23" s="20">
        <f t="shared" si="3"/>
        <v>5.211109537</v>
      </c>
      <c r="Z23" s="20">
        <f>IFERROR(__xludf.DUMMYFUNCTION("iferror(PERCENTRANK.INC(FILTER($V$2:$V$429, $S$2:$S$429&lt;3.75), $V23), 1)"),0.643)</f>
        <v>0.643</v>
      </c>
      <c r="AA23" s="20">
        <f>IFERROR(__xludf.DUMMYFUNCTION("iferror(PERCENTRANK.INC(FILTER($V$2:$V$429, $S$2:$S$429&lt;4.5), $V23), 1)"),0.286)</f>
        <v>0.286</v>
      </c>
      <c r="AB23" s="20">
        <f>IFERROR(__xludf.DUMMYFUNCTION("iferror(PERCENTRANK.INC(FILTER($V$2:$V$429, $S$2:$S$429&gt;=4.1), $V23), 0.01)"),0.01)</f>
        <v>0.01</v>
      </c>
    </row>
    <row r="24" ht="14.25" customHeight="1">
      <c r="A24" s="14" t="s">
        <v>1276</v>
      </c>
      <c r="B24" s="14" t="s">
        <v>529</v>
      </c>
      <c r="C24" s="14">
        <v>84.0</v>
      </c>
      <c r="D24" s="14" t="s">
        <v>1228</v>
      </c>
      <c r="E24" s="14" t="s">
        <v>144</v>
      </c>
      <c r="F24" s="14">
        <v>31.0</v>
      </c>
      <c r="G24" s="14">
        <v>22.0</v>
      </c>
      <c r="H24" s="14">
        <v>288.0</v>
      </c>
      <c r="I24" s="14">
        <v>13.1</v>
      </c>
      <c r="J24" s="14">
        <v>0.0</v>
      </c>
      <c r="K24" s="20">
        <v>5.594459178883131</v>
      </c>
      <c r="L24" s="20">
        <v>43.396439334493124</v>
      </c>
      <c r="M24" s="15"/>
      <c r="N24" s="14" t="s">
        <v>1276</v>
      </c>
      <c r="O24" s="14" t="s">
        <v>1277</v>
      </c>
      <c r="P24" s="14" t="s">
        <v>1253</v>
      </c>
      <c r="Q24" s="20">
        <v>5.594459178883131</v>
      </c>
      <c r="R24" s="14">
        <v>0.87</v>
      </c>
      <c r="S24" s="14">
        <v>3.31</v>
      </c>
      <c r="T24" s="14">
        <v>1.2</v>
      </c>
      <c r="U24" s="14">
        <f t="array" ref="U24">XLOOKUP(E24, 'Conference Match'!$A$2:$A$40,'Conference Match'!$C$2:$C$40)</f>
        <v>0.95</v>
      </c>
      <c r="V24" s="20">
        <f t="shared" si="1"/>
        <v>3.244710433</v>
      </c>
      <c r="W24" s="20">
        <f t="shared" si="2"/>
        <v>58.18097207</v>
      </c>
      <c r="X24" s="20">
        <f t="shared" si="3"/>
        <v>14.78453274</v>
      </c>
      <c r="Z24" s="20">
        <f>IFERROR(__xludf.DUMMYFUNCTION("iferror(PERCENTRANK.INC(FILTER($V$2:$V$429, $S$2:$S$429&lt;3.75), $V24), 1)"),0.571)</f>
        <v>0.571</v>
      </c>
      <c r="AA24" s="20">
        <f>IFERROR(__xludf.DUMMYFUNCTION("iferror(PERCENTRANK.INC(FILTER($V$2:$V$429, $S$2:$S$429&lt;4.5), $V24), 1)"),0.257)</f>
        <v>0.257</v>
      </c>
      <c r="AB24" s="20">
        <f>IFERROR(__xludf.DUMMYFUNCTION("iferror(PERCENTRANK.INC(FILTER($V$2:$V$429, $S$2:$S$429&gt;=4.1), $V24), 0.01)"),0.01)</f>
        <v>0.01</v>
      </c>
    </row>
    <row r="25" ht="14.25" customHeight="1">
      <c r="A25" s="14" t="s">
        <v>1278</v>
      </c>
      <c r="B25" s="14" t="s">
        <v>593</v>
      </c>
      <c r="D25" s="14" t="s">
        <v>1228</v>
      </c>
      <c r="E25" s="14" t="s">
        <v>127</v>
      </c>
      <c r="F25" s="14">
        <v>23.0</v>
      </c>
      <c r="G25" s="14">
        <v>10.0</v>
      </c>
      <c r="H25" s="14">
        <v>85.0</v>
      </c>
      <c r="I25" s="14">
        <v>8.5</v>
      </c>
      <c r="J25" s="14">
        <v>0.0</v>
      </c>
      <c r="K25" s="20">
        <v>3.7155797101869985</v>
      </c>
      <c r="L25" s="20">
        <v>22.64396499720471</v>
      </c>
      <c r="M25" s="15"/>
      <c r="N25" s="14" t="s">
        <v>1278</v>
      </c>
      <c r="O25" s="14" t="s">
        <v>1279</v>
      </c>
      <c r="P25" s="14" t="s">
        <v>127</v>
      </c>
      <c r="Q25" s="20">
        <v>3.7155797101869985</v>
      </c>
      <c r="R25" s="14">
        <v>0.04</v>
      </c>
      <c r="S25" s="14">
        <v>3.83</v>
      </c>
      <c r="T25" s="14">
        <v>-2.4</v>
      </c>
      <c r="U25" s="14">
        <f t="array" ref="U25">XLOOKUP(E25, 'Conference Match'!$A$2:$A$40,'Conference Match'!$C$2:$C$40)</f>
        <v>0.9</v>
      </c>
      <c r="V25" s="20">
        <f t="shared" si="1"/>
        <v>3.188603261</v>
      </c>
      <c r="W25" s="20">
        <f t="shared" si="2"/>
        <v>56.86281466</v>
      </c>
      <c r="X25" s="20">
        <f t="shared" si="3"/>
        <v>34.21884966</v>
      </c>
      <c r="Z25" s="20">
        <f>IFERROR(__xludf.DUMMYFUNCTION("iferror(PERCENTRANK.INC(FILTER($V$2:$V$429, $S$2:$S$429&lt;3.75), $V25), 1)"),0.552)</f>
        <v>0.552</v>
      </c>
      <c r="AA25" s="20">
        <f>IFERROR(__xludf.DUMMYFUNCTION("iferror(PERCENTRANK.INC(FILTER($V$2:$V$429, $S$2:$S$429&lt;4.5), $V25), 1)"),0.229)</f>
        <v>0.229</v>
      </c>
      <c r="AB25" s="20">
        <f>IFERROR(__xludf.DUMMYFUNCTION("iferror(PERCENTRANK.INC(FILTER($V$2:$V$429, $S$2:$S$429&gt;=4.1), $V25), 0.01)"),0.01)</f>
        <v>0.01</v>
      </c>
    </row>
    <row r="26" ht="14.25" customHeight="1">
      <c r="A26" s="14" t="s">
        <v>1280</v>
      </c>
      <c r="B26" s="14" t="s">
        <v>339</v>
      </c>
      <c r="D26" s="14" t="s">
        <v>1228</v>
      </c>
      <c r="E26" s="14" t="s">
        <v>105</v>
      </c>
      <c r="F26" s="14">
        <v>19.0</v>
      </c>
      <c r="G26" s="14">
        <v>12.0</v>
      </c>
      <c r="H26" s="14">
        <v>137.0</v>
      </c>
      <c r="I26" s="14">
        <v>11.4</v>
      </c>
      <c r="J26" s="14">
        <v>0.0</v>
      </c>
      <c r="K26" s="20">
        <v>4.77745366416495</v>
      </c>
      <c r="L26" s="20">
        <v>32.30223517178699</v>
      </c>
      <c r="M26" s="15"/>
      <c r="N26" s="14" t="s">
        <v>1280</v>
      </c>
      <c r="O26" s="14" t="s">
        <v>1281</v>
      </c>
      <c r="P26" s="14" t="s">
        <v>1248</v>
      </c>
      <c r="Q26" s="20">
        <v>4.77745366416495</v>
      </c>
      <c r="R26" s="14">
        <v>0.52</v>
      </c>
      <c r="S26" s="14">
        <v>3.31</v>
      </c>
      <c r="T26" s="14">
        <v>1.2</v>
      </c>
      <c r="U26" s="14">
        <f t="array" ref="U26">XLOOKUP(E26, 'Conference Match'!$A$2:$A$40,'Conference Match'!$C$2:$C$40)</f>
        <v>0.9</v>
      </c>
      <c r="V26" s="20">
        <f t="shared" si="1"/>
        <v>3.039956245</v>
      </c>
      <c r="W26" s="20">
        <f t="shared" si="2"/>
        <v>53.37056655</v>
      </c>
      <c r="X26" s="20">
        <f t="shared" si="3"/>
        <v>21.06833137</v>
      </c>
      <c r="Z26" s="20">
        <f>IFERROR(__xludf.DUMMYFUNCTION("iferror(PERCENTRANK.INC(FILTER($V$2:$V$429, $S$2:$S$429&lt;3.75), $V26), 1)"),0.5)</f>
        <v>0.5</v>
      </c>
      <c r="AA26" s="20">
        <f>IFERROR(__xludf.DUMMYFUNCTION("iferror(PERCENTRANK.INC(FILTER($V$2:$V$429, $S$2:$S$429&lt;4.5), $V26), 1)"),0.2)</f>
        <v>0.2</v>
      </c>
      <c r="AB26" s="20">
        <f>IFERROR(__xludf.DUMMYFUNCTION("iferror(PERCENTRANK.INC(FILTER($V$2:$V$429, $S$2:$S$429&gt;=4.1), $V26), 0.01)"),0.01)</f>
        <v>0.01</v>
      </c>
    </row>
    <row r="27" ht="14.25" customHeight="1">
      <c r="A27" s="14" t="s">
        <v>1282</v>
      </c>
      <c r="B27" s="14" t="s">
        <v>333</v>
      </c>
      <c r="C27" s="14">
        <v>87.0</v>
      </c>
      <c r="D27" s="14" t="s">
        <v>1228</v>
      </c>
      <c r="E27" s="14" t="s">
        <v>147</v>
      </c>
      <c r="F27" s="14">
        <v>50.0</v>
      </c>
      <c r="G27" s="14">
        <v>31.0</v>
      </c>
      <c r="H27" s="14">
        <v>303.0</v>
      </c>
      <c r="I27" s="14">
        <v>9.8</v>
      </c>
      <c r="J27" s="14">
        <v>3.0</v>
      </c>
      <c r="K27" s="20">
        <v>5.187138971453514</v>
      </c>
      <c r="L27" s="20">
        <v>38.528236692676074</v>
      </c>
      <c r="M27" s="15"/>
      <c r="N27" s="14" t="s">
        <v>1282</v>
      </c>
      <c r="O27" s="14" t="s">
        <v>1283</v>
      </c>
      <c r="P27" s="14" t="s">
        <v>1284</v>
      </c>
      <c r="Q27" s="20">
        <v>5.187138971453514</v>
      </c>
      <c r="R27" s="14">
        <v>3.47</v>
      </c>
      <c r="U27" s="14">
        <f t="array" ref="U27">XLOOKUP(E27, 'Conference Match'!$A$2:$A$40,'Conference Match'!$C$2:$C$40)</f>
        <v>0.95</v>
      </c>
      <c r="V27" s="20">
        <f t="shared" si="1"/>
        <v>1.259667303</v>
      </c>
      <c r="W27" s="20">
        <f t="shared" si="2"/>
        <v>11.54523526</v>
      </c>
      <c r="X27" s="20">
        <f t="shared" si="3"/>
        <v>-26.98300143</v>
      </c>
      <c r="Z27" s="20">
        <f>IFERROR(__xludf.DUMMYFUNCTION("iferror(PERCENTRANK.INC(FILTER($V$2:$V$429, $S$2:$S$429&lt;3.75), $V27), 1)"),0.429)</f>
        <v>0.429</v>
      </c>
      <c r="AA27" s="20">
        <f>IFERROR(__xludf.DUMMYFUNCTION("iferror(PERCENTRANK.INC(FILTER($V$2:$V$429, $S$2:$S$429&lt;4.5), $V27), 1)"),0.171)</f>
        <v>0.171</v>
      </c>
      <c r="AB27" s="20">
        <f>IFERROR(__xludf.DUMMYFUNCTION("iferror(PERCENTRANK.INC(FILTER($V$2:$V$429, $S$2:$S$429&gt;=4.1), $V27), 0.01)"),0.01)</f>
        <v>0.01</v>
      </c>
    </row>
    <row r="28" ht="14.25" customHeight="1">
      <c r="A28" s="14" t="s">
        <v>1285</v>
      </c>
      <c r="B28" s="14" t="s">
        <v>826</v>
      </c>
      <c r="C28" s="14">
        <v>88.0</v>
      </c>
      <c r="D28" s="14" t="s">
        <v>1228</v>
      </c>
      <c r="E28" s="14" t="s">
        <v>132</v>
      </c>
      <c r="F28" s="14">
        <v>35.0</v>
      </c>
      <c r="G28" s="14">
        <v>23.0</v>
      </c>
      <c r="H28" s="14">
        <v>241.0</v>
      </c>
      <c r="I28" s="14">
        <v>10.5</v>
      </c>
      <c r="J28" s="14">
        <v>2.0</v>
      </c>
      <c r="K28" s="20">
        <v>5.1320887713167815</v>
      </c>
      <c r="L28" s="20">
        <v>37.87028865854985</v>
      </c>
      <c r="M28" s="15"/>
      <c r="N28" s="14" t="s">
        <v>1285</v>
      </c>
      <c r="O28" s="14" t="s">
        <v>1286</v>
      </c>
      <c r="P28" s="14" t="s">
        <v>1243</v>
      </c>
      <c r="Q28" s="20">
        <v>5.1320887713167815</v>
      </c>
      <c r="R28" s="14">
        <v>2.65</v>
      </c>
      <c r="U28" s="14">
        <f t="array" ref="U28">XLOOKUP(E28, 'Conference Match'!$A$2:$A$40,'Conference Match'!$C$2:$C$40)</f>
        <v>0.95</v>
      </c>
      <c r="V28" s="20">
        <f t="shared" si="1"/>
        <v>1.12882265</v>
      </c>
      <c r="W28" s="20">
        <f t="shared" si="2"/>
        <v>8.471228083</v>
      </c>
      <c r="X28" s="20">
        <f t="shared" si="3"/>
        <v>-29.39906058</v>
      </c>
      <c r="Z28" s="20">
        <f>IFERROR(__xludf.DUMMYFUNCTION("iferror(PERCENTRANK.INC(FILTER($V$2:$V$429, $S$2:$S$429&lt;3.75), $V28), 1)"),0.357)</f>
        <v>0.357</v>
      </c>
      <c r="AA28" s="20">
        <f>IFERROR(__xludf.DUMMYFUNCTION("iferror(PERCENTRANK.INC(FILTER($V$2:$V$429, $S$2:$S$429&lt;4.5), $V28), 1)"),0.143)</f>
        <v>0.143</v>
      </c>
      <c r="AB28" s="20">
        <f>IFERROR(__xludf.DUMMYFUNCTION("iferror(PERCENTRANK.INC(FILTER($V$2:$V$429, $S$2:$S$429&gt;=4.1), $V28), 0.01)"),0.01)</f>
        <v>0.01</v>
      </c>
    </row>
    <row r="29" ht="14.25" customHeight="1">
      <c r="A29" s="14" t="s">
        <v>1287</v>
      </c>
      <c r="B29" s="14" t="s">
        <v>716</v>
      </c>
      <c r="C29" s="14">
        <v>88.0</v>
      </c>
      <c r="D29" s="14" t="s">
        <v>1228</v>
      </c>
      <c r="E29" s="14" t="s">
        <v>147</v>
      </c>
      <c r="F29" s="14">
        <v>19.0</v>
      </c>
      <c r="G29" s="14">
        <v>13.0</v>
      </c>
      <c r="H29" s="14">
        <v>124.0</v>
      </c>
      <c r="I29" s="14">
        <v>9.5</v>
      </c>
      <c r="J29" s="14">
        <v>4.0</v>
      </c>
      <c r="K29" s="20">
        <v>5.047190506270212</v>
      </c>
      <c r="L29" s="20">
        <v>36.855603036165625</v>
      </c>
      <c r="M29" s="15"/>
      <c r="N29" s="14" t="s">
        <v>1287</v>
      </c>
      <c r="O29" s="14" t="s">
        <v>1288</v>
      </c>
      <c r="P29" s="14" t="s">
        <v>1284</v>
      </c>
      <c r="Q29" s="20">
        <v>5.047190506270212</v>
      </c>
      <c r="R29" s="14">
        <v>1.44</v>
      </c>
      <c r="S29" s="14">
        <v>3.82</v>
      </c>
      <c r="T29" s="14">
        <v>2.5</v>
      </c>
      <c r="U29" s="14">
        <f t="array" ref="U29">XLOOKUP(E29, 'Conference Match'!$A$2:$A$40,'Conference Match'!$C$2:$C$40)</f>
        <v>0.95</v>
      </c>
      <c r="V29" s="20">
        <f t="shared" si="1"/>
        <v>3.609224647</v>
      </c>
      <c r="W29" s="20">
        <f t="shared" si="2"/>
        <v>66.74470991</v>
      </c>
      <c r="X29" s="20">
        <f t="shared" si="3"/>
        <v>29.88910687</v>
      </c>
      <c r="Z29" s="20">
        <f>IFERROR(__xludf.DUMMYFUNCTION("iferror(PERCENTRANK.INC(FILTER($V$2:$V$429, $S$2:$S$429&lt;3.75), $V29), 1)"),0.961)</f>
        <v>0.961</v>
      </c>
      <c r="AA29" s="20">
        <f>IFERROR(__xludf.DUMMYFUNCTION("iferror(PERCENTRANK.INC(FILTER($V$2:$V$429, $S$2:$S$429&lt;4.5), $V29), 1)"),0.457)</f>
        <v>0.457</v>
      </c>
      <c r="AB29" s="20">
        <f>IFERROR(__xludf.DUMMYFUNCTION("iferror(PERCENTRANK.INC(FILTER($V$2:$V$429, $S$2:$S$429&gt;=4.1), $V29), 0.01)"),0.01)</f>
        <v>0.01</v>
      </c>
    </row>
    <row r="30" ht="14.25" customHeight="1">
      <c r="A30" s="14" t="s">
        <v>1289</v>
      </c>
      <c r="B30" s="14" t="s">
        <v>157</v>
      </c>
      <c r="C30" s="14">
        <v>0.0</v>
      </c>
      <c r="D30" s="14" t="s">
        <v>1228</v>
      </c>
      <c r="E30" s="14" t="s">
        <v>158</v>
      </c>
      <c r="F30" s="14">
        <v>25.0</v>
      </c>
      <c r="G30" s="14">
        <v>16.0</v>
      </c>
      <c r="H30" s="14">
        <v>174.0</v>
      </c>
      <c r="I30" s="14">
        <v>10.9</v>
      </c>
      <c r="J30" s="14">
        <v>1.0</v>
      </c>
      <c r="K30" s="20">
        <v>4.9213337883075186</v>
      </c>
      <c r="L30" s="20">
        <v>35.351390881451266</v>
      </c>
      <c r="M30" s="15"/>
      <c r="N30" s="14" t="s">
        <v>1289</v>
      </c>
      <c r="O30" s="14" t="s">
        <v>157</v>
      </c>
      <c r="P30" s="14" t="s">
        <v>1230</v>
      </c>
      <c r="Q30" s="20">
        <v>4.9213337883075186</v>
      </c>
      <c r="R30" s="14">
        <v>1.29</v>
      </c>
      <c r="U30" s="14">
        <f t="array" ref="U30">XLOOKUP(E30, 'Conference Match'!$A$2:$A$40,'Conference Match'!$C$2:$C$40)</f>
        <v>0.95</v>
      </c>
      <c r="V30" s="20">
        <f t="shared" si="1"/>
        <v>0.8947900648</v>
      </c>
      <c r="W30" s="20">
        <f t="shared" si="2"/>
        <v>2.972968685</v>
      </c>
      <c r="X30" s="20">
        <f t="shared" si="3"/>
        <v>-32.3784222</v>
      </c>
      <c r="Z30" s="20">
        <f>IFERROR(__xludf.DUMMYFUNCTION("iferror(PERCENTRANK.INC(FILTER($V$2:$V$429, $S$2:$S$429&lt;3.75), $V30), 1)"),0.286)</f>
        <v>0.286</v>
      </c>
      <c r="AA30" s="20">
        <f>IFERROR(__xludf.DUMMYFUNCTION("iferror(PERCENTRANK.INC(FILTER($V$2:$V$429, $S$2:$S$429&lt;4.5), $V30), 1)"),0.114)</f>
        <v>0.114</v>
      </c>
      <c r="AB30" s="20">
        <f>IFERROR(__xludf.DUMMYFUNCTION("iferror(PERCENTRANK.INC(FILTER($V$2:$V$429, $S$2:$S$429&gt;=4.1), $V30), 0.01)"),0.01)</f>
        <v>0.01</v>
      </c>
    </row>
    <row r="31" ht="14.25" customHeight="1">
      <c r="A31" s="14" t="s">
        <v>1290</v>
      </c>
      <c r="B31" s="14" t="s">
        <v>245</v>
      </c>
      <c r="C31" s="14">
        <v>6.0</v>
      </c>
      <c r="D31" s="14" t="s">
        <v>1228</v>
      </c>
      <c r="E31" s="14" t="s">
        <v>158</v>
      </c>
      <c r="F31" s="14">
        <v>21.0</v>
      </c>
      <c r="G31" s="14">
        <v>13.0</v>
      </c>
      <c r="H31" s="14">
        <v>138.0</v>
      </c>
      <c r="I31" s="14">
        <v>10.6</v>
      </c>
      <c r="J31" s="14">
        <v>1.0</v>
      </c>
      <c r="K31" s="20">
        <v>4.7437696205801725</v>
      </c>
      <c r="L31" s="20">
        <v>33.229182518951404</v>
      </c>
      <c r="M31" s="15"/>
      <c r="N31" s="14" t="s">
        <v>1290</v>
      </c>
      <c r="O31" s="14" t="s">
        <v>1232</v>
      </c>
      <c r="P31" s="14" t="s">
        <v>1230</v>
      </c>
      <c r="Q31" s="20">
        <v>4.7437696205801725</v>
      </c>
      <c r="R31" s="14">
        <v>1.14</v>
      </c>
      <c r="U31" s="14">
        <f t="array" ref="U31">XLOOKUP(E31, 'Conference Match'!$A$2:$A$40,'Conference Match'!$C$2:$C$40)</f>
        <v>0.95</v>
      </c>
      <c r="V31" s="20">
        <f t="shared" si="1"/>
        <v>0.8469871709</v>
      </c>
      <c r="W31" s="20">
        <f t="shared" si="2"/>
        <v>1.849908362</v>
      </c>
      <c r="X31" s="20">
        <f t="shared" si="3"/>
        <v>-31.37927416</v>
      </c>
      <c r="Z31" s="20">
        <f>IFERROR(__xludf.DUMMYFUNCTION("iferror(PERCENTRANK.INC(FILTER($V$2:$V$429, $S$2:$S$429&lt;3.75), $V31), 1)"),0.214)</f>
        <v>0.214</v>
      </c>
      <c r="AA31" s="20">
        <f>IFERROR(__xludf.DUMMYFUNCTION("iferror(PERCENTRANK.INC(FILTER($V$2:$V$429, $S$2:$S$429&lt;4.5), $V31), 1)"),0.086)</f>
        <v>0.086</v>
      </c>
      <c r="AB31" s="20">
        <f>IFERROR(__xludf.DUMMYFUNCTION("iferror(PERCENTRANK.INC(FILTER($V$2:$V$429, $S$2:$S$429&gt;=4.1), $V31), 0.01)"),0.01)</f>
        <v>0.01</v>
      </c>
    </row>
    <row r="32" ht="14.25" customHeight="1">
      <c r="A32" s="14" t="s">
        <v>1291</v>
      </c>
      <c r="B32" s="14" t="s">
        <v>305</v>
      </c>
      <c r="C32" s="14">
        <v>85.0</v>
      </c>
      <c r="D32" s="14" t="s">
        <v>1228</v>
      </c>
      <c r="E32" s="14" t="s">
        <v>132</v>
      </c>
      <c r="F32" s="14">
        <v>32.0</v>
      </c>
      <c r="G32" s="14">
        <v>21.0</v>
      </c>
      <c r="H32" s="14">
        <v>214.0</v>
      </c>
      <c r="I32" s="14">
        <v>10.2</v>
      </c>
      <c r="J32" s="14">
        <v>0.0</v>
      </c>
      <c r="K32" s="20">
        <v>4.606590146513268</v>
      </c>
      <c r="L32" s="20">
        <v>31.58964324278874</v>
      </c>
      <c r="M32" s="15"/>
      <c r="N32" s="14" t="s">
        <v>1291</v>
      </c>
      <c r="O32" s="14" t="s">
        <v>1292</v>
      </c>
      <c r="P32" s="14" t="s">
        <v>1243</v>
      </c>
      <c r="Q32" s="20">
        <v>4.606590146513268</v>
      </c>
      <c r="R32" s="14">
        <v>1.22</v>
      </c>
      <c r="U32" s="14">
        <f t="array" ref="U32">XLOOKUP(E32, 'Conference Match'!$A$2:$A$40,'Conference Match'!$C$2:$C$40)</f>
        <v>0.95</v>
      </c>
      <c r="V32" s="20">
        <f t="shared" si="1"/>
        <v>0.8394390959</v>
      </c>
      <c r="W32" s="20">
        <f t="shared" si="2"/>
        <v>1.672577181</v>
      </c>
      <c r="X32" s="20">
        <f t="shared" si="3"/>
        <v>-29.91706606</v>
      </c>
      <c r="Z32" s="20">
        <f>IFERROR(__xludf.DUMMYFUNCTION("iferror(PERCENTRANK.INC(FILTER($V$2:$V$429, $S$2:$S$429&lt;3.75), $V32), 1)"),0.143)</f>
        <v>0.143</v>
      </c>
      <c r="AA32" s="20">
        <f>IFERROR(__xludf.DUMMYFUNCTION("iferror(PERCENTRANK.INC(FILTER($V$2:$V$429, $S$2:$S$429&lt;4.5), $V32), 1)"),0.057)</f>
        <v>0.057</v>
      </c>
      <c r="AB32" s="20">
        <f>IFERROR(__xludf.DUMMYFUNCTION("iferror(PERCENTRANK.INC(FILTER($V$2:$V$429, $S$2:$S$429&gt;=4.1), $V32), 0.01)"),0.01)</f>
        <v>0.01</v>
      </c>
    </row>
    <row r="33" ht="14.25" customHeight="1">
      <c r="A33" s="14" t="s">
        <v>1293</v>
      </c>
      <c r="B33" s="14" t="s">
        <v>388</v>
      </c>
      <c r="C33" s="14">
        <v>88.0</v>
      </c>
      <c r="D33" s="14" t="s">
        <v>1228</v>
      </c>
      <c r="E33" s="14" t="s">
        <v>132</v>
      </c>
      <c r="F33" s="14">
        <v>19.0</v>
      </c>
      <c r="G33" s="14">
        <v>12.0</v>
      </c>
      <c r="H33" s="14">
        <v>132.0</v>
      </c>
      <c r="I33" s="14">
        <v>11.0</v>
      </c>
      <c r="J33" s="14">
        <v>0.0</v>
      </c>
      <c r="K33" s="20">
        <v>4.6511378746912655</v>
      </c>
      <c r="L33" s="20">
        <v>32.12206801339271</v>
      </c>
      <c r="M33" s="15"/>
      <c r="N33" s="14" t="s">
        <v>1293</v>
      </c>
      <c r="O33" s="14" t="s">
        <v>1294</v>
      </c>
      <c r="P33" s="14" t="s">
        <v>1243</v>
      </c>
      <c r="Q33" s="20">
        <v>4.6511378746912655</v>
      </c>
      <c r="R33" s="14">
        <v>1.01</v>
      </c>
      <c r="U33" s="14">
        <f t="array" ref="U33">XLOOKUP(E33, 'Conference Match'!$A$2:$A$40,'Conference Match'!$C$2:$C$40)</f>
        <v>0.95</v>
      </c>
      <c r="V33" s="20">
        <f t="shared" si="1"/>
        <v>0.8142871471</v>
      </c>
      <c r="W33" s="20">
        <f t="shared" si="2"/>
        <v>1.081668276</v>
      </c>
      <c r="X33" s="20">
        <f t="shared" si="3"/>
        <v>-31.04039974</v>
      </c>
      <c r="Z33" s="20">
        <f>IFERROR(__xludf.DUMMYFUNCTION("iferror(PERCENTRANK.INC(FILTER($V$2:$V$429, $S$2:$S$429&lt;3.75), $V33), 1)"),0.071)</f>
        <v>0.071</v>
      </c>
      <c r="AA33" s="20">
        <f>IFERROR(__xludf.DUMMYFUNCTION("iferror(PERCENTRANK.INC(FILTER($V$2:$V$429, $S$2:$S$429&lt;4.5), $V33), 1)"),0.029)</f>
        <v>0.029</v>
      </c>
      <c r="AB33" s="20">
        <f>IFERROR(__xludf.DUMMYFUNCTION("iferror(PERCENTRANK.INC(FILTER($V$2:$V$429, $S$2:$S$429&gt;=4.1), $V33), 0.01)"),0.01)</f>
        <v>0.01</v>
      </c>
    </row>
    <row r="34" ht="14.25" customHeight="1">
      <c r="A34" s="14" t="s">
        <v>1295</v>
      </c>
      <c r="B34" s="14" t="s">
        <v>740</v>
      </c>
      <c r="C34" s="16">
        <v>80.0</v>
      </c>
      <c r="D34" s="14" t="s">
        <v>1228</v>
      </c>
      <c r="E34" s="14" t="s">
        <v>155</v>
      </c>
      <c r="F34" s="14">
        <v>66.0</v>
      </c>
      <c r="G34" s="14">
        <v>37.0</v>
      </c>
      <c r="H34" s="14">
        <v>412.0</v>
      </c>
      <c r="I34" s="14">
        <v>11.1</v>
      </c>
      <c r="J34" s="14">
        <v>2.0</v>
      </c>
      <c r="K34" s="20">
        <v>5.4110363561807775</v>
      </c>
      <c r="L34" s="20">
        <v>38.0649839373105</v>
      </c>
      <c r="M34" s="15"/>
      <c r="N34" s="14" t="s">
        <v>1295</v>
      </c>
      <c r="O34" s="14" t="s">
        <v>1296</v>
      </c>
      <c r="P34" s="14" t="s">
        <v>155</v>
      </c>
      <c r="Q34" s="20">
        <v>5.41</v>
      </c>
      <c r="R34" s="14">
        <v>2.5</v>
      </c>
      <c r="S34" s="14">
        <v>3.92</v>
      </c>
      <c r="T34" s="14">
        <v>3.2</v>
      </c>
      <c r="U34" s="14">
        <f t="array" ref="U34">XLOOKUP(E34, 'Conference Match'!$A$2:$A$40,'Conference Match'!$C$2:$C$40)</f>
        <v>0.9</v>
      </c>
      <c r="V34" s="20">
        <f t="shared" si="1"/>
        <v>3.84935</v>
      </c>
      <c r="W34" s="20">
        <f t="shared" si="2"/>
        <v>72.38611013</v>
      </c>
      <c r="X34" s="20">
        <f t="shared" si="3"/>
        <v>34.32112619</v>
      </c>
      <c r="Z34" s="20">
        <f>IFERROR(__xludf.DUMMYFUNCTION("iferror(PERCENTRANK.INC(FILTER($V$2:$V$429, $S$2:$S$429&lt;3.75), $V34), 1)"),1.0)</f>
        <v>1</v>
      </c>
      <c r="AA34" s="20">
        <f>IFERROR(__xludf.DUMMYFUNCTION("iferror(PERCENTRANK.INC(FILTER($V$2:$V$429, $S$2:$S$429&lt;4.5), $V34), 1)"),0.657)</f>
        <v>0.657</v>
      </c>
      <c r="AB34" s="20">
        <f>IFERROR(__xludf.DUMMYFUNCTION("iferror(PERCENTRANK.INC(FILTER($V$2:$V$429, $S$2:$S$429&gt;=4.1), $V34), 0.01)"),0.01)</f>
        <v>0.01</v>
      </c>
    </row>
    <row r="35" ht="14.25" customHeight="1">
      <c r="A35" s="17" t="s">
        <v>1297</v>
      </c>
      <c r="B35" s="17" t="s">
        <v>1298</v>
      </c>
      <c r="C35" s="18">
        <v>84.0</v>
      </c>
      <c r="D35" s="17" t="s">
        <v>1228</v>
      </c>
      <c r="E35" s="17" t="s">
        <v>99</v>
      </c>
      <c r="F35" s="18">
        <v>33.0</v>
      </c>
      <c r="G35" s="18">
        <v>22.0</v>
      </c>
      <c r="H35" s="18">
        <v>265.0</v>
      </c>
      <c r="I35" s="18">
        <v>12.1</v>
      </c>
      <c r="J35" s="18">
        <v>1.0</v>
      </c>
      <c r="K35" s="22">
        <v>5.43</v>
      </c>
      <c r="L35" s="22">
        <v>34.38</v>
      </c>
      <c r="M35" s="15"/>
      <c r="N35" s="17" t="s">
        <v>1297</v>
      </c>
      <c r="O35" s="16" t="s">
        <v>1299</v>
      </c>
      <c r="P35" s="16" t="s">
        <v>99</v>
      </c>
      <c r="Q35" s="22">
        <v>5.43</v>
      </c>
      <c r="R35" s="16">
        <v>2.68</v>
      </c>
      <c r="S35" s="16">
        <v>4.32</v>
      </c>
      <c r="T35" s="16">
        <v>2.1</v>
      </c>
      <c r="U35" s="14">
        <f t="array" ref="U35">XLOOKUP(E35, 'Conference Match'!$A$2:$A$40,'Conference Match'!$C$2:$C$40)</f>
        <v>1</v>
      </c>
      <c r="V35" s="20">
        <f t="shared" si="1"/>
        <v>4.2405</v>
      </c>
      <c r="W35" s="20">
        <f t="shared" si="2"/>
        <v>81.57561749</v>
      </c>
      <c r="X35" s="20">
        <f t="shared" si="3"/>
        <v>47.19561749</v>
      </c>
      <c r="Z35" s="20">
        <f>IFERROR(__xludf.DUMMYFUNCTION("iferror(PERCENTRANK.INC(FILTER($V$2:$V$429, $S$2:$S$429&lt;3.75), $V35), 1)"),1.0)</f>
        <v>1</v>
      </c>
      <c r="AA35" s="20">
        <f>IFERROR(__xludf.DUMMYFUNCTION("iferror(PERCENTRANK.INC(FILTER($V$2:$V$429, $S$2:$S$429&lt;4.5), $V35), 1)"),0.914)</f>
        <v>0.914</v>
      </c>
      <c r="AB35" s="20">
        <f>IFERROR(__xludf.DUMMYFUNCTION("iferror(PERCENTRANK.INC(FILTER($V$2:$V$429, $S$2:$S$429&gt;=4.1), $V35), 0.01)"),0.636)</f>
        <v>0.636</v>
      </c>
    </row>
    <row r="36" ht="14.25" customHeight="1">
      <c r="A36" s="17" t="s">
        <v>1300</v>
      </c>
      <c r="B36" s="17" t="s">
        <v>1298</v>
      </c>
      <c r="C36" s="18">
        <v>18.0</v>
      </c>
      <c r="D36" s="17" t="s">
        <v>1228</v>
      </c>
      <c r="E36" s="17" t="s">
        <v>99</v>
      </c>
      <c r="F36" s="18">
        <v>43.0</v>
      </c>
      <c r="G36" s="18">
        <v>31.0</v>
      </c>
      <c r="H36" s="18">
        <v>323.0</v>
      </c>
      <c r="I36" s="18">
        <v>10.4</v>
      </c>
      <c r="J36" s="18">
        <v>3.0</v>
      </c>
      <c r="K36" s="22">
        <v>5.46</v>
      </c>
      <c r="L36" s="22">
        <v>34.63</v>
      </c>
      <c r="M36" s="15"/>
      <c r="N36" s="17" t="s">
        <v>1300</v>
      </c>
      <c r="O36" s="16" t="s">
        <v>1299</v>
      </c>
      <c r="P36" s="16" t="s">
        <v>99</v>
      </c>
      <c r="Q36" s="22">
        <v>5.46</v>
      </c>
      <c r="R36" s="16">
        <v>2.17</v>
      </c>
      <c r="S36" s="16">
        <v>4.88</v>
      </c>
      <c r="T36" s="16">
        <v>-2.9</v>
      </c>
      <c r="U36" s="54">
        <f t="array" ref="U36">XLOOKUP(E36, 'Conference Match'!$A$2:$A$40,'Conference Match'!$C$2:$C$40)</f>
        <v>1</v>
      </c>
      <c r="V36" s="55">
        <f t="shared" si="1"/>
        <v>4.5605</v>
      </c>
      <c r="W36" s="55">
        <f>100*(V36-MIN($V$2:$V$572))/(MAX($V$2:$V$572) - MIN($V$2:$V$572))</f>
        <v>89.09355781</v>
      </c>
      <c r="X36" s="55">
        <f t="shared" si="3"/>
        <v>54.46355781</v>
      </c>
      <c r="Y36" s="52"/>
      <c r="Z36" s="55">
        <f>IFERROR(__xludf.DUMMYFUNCTION("iferror(PERCENTRANK.INC(FILTER($V$2:$V$429, $S$2:$S$429&lt;3.75), $V36), 1)"),1.0)</f>
        <v>1</v>
      </c>
      <c r="AA36" s="55">
        <f>IFERROR(__xludf.DUMMYFUNCTION("iferror(PERCENTRANK.INC(FILTER($V$2:$V$429, $S$2:$S$429&lt;4.5), $V36), 1)"),1.0)</f>
        <v>1</v>
      </c>
      <c r="AB36" s="55">
        <f>IFERROR(__xludf.DUMMYFUNCTION("iferror(PERCENTRANK.INC(FILTER($V$2:$V$429, $S$2:$S$429&gt;=4.1), $V36), 0.01)"),0.909)</f>
        <v>0.909</v>
      </c>
    </row>
    <row r="37" ht="14.25" customHeight="1">
      <c r="A37" s="14" t="s">
        <v>1301</v>
      </c>
      <c r="B37" s="14" t="s">
        <v>345</v>
      </c>
      <c r="C37" s="14">
        <v>82.0</v>
      </c>
      <c r="D37" s="14" t="s">
        <v>1228</v>
      </c>
      <c r="E37" s="14" t="s">
        <v>144</v>
      </c>
      <c r="F37" s="14">
        <v>32.0</v>
      </c>
      <c r="G37" s="14">
        <v>25.0</v>
      </c>
      <c r="H37" s="14">
        <v>248.0</v>
      </c>
      <c r="I37" s="14">
        <v>9.9</v>
      </c>
      <c r="J37" s="14">
        <v>2.0</v>
      </c>
      <c r="K37" s="20">
        <v>5.069090146513268</v>
      </c>
      <c r="L37" s="20">
        <v>37.11734277934916</v>
      </c>
      <c r="M37" s="15"/>
      <c r="N37" s="14" t="s">
        <v>1301</v>
      </c>
      <c r="O37" s="14" t="s">
        <v>1302</v>
      </c>
      <c r="P37" s="14" t="s">
        <v>1253</v>
      </c>
      <c r="Q37" s="20">
        <v>5.069090146513268</v>
      </c>
      <c r="R37" s="14">
        <v>0.56</v>
      </c>
      <c r="S37" s="14">
        <v>3.96</v>
      </c>
      <c r="T37" s="14">
        <v>-6.2</v>
      </c>
      <c r="U37" s="14">
        <f t="array" ref="U37">XLOOKUP(E37, 'Conference Match'!$A$2:$A$40,'Conference Match'!$C$2:$C$40)</f>
        <v>0.95</v>
      </c>
      <c r="V37" s="20">
        <f t="shared" si="1"/>
        <v>3.578345346</v>
      </c>
      <c r="W37" s="20">
        <f t="shared" ref="W37:W38" si="4">100*(V37-MIN($V$2:$V$572))/(MAX($V$2:$V$572) - MIN($V$2:$V$572))</f>
        <v>66.01924508</v>
      </c>
      <c r="X37" s="20">
        <f t="shared" si="3"/>
        <v>28.9019023</v>
      </c>
      <c r="Z37" s="20">
        <f>IFERROR(__xludf.DUMMYFUNCTION("iferror(PERCENTRANK.INC(FILTER($V$2:$V$429, $S$2:$S$429&lt;3.75), $V37), 1)"),0.946)</f>
        <v>0.946</v>
      </c>
      <c r="AA37" s="20">
        <f>IFERROR(__xludf.DUMMYFUNCTION("iferror(PERCENTRANK.INC(FILTER($V$2:$V$429, $S$2:$S$429&lt;4.5), $V37), 1)"),0.429)</f>
        <v>0.429</v>
      </c>
      <c r="AB37" s="20">
        <f>IFERROR(__xludf.DUMMYFUNCTION("iferror(PERCENTRANK.INC(FILTER($V$2:$V$429, $S$2:$S$429&gt;=4.1), $V37), 0.01)"),0.01)</f>
        <v>0.01</v>
      </c>
    </row>
    <row r="38" ht="14.25" customHeight="1">
      <c r="A38" s="17" t="s">
        <v>1303</v>
      </c>
      <c r="B38" s="17" t="s">
        <v>495</v>
      </c>
      <c r="C38" s="18">
        <v>89.0</v>
      </c>
      <c r="D38" s="17" t="s">
        <v>1228</v>
      </c>
      <c r="E38" s="17" t="s">
        <v>182</v>
      </c>
      <c r="F38" s="18">
        <v>30.0</v>
      </c>
      <c r="G38" s="18">
        <v>23.0</v>
      </c>
      <c r="H38" s="18">
        <v>197.0</v>
      </c>
      <c r="I38" s="18">
        <v>8.6</v>
      </c>
      <c r="J38" s="18">
        <v>1.0</v>
      </c>
      <c r="K38" s="22">
        <v>4.4</v>
      </c>
      <c r="L38" s="22">
        <v>24.56</v>
      </c>
      <c r="M38" s="15"/>
      <c r="N38" s="17" t="s">
        <v>1303</v>
      </c>
      <c r="O38" s="16" t="s">
        <v>1304</v>
      </c>
      <c r="P38" s="16" t="s">
        <v>182</v>
      </c>
      <c r="Q38" s="22">
        <v>4.4</v>
      </c>
      <c r="R38" s="16">
        <v>0.19</v>
      </c>
      <c r="S38" s="16">
        <v>4.57</v>
      </c>
      <c r="T38" s="16">
        <v>-5.6</v>
      </c>
      <c r="U38" s="14">
        <f t="array" ref="U38">XLOOKUP(E38, 'Conference Match'!$A$2:$A$40,'Conference Match'!$C$2:$C$40)</f>
        <v>1</v>
      </c>
      <c r="V38" s="20">
        <f t="shared" si="1"/>
        <v>3.8875</v>
      </c>
      <c r="W38" s="20">
        <f t="shared" si="4"/>
        <v>73.28238958</v>
      </c>
      <c r="X38" s="20">
        <f t="shared" si="3"/>
        <v>48.72238958</v>
      </c>
      <c r="Z38" s="55">
        <f>IFERROR(__xludf.DUMMYFUNCTION("iferror(PERCENTRANK.INC(FILTER($V$2:$V$429, $S$2:$S$429&lt;3.75), $V38), 1)"),1.0)</f>
        <v>1</v>
      </c>
      <c r="AA38" s="55">
        <f>IFERROR(__xludf.DUMMYFUNCTION("iferror(PERCENTRANK.INC(FILTER($V$2:$V$429, $S$2:$S$429&lt;4.5), $V38), 1)"),0.699)</f>
        <v>0.699</v>
      </c>
      <c r="AB38" s="55">
        <f>IFERROR(__xludf.DUMMYFUNCTION("iferror(PERCENTRANK.INC(FILTER($V$2:$V$429, $S$2:$S$429&gt;=4.1), $V38), 0.01)"),0.0)</f>
        <v>0</v>
      </c>
    </row>
    <row r="39" ht="14.25" customHeight="1">
      <c r="A39" s="25" t="s">
        <v>1305</v>
      </c>
      <c r="B39" s="25" t="s">
        <v>1306</v>
      </c>
      <c r="C39" s="25">
        <v>13.0</v>
      </c>
      <c r="D39" s="25" t="s">
        <v>1228</v>
      </c>
      <c r="E39" s="25" t="s">
        <v>135</v>
      </c>
      <c r="F39" s="25">
        <v>23.0</v>
      </c>
      <c r="G39" s="25">
        <v>14.0</v>
      </c>
      <c r="H39" s="25">
        <v>97.0</v>
      </c>
      <c r="I39" s="25">
        <v>6.9</v>
      </c>
      <c r="J39" s="25">
        <v>2.0</v>
      </c>
      <c r="K39" s="36">
        <v>3.81</v>
      </c>
      <c r="L39" s="36">
        <v>11.49</v>
      </c>
      <c r="M39" s="15"/>
      <c r="N39" s="16" t="s">
        <v>1307</v>
      </c>
      <c r="O39" s="16" t="s">
        <v>1308</v>
      </c>
      <c r="P39" s="16" t="s">
        <v>135</v>
      </c>
      <c r="Q39" s="38">
        <v>3.81</v>
      </c>
      <c r="R39" s="16">
        <v>3.68</v>
      </c>
      <c r="S39" s="16">
        <v>4.42</v>
      </c>
      <c r="T39" s="16">
        <v>-2.0</v>
      </c>
      <c r="U39" s="54">
        <f t="array" ref="U39">XLOOKUP(E39, 'Conference Match'!$A$2:$A$40,'Conference Match'!$C$2:$C$40)</f>
        <v>1</v>
      </c>
      <c r="V39" s="55">
        <f t="shared" si="1"/>
        <v>4.2175</v>
      </c>
      <c r="W39" s="55">
        <f>100*(V39-MIN($V$2:$V$572))/(MAX($V$2:$V$572) - MIN($V$2:$V$572))</f>
        <v>81.03526553</v>
      </c>
      <c r="X39" s="55">
        <f t="shared" si="3"/>
        <v>69.54526553</v>
      </c>
      <c r="Y39" s="52"/>
      <c r="Z39" s="55">
        <f>IFERROR(__xludf.DUMMYFUNCTION("iferror(PERCENTRANK.INC(FILTER($V$2:$V$429, $S$2:$S$429&lt;3.75), $V39), 1)"),1.0)</f>
        <v>1</v>
      </c>
      <c r="AA39" s="55">
        <f>IFERROR(__xludf.DUMMYFUNCTION("iferror(PERCENTRANK.INC(FILTER($V$2:$V$429, $S$2:$S$429&lt;4.5), $V39), 1)"),0.886)</f>
        <v>0.886</v>
      </c>
      <c r="AB39" s="55">
        <f>IFERROR(__xludf.DUMMYFUNCTION("iferror(PERCENTRANK.INC(FILTER($V$2:$V$429, $S$2:$S$429&gt;=4.1), $V39), 0.01)"),0.545)</f>
        <v>0.545</v>
      </c>
    </row>
    <row r="40" ht="14.25" customHeight="1">
      <c r="A40" s="14" t="s">
        <v>1309</v>
      </c>
      <c r="B40" s="14" t="s">
        <v>184</v>
      </c>
      <c r="C40" s="14">
        <v>8.0</v>
      </c>
      <c r="D40" s="14" t="s">
        <v>1228</v>
      </c>
      <c r="E40" s="14" t="s">
        <v>158</v>
      </c>
      <c r="F40" s="14">
        <v>21.0</v>
      </c>
      <c r="G40" s="14">
        <v>15.0</v>
      </c>
      <c r="H40" s="14">
        <v>146.0</v>
      </c>
      <c r="I40" s="14">
        <v>9.7</v>
      </c>
      <c r="J40" s="14">
        <v>1.0</v>
      </c>
      <c r="K40" s="20">
        <v>4.5806743824849345</v>
      </c>
      <c r="L40" s="20">
        <v>31.279903660498952</v>
      </c>
      <c r="M40" s="15"/>
      <c r="N40" s="14" t="s">
        <v>1309</v>
      </c>
      <c r="O40" s="14" t="s">
        <v>1310</v>
      </c>
      <c r="P40" s="14" t="s">
        <v>1230</v>
      </c>
      <c r="Q40" s="20">
        <v>4.5806743824849345</v>
      </c>
      <c r="R40" s="14">
        <v>0.77</v>
      </c>
      <c r="U40" s="14">
        <f t="array" ref="U40">XLOOKUP(E40, 'Conference Match'!$A$2:$A$40,'Conference Match'!$C$2:$C$40)</f>
        <v>0.95</v>
      </c>
      <c r="V40" s="20">
        <f t="shared" si="1"/>
        <v>0.7682460995</v>
      </c>
      <c r="W40" s="20">
        <f t="shared" ref="W40:W41" si="5">100*(V40-MIN($V$2:$V$572))/(MAX($V$2:$V$572) - MIN($V$2:$V$572))</f>
        <v>0</v>
      </c>
      <c r="X40" s="20">
        <f t="shared" si="3"/>
        <v>-31.27990366</v>
      </c>
      <c r="Z40" s="20">
        <f>IFERROR(__xludf.DUMMYFUNCTION("iferror(PERCENTRANK.INC(FILTER($V$2:$V$429, $S$2:$S$429&lt;3.75), $V40), 1)"),0.0)</f>
        <v>0</v>
      </c>
      <c r="AA40" s="20">
        <f>IFERROR(__xludf.DUMMYFUNCTION("iferror(PERCENTRANK.INC(FILTER($V$2:$V$429, $S$2:$S$429&lt;4.5), $V40), 1)"),0.0)</f>
        <v>0</v>
      </c>
      <c r="AB40" s="20">
        <f>IFERROR(__xludf.DUMMYFUNCTION("iferror(PERCENTRANK.INC(FILTER($V$2:$V$429, $S$2:$S$429&gt;=4.1), $V40), 0.01)"),0.01)</f>
        <v>0.01</v>
      </c>
    </row>
    <row r="41" ht="14.25" customHeight="1">
      <c r="A41" s="14" t="s">
        <v>1311</v>
      </c>
      <c r="B41" s="14" t="s">
        <v>439</v>
      </c>
      <c r="C41" s="14">
        <v>85.0</v>
      </c>
      <c r="D41" s="14" t="s">
        <v>1228</v>
      </c>
      <c r="E41" s="14" t="s">
        <v>147</v>
      </c>
      <c r="F41" s="14">
        <v>24.0</v>
      </c>
      <c r="G41" s="14">
        <v>20.0</v>
      </c>
      <c r="H41" s="14">
        <v>211.0</v>
      </c>
      <c r="I41" s="14">
        <v>10.6</v>
      </c>
      <c r="J41" s="14">
        <v>2.0</v>
      </c>
      <c r="K41" s="20">
        <v>5.26410653870387</v>
      </c>
      <c r="L41" s="20">
        <v>39.44813633769223</v>
      </c>
      <c r="M41" s="15"/>
      <c r="N41" s="14" t="s">
        <v>1311</v>
      </c>
      <c r="O41" s="14" t="s">
        <v>1312</v>
      </c>
      <c r="P41" s="14" t="s">
        <v>1284</v>
      </c>
      <c r="Q41" s="20">
        <v>5.26410653870387</v>
      </c>
      <c r="R41" s="14">
        <v>1.37</v>
      </c>
      <c r="S41" s="16">
        <v>4.23</v>
      </c>
      <c r="T41" s="16">
        <v>-8.7</v>
      </c>
      <c r="U41" s="14">
        <f t="array" ref="U41">XLOOKUP(E41, 'Conference Match'!$A$2:$A$40,'Conference Match'!$C$2:$C$40)</f>
        <v>0.95</v>
      </c>
      <c r="V41" s="20">
        <f t="shared" si="1"/>
        <v>3.916635182</v>
      </c>
      <c r="W41" s="20">
        <f t="shared" si="5"/>
        <v>73.96687882</v>
      </c>
      <c r="X41" s="20">
        <f t="shared" si="3"/>
        <v>34.51874248</v>
      </c>
      <c r="Z41" s="20">
        <f>IFERROR(__xludf.DUMMYFUNCTION("iferror(PERCENTRANK.INC(FILTER($V$2:$V$429, $S$2:$S$429&lt;3.75), $V41), 1)"),1.0)</f>
        <v>1</v>
      </c>
      <c r="AA41" s="20">
        <f>IFERROR(__xludf.DUMMYFUNCTION("iferror(PERCENTRANK.INC(FILTER($V$2:$V$429, $S$2:$S$429&lt;4.5), $V41), 1)"),0.714)</f>
        <v>0.714</v>
      </c>
      <c r="AB41" s="20">
        <f>IFERROR(__xludf.DUMMYFUNCTION("iferror(PERCENTRANK.INC(FILTER($V$2:$V$429, $S$2:$S$429&gt;=4.1), $V41), 0.01)"),0.091)</f>
        <v>0.091</v>
      </c>
    </row>
    <row r="42">
      <c r="M42" s="15"/>
    </row>
    <row r="43" ht="14.25" customHeight="1">
      <c r="M43" s="15"/>
    </row>
    <row r="44" ht="14.25" customHeight="1">
      <c r="M44" s="15"/>
    </row>
    <row r="45" ht="14.25" customHeight="1">
      <c r="M45" s="15"/>
    </row>
    <row r="46" ht="14.25" customHeight="1">
      <c r="M46" s="15"/>
    </row>
    <row r="47" ht="14.25" customHeight="1">
      <c r="M47" s="15"/>
    </row>
    <row r="48" ht="14.25" customHeight="1">
      <c r="M48" s="15"/>
    </row>
    <row r="49" ht="14.25" customHeight="1">
      <c r="M49" s="15"/>
    </row>
    <row r="50" ht="14.25" customHeight="1">
      <c r="M50" s="15"/>
    </row>
    <row r="51" ht="14.25" customHeight="1">
      <c r="M51" s="15"/>
    </row>
    <row r="52" ht="14.25" customHeight="1">
      <c r="M52" s="15"/>
    </row>
    <row r="53" ht="14.25" customHeight="1">
      <c r="M53" s="15"/>
    </row>
    <row r="54" ht="14.25" customHeight="1">
      <c r="M54" s="15"/>
    </row>
    <row r="55" ht="14.25" customHeight="1">
      <c r="M55" s="15"/>
    </row>
    <row r="56" ht="14.25" customHeight="1">
      <c r="M56" s="15"/>
    </row>
    <row r="57" ht="14.25" customHeight="1">
      <c r="M57" s="15"/>
    </row>
    <row r="58" ht="14.25" customHeight="1">
      <c r="M58" s="15"/>
    </row>
    <row r="59" ht="14.25" customHeight="1">
      <c r="M59" s="15"/>
    </row>
    <row r="60" ht="14.25" customHeight="1">
      <c r="M60" s="15"/>
    </row>
    <row r="61" ht="14.25" customHeight="1">
      <c r="M61" s="15"/>
    </row>
    <row r="62" ht="14.25" customHeight="1">
      <c r="M62" s="15"/>
    </row>
    <row r="63" ht="14.25" customHeight="1">
      <c r="M63" s="15"/>
    </row>
    <row r="64" ht="14.25" customHeight="1">
      <c r="M64" s="15"/>
    </row>
    <row r="65" ht="14.25" customHeight="1">
      <c r="M65" s="15"/>
    </row>
    <row r="66" ht="14.25" customHeight="1">
      <c r="M66" s="15"/>
    </row>
    <row r="67" ht="14.25" customHeight="1">
      <c r="M67" s="15"/>
    </row>
    <row r="68" ht="14.25" customHeight="1">
      <c r="M68" s="15"/>
    </row>
    <row r="69" ht="14.25" customHeight="1">
      <c r="M69" s="15"/>
    </row>
    <row r="70" ht="14.25" customHeight="1">
      <c r="M70" s="15"/>
    </row>
    <row r="71" ht="14.25" customHeight="1">
      <c r="M71" s="15"/>
    </row>
    <row r="72" ht="14.25" customHeight="1">
      <c r="M72" s="15"/>
    </row>
    <row r="73" ht="14.25" customHeight="1">
      <c r="M73" s="15"/>
    </row>
    <row r="74" ht="14.25" customHeight="1">
      <c r="M74" s="15"/>
    </row>
    <row r="75" ht="14.25" customHeight="1">
      <c r="M75" s="15"/>
    </row>
    <row r="76" ht="14.25" customHeight="1">
      <c r="M76" s="15"/>
    </row>
    <row r="77" ht="14.25" customHeight="1">
      <c r="M77" s="15"/>
    </row>
    <row r="78" ht="14.25" customHeight="1">
      <c r="M78" s="15"/>
    </row>
    <row r="79" ht="14.25" customHeight="1">
      <c r="M79" s="15"/>
    </row>
    <row r="80" ht="14.25" customHeight="1">
      <c r="M80" s="15"/>
    </row>
    <row r="81" ht="14.25" customHeight="1">
      <c r="M81" s="15"/>
    </row>
    <row r="82" ht="14.25" customHeight="1">
      <c r="M82" s="15"/>
    </row>
    <row r="83" ht="14.25" customHeight="1">
      <c r="M83" s="15"/>
    </row>
    <row r="84" ht="14.25" customHeight="1">
      <c r="M84" s="15"/>
    </row>
    <row r="85" ht="14.25" customHeight="1">
      <c r="M85" s="15"/>
    </row>
    <row r="86" ht="14.25" customHeight="1">
      <c r="M86" s="15"/>
    </row>
    <row r="87" ht="14.25" customHeight="1">
      <c r="M87" s="15"/>
    </row>
    <row r="88" ht="14.25" customHeight="1">
      <c r="M88" s="15"/>
    </row>
    <row r="89" ht="14.25" customHeight="1">
      <c r="M89" s="15"/>
    </row>
    <row r="90" ht="14.25" customHeight="1">
      <c r="M90" s="15"/>
    </row>
    <row r="91" ht="14.25" customHeight="1">
      <c r="M91" s="15"/>
    </row>
    <row r="92" ht="14.25" customHeight="1">
      <c r="M92" s="15"/>
    </row>
    <row r="93" ht="14.25" customHeight="1">
      <c r="M93" s="15"/>
    </row>
    <row r="94" ht="14.25" customHeight="1">
      <c r="M94" s="15"/>
    </row>
    <row r="95" ht="14.25" customHeight="1">
      <c r="M95" s="15"/>
    </row>
    <row r="96" ht="14.25" customHeight="1">
      <c r="M96" s="15"/>
    </row>
    <row r="97" ht="14.25" customHeight="1">
      <c r="M97" s="15"/>
    </row>
    <row r="98" ht="14.25" customHeight="1">
      <c r="M98" s="15"/>
    </row>
    <row r="99" ht="14.25" customHeight="1">
      <c r="M99" s="15"/>
    </row>
    <row r="100" ht="14.25" customHeight="1">
      <c r="M100" s="15"/>
    </row>
    <row r="101" ht="14.25" customHeight="1">
      <c r="M101" s="15"/>
    </row>
    <row r="102" ht="14.25" customHeight="1">
      <c r="M102" s="15"/>
    </row>
    <row r="103" ht="14.25" customHeight="1">
      <c r="M103" s="15"/>
    </row>
    <row r="104" ht="14.25" customHeight="1">
      <c r="M104" s="15"/>
    </row>
    <row r="105" ht="14.25" customHeight="1">
      <c r="M105" s="15"/>
    </row>
    <row r="106" ht="14.25" customHeight="1">
      <c r="M106" s="15"/>
    </row>
    <row r="107" ht="14.25" customHeight="1">
      <c r="M107" s="15"/>
    </row>
    <row r="108" ht="14.25" customHeight="1">
      <c r="M108" s="15"/>
    </row>
    <row r="109" ht="14.25" customHeight="1">
      <c r="M109" s="15"/>
    </row>
    <row r="110" ht="14.25" customHeight="1">
      <c r="M110" s="15"/>
    </row>
    <row r="111" ht="14.25" customHeight="1">
      <c r="M111" s="15"/>
    </row>
    <row r="112" ht="14.25" customHeight="1">
      <c r="M112" s="15"/>
    </row>
    <row r="113" ht="14.25" customHeight="1">
      <c r="M113" s="15"/>
    </row>
    <row r="114" ht="14.25" customHeight="1">
      <c r="M114" s="15"/>
    </row>
    <row r="115" ht="14.25" customHeight="1">
      <c r="M115" s="15"/>
    </row>
    <row r="116" ht="14.25" customHeight="1">
      <c r="M116" s="15"/>
    </row>
    <row r="117" ht="14.25" customHeight="1">
      <c r="M117" s="15"/>
    </row>
    <row r="118" ht="14.25" customHeight="1">
      <c r="M118" s="15"/>
    </row>
    <row r="119" ht="14.25" customHeight="1">
      <c r="M119" s="15"/>
    </row>
    <row r="120" ht="14.25" customHeight="1">
      <c r="M120" s="15"/>
    </row>
    <row r="121" ht="14.25" customHeight="1">
      <c r="M121" s="15"/>
    </row>
    <row r="122" ht="14.25" customHeight="1">
      <c r="M122" s="15"/>
    </row>
    <row r="123" ht="14.25" customHeight="1">
      <c r="M123" s="15"/>
    </row>
    <row r="124" ht="14.25" customHeight="1">
      <c r="M124" s="15"/>
    </row>
    <row r="125" ht="14.25" customHeight="1">
      <c r="M125" s="15"/>
    </row>
    <row r="126" ht="14.25" customHeight="1">
      <c r="M126" s="15"/>
    </row>
    <row r="127" ht="14.25" customHeight="1">
      <c r="M127" s="15"/>
    </row>
    <row r="128" ht="14.25" customHeight="1">
      <c r="M128" s="15"/>
    </row>
    <row r="129" ht="14.25" customHeight="1">
      <c r="M129" s="15"/>
    </row>
    <row r="130" ht="14.25" customHeight="1">
      <c r="M130" s="15"/>
    </row>
    <row r="131" ht="14.25" customHeight="1">
      <c r="M131" s="15"/>
    </row>
    <row r="132" ht="14.25" customHeight="1">
      <c r="M132" s="15"/>
    </row>
    <row r="133" ht="14.25" customHeight="1">
      <c r="M133" s="15"/>
    </row>
    <row r="134" ht="14.25" customHeight="1">
      <c r="M134" s="15"/>
    </row>
    <row r="135" ht="14.25" customHeight="1">
      <c r="M135" s="15"/>
    </row>
    <row r="136" ht="14.25" customHeight="1">
      <c r="M136" s="15"/>
    </row>
    <row r="137" ht="14.25" customHeight="1">
      <c r="M137" s="15"/>
    </row>
    <row r="138" ht="14.25" customHeight="1">
      <c r="M138" s="15"/>
    </row>
    <row r="139" ht="14.25" customHeight="1">
      <c r="M139" s="15"/>
    </row>
    <row r="140" ht="14.25" customHeight="1">
      <c r="M140" s="15"/>
    </row>
    <row r="141" ht="14.25" customHeight="1">
      <c r="M141" s="15"/>
    </row>
    <row r="142" ht="14.25" customHeight="1">
      <c r="M142" s="15"/>
    </row>
    <row r="143" ht="14.25" customHeight="1">
      <c r="M143" s="15"/>
    </row>
    <row r="144" ht="14.25" customHeight="1">
      <c r="M144" s="15"/>
    </row>
    <row r="145" ht="14.25" customHeight="1">
      <c r="M145" s="15"/>
    </row>
    <row r="146" ht="14.25" customHeight="1">
      <c r="M146" s="15"/>
    </row>
    <row r="147" ht="14.25" customHeight="1">
      <c r="M147" s="15"/>
    </row>
    <row r="148" ht="14.25" customHeight="1">
      <c r="M148" s="15"/>
    </row>
    <row r="149" ht="14.25" customHeight="1">
      <c r="M149" s="15"/>
    </row>
    <row r="150" ht="14.25" customHeight="1">
      <c r="M150" s="15"/>
    </row>
    <row r="151" ht="14.25" customHeight="1">
      <c r="M151" s="15"/>
    </row>
    <row r="152" ht="14.25" customHeight="1">
      <c r="M152" s="15"/>
    </row>
    <row r="153" ht="14.25" customHeight="1">
      <c r="M153" s="15"/>
    </row>
    <row r="154" ht="14.25" customHeight="1">
      <c r="M154" s="15"/>
    </row>
    <row r="155" ht="14.25" customHeight="1">
      <c r="M155" s="15"/>
    </row>
    <row r="156" ht="14.25" customHeight="1">
      <c r="M156" s="15"/>
    </row>
    <row r="157" ht="14.25" customHeight="1">
      <c r="M157" s="15"/>
    </row>
    <row r="158" ht="14.25" customHeight="1">
      <c r="M158" s="15"/>
    </row>
    <row r="159" ht="14.25" customHeight="1">
      <c r="M159" s="15"/>
    </row>
    <row r="160" ht="14.25" customHeight="1">
      <c r="M160" s="15"/>
    </row>
    <row r="161" ht="14.25" customHeight="1">
      <c r="M161" s="15"/>
    </row>
    <row r="162" ht="14.25" customHeight="1">
      <c r="M162" s="15"/>
    </row>
    <row r="163" ht="14.25" customHeight="1">
      <c r="M163" s="15"/>
    </row>
    <row r="164" ht="14.25" customHeight="1">
      <c r="M164" s="15"/>
    </row>
    <row r="165" ht="14.25" customHeight="1">
      <c r="M165" s="15"/>
    </row>
    <row r="166" ht="14.25" customHeight="1">
      <c r="M166" s="15"/>
    </row>
    <row r="167" ht="14.25" customHeight="1">
      <c r="M167" s="15"/>
    </row>
    <row r="168" ht="14.25" customHeight="1">
      <c r="M168" s="15"/>
    </row>
    <row r="169" ht="14.25" customHeight="1">
      <c r="M169" s="15"/>
    </row>
    <row r="170" ht="14.25" customHeight="1">
      <c r="M170" s="15"/>
    </row>
    <row r="171" ht="14.25" customHeight="1">
      <c r="M171" s="15"/>
    </row>
    <row r="172" ht="14.25" customHeight="1">
      <c r="M172" s="15"/>
    </row>
    <row r="173" ht="14.25" customHeight="1">
      <c r="M173" s="15"/>
    </row>
    <row r="174" ht="14.25" customHeight="1">
      <c r="M174" s="15"/>
    </row>
    <row r="175" ht="14.25" customHeight="1">
      <c r="M175" s="15"/>
    </row>
    <row r="176" ht="14.25" customHeight="1">
      <c r="M176" s="15"/>
    </row>
    <row r="177" ht="14.25" customHeight="1">
      <c r="M177" s="15"/>
    </row>
    <row r="178" ht="14.25" customHeight="1">
      <c r="M178" s="15"/>
    </row>
    <row r="179" ht="14.25" customHeight="1">
      <c r="M179" s="15"/>
    </row>
    <row r="180" ht="14.25" customHeight="1">
      <c r="M180" s="15"/>
    </row>
    <row r="181" ht="14.25" customHeight="1">
      <c r="M181" s="15"/>
    </row>
    <row r="182" ht="14.25" customHeight="1">
      <c r="M182" s="15"/>
    </row>
    <row r="183" ht="14.25" customHeight="1">
      <c r="M183" s="15"/>
    </row>
    <row r="184" ht="14.25" customHeight="1">
      <c r="M184" s="15"/>
    </row>
    <row r="185" ht="14.25" customHeight="1">
      <c r="M185" s="15"/>
    </row>
    <row r="186" ht="14.25" customHeight="1">
      <c r="M186" s="15"/>
    </row>
    <row r="187" ht="14.25" customHeight="1">
      <c r="M187" s="15"/>
    </row>
    <row r="188" ht="14.25" customHeight="1">
      <c r="M188" s="15"/>
    </row>
    <row r="189" ht="14.25" customHeight="1">
      <c r="M189" s="15"/>
    </row>
    <row r="190" ht="14.25" customHeight="1">
      <c r="M190" s="15"/>
    </row>
    <row r="191" ht="14.25" customHeight="1">
      <c r="M191" s="15"/>
    </row>
    <row r="192" ht="14.25" customHeight="1">
      <c r="M192" s="15"/>
    </row>
    <row r="193" ht="14.25" customHeight="1">
      <c r="M193" s="15"/>
    </row>
    <row r="194" ht="14.25" customHeight="1">
      <c r="M194" s="15"/>
    </row>
    <row r="195" ht="14.25" customHeight="1">
      <c r="M195" s="15"/>
    </row>
    <row r="196" ht="14.25" customHeight="1">
      <c r="M196" s="15"/>
    </row>
    <row r="197" ht="14.25" customHeight="1">
      <c r="M197" s="15"/>
    </row>
    <row r="198" ht="14.25" customHeight="1">
      <c r="M198" s="15"/>
    </row>
    <row r="199" ht="14.25" customHeight="1">
      <c r="M199" s="15"/>
    </row>
    <row r="200" ht="14.25" customHeight="1">
      <c r="M200" s="15"/>
    </row>
    <row r="201" ht="14.25" customHeight="1">
      <c r="M201" s="15"/>
    </row>
    <row r="202" ht="14.25" customHeight="1">
      <c r="M202" s="15"/>
    </row>
    <row r="203" ht="14.25" customHeight="1">
      <c r="M203" s="15"/>
    </row>
    <row r="204" ht="14.25" customHeight="1">
      <c r="M204" s="15"/>
    </row>
    <row r="205" ht="14.25" customHeight="1">
      <c r="M205" s="15"/>
    </row>
    <row r="206" ht="14.25" customHeight="1">
      <c r="M206" s="15"/>
    </row>
    <row r="207" ht="14.25" customHeight="1">
      <c r="M207" s="15"/>
    </row>
    <row r="208" ht="14.25" customHeight="1">
      <c r="M208" s="15"/>
    </row>
    <row r="209" ht="14.25" customHeight="1">
      <c r="M209" s="15"/>
    </row>
    <row r="210" ht="14.25" customHeight="1">
      <c r="M210" s="15"/>
    </row>
    <row r="211" ht="14.25" customHeight="1">
      <c r="M211" s="15"/>
    </row>
    <row r="212" ht="14.25" customHeight="1">
      <c r="M212" s="15"/>
    </row>
    <row r="213" ht="14.25" customHeight="1">
      <c r="M213" s="15"/>
    </row>
    <row r="214" ht="14.25" customHeight="1">
      <c r="M214" s="15"/>
    </row>
    <row r="215" ht="14.25" customHeight="1">
      <c r="M215" s="15"/>
    </row>
    <row r="216" ht="14.25" customHeight="1">
      <c r="M216" s="15"/>
    </row>
    <row r="217" ht="14.25" customHeight="1">
      <c r="M217" s="15"/>
    </row>
    <row r="218" ht="14.25" customHeight="1">
      <c r="M218" s="15"/>
    </row>
    <row r="219" ht="14.25" customHeight="1">
      <c r="M219" s="15"/>
    </row>
    <row r="220" ht="14.25" customHeight="1">
      <c r="M220" s="15"/>
    </row>
    <row r="221" ht="14.25" customHeight="1">
      <c r="M221" s="15"/>
    </row>
    <row r="222" ht="14.25" customHeight="1">
      <c r="M222" s="15"/>
    </row>
    <row r="223" ht="14.25" customHeight="1">
      <c r="M223" s="15"/>
    </row>
    <row r="224" ht="14.25" customHeight="1">
      <c r="M224" s="15"/>
    </row>
    <row r="225" ht="14.25" customHeight="1">
      <c r="M225" s="15"/>
    </row>
    <row r="226" ht="14.25" customHeight="1">
      <c r="M226" s="15"/>
    </row>
    <row r="227" ht="14.25" customHeight="1">
      <c r="M227" s="15"/>
    </row>
    <row r="228" ht="14.25" customHeight="1">
      <c r="M228" s="15"/>
    </row>
    <row r="229" ht="14.25" customHeight="1">
      <c r="M229" s="15"/>
    </row>
    <row r="230" ht="14.25" customHeight="1">
      <c r="M230" s="15"/>
    </row>
    <row r="231" ht="14.25" customHeight="1">
      <c r="M231" s="15"/>
    </row>
    <row r="232" ht="14.25" customHeight="1">
      <c r="M232" s="15"/>
    </row>
    <row r="233" ht="14.25" customHeight="1">
      <c r="M233" s="15"/>
    </row>
    <row r="234" ht="14.25" customHeight="1">
      <c r="M234" s="15"/>
    </row>
    <row r="235" ht="14.25" customHeight="1">
      <c r="M235" s="15"/>
    </row>
    <row r="236" ht="14.25" customHeight="1">
      <c r="M236" s="15"/>
    </row>
    <row r="237" ht="14.25" customHeight="1">
      <c r="M237" s="15"/>
    </row>
    <row r="238" ht="14.25" customHeight="1">
      <c r="M238" s="15"/>
    </row>
    <row r="239" ht="14.25" customHeight="1">
      <c r="M239" s="15"/>
    </row>
    <row r="240" ht="14.25" customHeight="1">
      <c r="M240" s="15"/>
    </row>
    <row r="241" ht="14.25" customHeight="1">
      <c r="M241" s="15"/>
    </row>
    <row r="242" ht="14.25" customHeight="1">
      <c r="M242" s="15"/>
    </row>
    <row r="243" ht="14.25" customHeight="1">
      <c r="M243" s="15"/>
    </row>
    <row r="244" ht="14.25" customHeight="1">
      <c r="M244" s="15"/>
    </row>
    <row r="245" ht="14.25" customHeight="1">
      <c r="M245" s="15"/>
    </row>
    <row r="246" ht="14.25" customHeight="1">
      <c r="M246" s="15"/>
    </row>
    <row r="247" ht="14.25" customHeight="1">
      <c r="M247" s="15"/>
    </row>
    <row r="248" ht="14.25" customHeight="1">
      <c r="M248" s="15"/>
    </row>
    <row r="249" ht="14.25" customHeight="1">
      <c r="M249" s="15"/>
    </row>
    <row r="250" ht="14.25" customHeight="1">
      <c r="M250" s="15"/>
    </row>
    <row r="251" ht="14.25" customHeight="1">
      <c r="M251" s="15"/>
    </row>
    <row r="252" ht="14.25" customHeight="1">
      <c r="M252" s="15"/>
    </row>
    <row r="253" ht="14.25" customHeight="1">
      <c r="M253" s="15"/>
    </row>
    <row r="254" ht="14.25" customHeight="1">
      <c r="M254" s="15"/>
    </row>
    <row r="255" ht="14.25" customHeight="1">
      <c r="M255" s="15"/>
    </row>
    <row r="256" ht="14.25" customHeight="1">
      <c r="M256" s="15"/>
    </row>
    <row r="257" ht="14.25" customHeight="1">
      <c r="M257" s="15"/>
    </row>
    <row r="258" ht="14.25" customHeight="1">
      <c r="M258" s="15"/>
    </row>
    <row r="259" ht="14.25" customHeight="1">
      <c r="M259" s="15"/>
    </row>
    <row r="260" ht="14.25" customHeight="1">
      <c r="M260" s="15"/>
    </row>
    <row r="261" ht="14.25" customHeight="1">
      <c r="M261" s="15"/>
    </row>
    <row r="262" ht="14.25" customHeight="1">
      <c r="M262" s="15"/>
    </row>
    <row r="263" ht="14.25" customHeight="1">
      <c r="M263" s="15"/>
    </row>
    <row r="264" ht="14.25" customHeight="1">
      <c r="M264" s="15"/>
    </row>
    <row r="265" ht="14.25" customHeight="1">
      <c r="M265" s="15"/>
    </row>
    <row r="266" ht="14.25" customHeight="1">
      <c r="M266" s="15"/>
    </row>
    <row r="267" ht="14.25" customHeight="1">
      <c r="M267" s="15"/>
    </row>
    <row r="268" ht="14.25" customHeight="1">
      <c r="M268" s="15"/>
    </row>
    <row r="269" ht="14.25" customHeight="1">
      <c r="M269" s="15"/>
    </row>
    <row r="270" ht="14.25" customHeight="1">
      <c r="M270" s="15"/>
    </row>
    <row r="271" ht="14.25" customHeight="1">
      <c r="M271" s="15"/>
    </row>
    <row r="272" ht="14.25" customHeight="1">
      <c r="M272" s="15"/>
    </row>
    <row r="273" ht="14.25" customHeight="1">
      <c r="M273" s="15"/>
    </row>
    <row r="274" ht="14.25" customHeight="1">
      <c r="M274" s="15"/>
    </row>
    <row r="275" ht="14.25" customHeight="1">
      <c r="M275" s="15"/>
    </row>
    <row r="276" ht="14.25" customHeight="1">
      <c r="M276" s="15"/>
    </row>
    <row r="277" ht="14.25" customHeight="1">
      <c r="M277" s="15"/>
    </row>
    <row r="278" ht="14.25" customHeight="1">
      <c r="M278" s="15"/>
    </row>
    <row r="279" ht="14.25" customHeight="1">
      <c r="M279" s="15"/>
    </row>
    <row r="280" ht="14.25" customHeight="1">
      <c r="M280" s="15"/>
    </row>
    <row r="281" ht="14.25" customHeight="1">
      <c r="M281" s="15"/>
    </row>
    <row r="282" ht="14.25" customHeight="1">
      <c r="M282" s="15"/>
    </row>
    <row r="283" ht="14.25" customHeight="1">
      <c r="M283" s="15"/>
    </row>
    <row r="284" ht="14.25" customHeight="1">
      <c r="M284" s="15"/>
    </row>
    <row r="285" ht="14.25" customHeight="1">
      <c r="M285" s="15"/>
    </row>
    <row r="286" ht="14.25" customHeight="1">
      <c r="M286" s="15"/>
    </row>
    <row r="287" ht="14.25" customHeight="1">
      <c r="M287" s="15"/>
    </row>
    <row r="288" ht="14.25" customHeight="1">
      <c r="M288" s="15"/>
    </row>
    <row r="289" ht="14.25" customHeight="1">
      <c r="M289" s="15"/>
    </row>
    <row r="290" ht="14.25" customHeight="1">
      <c r="M290" s="15"/>
    </row>
    <row r="291" ht="14.25" customHeight="1">
      <c r="M291" s="15"/>
    </row>
    <row r="292" ht="14.25" customHeight="1">
      <c r="M292" s="15"/>
    </row>
    <row r="293" ht="14.25" customHeight="1">
      <c r="M293" s="15"/>
    </row>
    <row r="294" ht="14.25" customHeight="1">
      <c r="M294" s="15"/>
    </row>
    <row r="295" ht="14.25" customHeight="1">
      <c r="M295" s="15"/>
    </row>
    <row r="296" ht="14.25" customHeight="1">
      <c r="M296" s="15"/>
    </row>
    <row r="297" ht="14.25" customHeight="1">
      <c r="M297" s="15"/>
    </row>
    <row r="298" ht="14.25" customHeight="1">
      <c r="M298" s="15"/>
    </row>
    <row r="299" ht="14.25" customHeight="1">
      <c r="M299" s="15"/>
    </row>
    <row r="300" ht="14.25" customHeight="1">
      <c r="M300" s="15"/>
    </row>
    <row r="301" ht="14.25" customHeight="1">
      <c r="M301" s="15"/>
    </row>
    <row r="302" ht="14.25" customHeight="1">
      <c r="M302" s="15"/>
    </row>
    <row r="303" ht="14.25" customHeight="1">
      <c r="M303" s="15"/>
    </row>
    <row r="304" ht="14.25" customHeight="1">
      <c r="M304" s="15"/>
    </row>
    <row r="305" ht="14.25" customHeight="1">
      <c r="M305" s="15"/>
    </row>
    <row r="306" ht="14.25" customHeight="1">
      <c r="M306" s="15"/>
    </row>
    <row r="307" ht="14.25" customHeight="1">
      <c r="M307" s="15"/>
    </row>
    <row r="308" ht="14.25" customHeight="1">
      <c r="M308" s="15"/>
    </row>
    <row r="309" ht="14.25" customHeight="1">
      <c r="M309" s="15"/>
    </row>
    <row r="310" ht="14.25" customHeight="1">
      <c r="M310" s="15"/>
    </row>
    <row r="311" ht="14.25" customHeight="1">
      <c r="M311" s="15"/>
    </row>
    <row r="312" ht="14.25" customHeight="1">
      <c r="M312" s="15"/>
    </row>
    <row r="313" ht="14.25" customHeight="1">
      <c r="M313" s="15"/>
    </row>
    <row r="314" ht="14.25" customHeight="1">
      <c r="M314" s="15"/>
    </row>
    <row r="315" ht="14.25" customHeight="1">
      <c r="M315" s="15"/>
    </row>
    <row r="316" ht="14.25" customHeight="1">
      <c r="M316" s="15"/>
    </row>
    <row r="317" ht="14.25" customHeight="1">
      <c r="M317" s="15"/>
    </row>
    <row r="318" ht="14.25" customHeight="1">
      <c r="M318" s="15"/>
    </row>
    <row r="319" ht="14.25" customHeight="1">
      <c r="M319" s="15"/>
    </row>
    <row r="320" ht="14.25" customHeight="1">
      <c r="M320" s="15"/>
    </row>
    <row r="321" ht="14.25" customHeight="1">
      <c r="M321" s="15"/>
    </row>
    <row r="322" ht="14.25" customHeight="1">
      <c r="M322" s="15"/>
    </row>
    <row r="323" ht="14.25" customHeight="1">
      <c r="M323" s="15"/>
    </row>
    <row r="324" ht="14.25" customHeight="1">
      <c r="M324" s="15"/>
    </row>
    <row r="325" ht="14.25" customHeight="1">
      <c r="M325" s="15"/>
    </row>
    <row r="326" ht="14.25" customHeight="1">
      <c r="M326" s="15"/>
    </row>
    <row r="327" ht="14.25" customHeight="1">
      <c r="M327" s="15"/>
    </row>
    <row r="328" ht="14.25" customHeight="1">
      <c r="M328" s="15"/>
    </row>
    <row r="329" ht="14.25" customHeight="1">
      <c r="M329" s="15"/>
    </row>
    <row r="330" ht="14.25" customHeight="1">
      <c r="M330" s="15"/>
    </row>
    <row r="331" ht="14.25" customHeight="1">
      <c r="M331" s="15"/>
    </row>
    <row r="332" ht="14.25" customHeight="1">
      <c r="M332" s="15"/>
    </row>
    <row r="333" ht="14.25" customHeight="1">
      <c r="M333" s="15"/>
    </row>
    <row r="334" ht="14.25" customHeight="1">
      <c r="M334" s="15"/>
    </row>
    <row r="335" ht="14.25" customHeight="1">
      <c r="M335" s="15"/>
    </row>
    <row r="336" ht="14.25" customHeight="1">
      <c r="M336" s="15"/>
    </row>
    <row r="337" ht="14.25" customHeight="1">
      <c r="M337" s="15"/>
    </row>
    <row r="338" ht="14.25" customHeight="1">
      <c r="M338" s="15"/>
    </row>
    <row r="339" ht="14.25" customHeight="1">
      <c r="M339" s="15"/>
    </row>
    <row r="340" ht="14.25" customHeight="1">
      <c r="M340" s="15"/>
    </row>
    <row r="341" ht="14.25" customHeight="1">
      <c r="M341" s="15"/>
    </row>
    <row r="342" ht="14.25" customHeight="1">
      <c r="M342" s="15"/>
    </row>
    <row r="343" ht="14.25" customHeight="1">
      <c r="M343" s="15"/>
    </row>
    <row r="344" ht="14.25" customHeight="1">
      <c r="M344" s="15"/>
    </row>
    <row r="345" ht="14.25" customHeight="1">
      <c r="M345" s="15"/>
    </row>
    <row r="346" ht="14.25" customHeight="1">
      <c r="M346" s="15"/>
    </row>
    <row r="347" ht="14.25" customHeight="1">
      <c r="M347" s="15"/>
    </row>
    <row r="348" ht="14.25" customHeight="1">
      <c r="M348" s="15"/>
    </row>
    <row r="349" ht="14.25" customHeight="1">
      <c r="M349" s="15"/>
    </row>
    <row r="350" ht="14.25" customHeight="1">
      <c r="M350" s="15"/>
    </row>
    <row r="351" ht="14.25" customHeight="1">
      <c r="M351" s="15"/>
    </row>
    <row r="352" ht="14.25" customHeight="1">
      <c r="M352" s="15"/>
    </row>
    <row r="353" ht="14.25" customHeight="1">
      <c r="M353" s="15"/>
    </row>
    <row r="354" ht="14.25" customHeight="1">
      <c r="M354" s="15"/>
    </row>
    <row r="355" ht="14.25" customHeight="1">
      <c r="M355" s="15"/>
    </row>
    <row r="356" ht="14.25" customHeight="1">
      <c r="M356" s="15"/>
    </row>
    <row r="357" ht="14.25" customHeight="1">
      <c r="M357" s="15"/>
    </row>
    <row r="358" ht="14.25" customHeight="1">
      <c r="M358" s="15"/>
    </row>
    <row r="359" ht="14.25" customHeight="1">
      <c r="M359" s="15"/>
    </row>
    <row r="360" ht="14.25" customHeight="1">
      <c r="M360" s="15"/>
    </row>
    <row r="361" ht="14.25" customHeight="1">
      <c r="M361" s="15"/>
    </row>
    <row r="362" ht="14.25" customHeight="1">
      <c r="M362" s="15"/>
    </row>
    <row r="363" ht="14.25" customHeight="1">
      <c r="M363" s="15"/>
    </row>
    <row r="364" ht="14.25" customHeight="1">
      <c r="M364" s="15"/>
    </row>
    <row r="365" ht="14.25" customHeight="1">
      <c r="M365" s="15"/>
    </row>
    <row r="366" ht="14.25" customHeight="1">
      <c r="M366" s="15"/>
    </row>
    <row r="367" ht="14.25" customHeight="1">
      <c r="M367" s="15"/>
    </row>
    <row r="368" ht="14.25" customHeight="1">
      <c r="M368" s="15"/>
    </row>
    <row r="369" ht="14.25" customHeight="1">
      <c r="M369" s="15"/>
    </row>
    <row r="370" ht="14.25" customHeight="1">
      <c r="M370" s="15"/>
    </row>
    <row r="371" ht="14.25" customHeight="1">
      <c r="M371" s="15"/>
    </row>
    <row r="372" ht="14.25" customHeight="1">
      <c r="M372" s="15"/>
    </row>
    <row r="373" ht="14.25" customHeight="1">
      <c r="M373" s="15"/>
    </row>
    <row r="374" ht="14.25" customHeight="1">
      <c r="M374" s="15"/>
    </row>
    <row r="375" ht="14.25" customHeight="1">
      <c r="M375" s="15"/>
    </row>
    <row r="376" ht="14.25" customHeight="1">
      <c r="M376" s="15"/>
    </row>
    <row r="377" ht="14.25" customHeight="1">
      <c r="M377" s="15"/>
    </row>
    <row r="378" ht="14.25" customHeight="1">
      <c r="M378" s="15"/>
    </row>
    <row r="379" ht="14.25" customHeight="1">
      <c r="M379" s="15"/>
    </row>
    <row r="380" ht="14.25" customHeight="1">
      <c r="M380" s="15"/>
    </row>
    <row r="381" ht="14.25" customHeight="1">
      <c r="M381" s="15"/>
    </row>
    <row r="382" ht="14.25" customHeight="1">
      <c r="M382" s="15"/>
    </row>
    <row r="383" ht="14.25" customHeight="1">
      <c r="M383" s="15"/>
    </row>
    <row r="384" ht="14.25" customHeight="1">
      <c r="M384" s="15"/>
    </row>
    <row r="385" ht="14.25" customHeight="1">
      <c r="M385" s="15"/>
    </row>
    <row r="386" ht="14.25" customHeight="1">
      <c r="M386" s="15"/>
    </row>
    <row r="387" ht="14.25" customHeight="1">
      <c r="M387" s="15"/>
    </row>
    <row r="388" ht="14.25" customHeight="1">
      <c r="M388" s="15"/>
    </row>
    <row r="389" ht="14.25" customHeight="1">
      <c r="M389" s="15"/>
    </row>
    <row r="390" ht="14.25" customHeight="1">
      <c r="M390" s="15"/>
    </row>
    <row r="391" ht="14.25" customHeight="1">
      <c r="M391" s="15"/>
    </row>
    <row r="392" ht="14.25" customHeight="1">
      <c r="M392" s="15"/>
    </row>
    <row r="393" ht="14.25" customHeight="1">
      <c r="M393" s="15"/>
    </row>
    <row r="394" ht="14.25" customHeight="1">
      <c r="M394" s="15"/>
    </row>
    <row r="395" ht="14.25" customHeight="1">
      <c r="M395" s="15"/>
    </row>
    <row r="396" ht="14.25" customHeight="1">
      <c r="M396" s="15"/>
    </row>
    <row r="397" ht="14.25" customHeight="1">
      <c r="M397" s="15"/>
    </row>
    <row r="398" ht="14.25" customHeight="1">
      <c r="M398" s="15"/>
    </row>
    <row r="399" ht="14.25" customHeight="1">
      <c r="M399" s="15"/>
    </row>
    <row r="400" ht="14.25" customHeight="1">
      <c r="M400" s="15"/>
    </row>
    <row r="401" ht="14.25" customHeight="1">
      <c r="M401" s="15"/>
    </row>
    <row r="402" ht="14.25" customHeight="1">
      <c r="M402" s="15"/>
    </row>
    <row r="403" ht="14.25" customHeight="1">
      <c r="M403" s="15"/>
    </row>
    <row r="404" ht="14.25" customHeight="1">
      <c r="M404" s="15"/>
    </row>
    <row r="405" ht="14.25" customHeight="1">
      <c r="M405" s="15"/>
    </row>
    <row r="406" ht="14.25" customHeight="1">
      <c r="M406" s="15"/>
    </row>
    <row r="407" ht="14.25" customHeight="1">
      <c r="M407" s="15"/>
    </row>
    <row r="408" ht="14.25" customHeight="1">
      <c r="M408" s="15"/>
    </row>
    <row r="409" ht="14.25" customHeight="1">
      <c r="M409" s="15"/>
    </row>
    <row r="410" ht="14.25" customHeight="1">
      <c r="M410" s="15"/>
    </row>
    <row r="411" ht="14.25" customHeight="1">
      <c r="M411" s="15"/>
    </row>
    <row r="412" ht="14.25" customHeight="1">
      <c r="M412" s="15"/>
    </row>
    <row r="413" ht="14.25" customHeight="1">
      <c r="M413" s="15"/>
    </row>
    <row r="414" ht="14.25" customHeight="1">
      <c r="M414" s="15"/>
    </row>
    <row r="415" ht="14.25" customHeight="1">
      <c r="M415" s="15"/>
    </row>
    <row r="416" ht="14.25" customHeight="1">
      <c r="M416" s="15"/>
    </row>
    <row r="417" ht="14.25" customHeight="1">
      <c r="M417" s="15"/>
    </row>
    <row r="418" ht="14.25" customHeight="1">
      <c r="M418" s="15"/>
    </row>
    <row r="419" ht="14.25" customHeight="1">
      <c r="M419" s="15"/>
    </row>
    <row r="420" ht="14.25" customHeight="1">
      <c r="M420" s="15"/>
    </row>
    <row r="421" ht="14.25" customHeight="1">
      <c r="M421" s="15"/>
    </row>
    <row r="422" ht="14.25" customHeight="1">
      <c r="M422" s="15"/>
    </row>
    <row r="423" ht="14.25" customHeight="1">
      <c r="M423" s="15"/>
    </row>
    <row r="424" ht="14.25" customHeight="1">
      <c r="M424" s="15"/>
    </row>
    <row r="425" ht="14.25" customHeight="1">
      <c r="M425" s="15"/>
    </row>
    <row r="426" ht="14.25" customHeight="1">
      <c r="M426" s="15"/>
    </row>
    <row r="427" ht="14.25" customHeight="1">
      <c r="M427" s="15"/>
    </row>
    <row r="428" ht="14.25" customHeight="1">
      <c r="M428" s="15"/>
    </row>
    <row r="429" ht="14.25" customHeight="1">
      <c r="M429" s="15"/>
    </row>
    <row r="430" ht="14.25" customHeight="1">
      <c r="M430" s="15"/>
    </row>
    <row r="431" ht="14.25" customHeight="1">
      <c r="M431" s="15"/>
    </row>
    <row r="432" ht="14.25" customHeight="1">
      <c r="M432" s="15"/>
    </row>
    <row r="433" ht="14.25" customHeight="1">
      <c r="M433" s="15"/>
    </row>
    <row r="434" ht="14.25" customHeight="1">
      <c r="M434" s="15"/>
    </row>
    <row r="435" ht="14.25" customHeight="1">
      <c r="M435" s="15"/>
    </row>
    <row r="436" ht="14.25" customHeight="1">
      <c r="M436" s="15"/>
    </row>
    <row r="437" ht="14.25" customHeight="1">
      <c r="M437" s="15"/>
    </row>
    <row r="438" ht="14.25" customHeight="1">
      <c r="M438" s="15"/>
    </row>
    <row r="439" ht="14.25" customHeight="1">
      <c r="M439" s="15"/>
    </row>
    <row r="440" ht="14.25" customHeight="1">
      <c r="M440" s="15"/>
    </row>
    <row r="441" ht="14.25" customHeight="1">
      <c r="M441" s="15"/>
    </row>
    <row r="442" ht="14.25" customHeight="1">
      <c r="M442" s="15"/>
    </row>
    <row r="443" ht="14.25" customHeight="1">
      <c r="M443" s="15"/>
    </row>
    <row r="444" ht="14.25" customHeight="1">
      <c r="M444" s="15"/>
    </row>
    <row r="445" ht="14.25" customHeight="1">
      <c r="M445" s="15"/>
    </row>
    <row r="446" ht="14.25" customHeight="1">
      <c r="M446" s="15"/>
    </row>
    <row r="447" ht="14.25" customHeight="1">
      <c r="M447" s="15"/>
    </row>
    <row r="448" ht="14.25" customHeight="1">
      <c r="M448" s="15"/>
    </row>
    <row r="449" ht="14.25" customHeight="1">
      <c r="M449" s="15"/>
    </row>
    <row r="450" ht="14.25" customHeight="1">
      <c r="M450" s="15"/>
    </row>
    <row r="451" ht="14.25" customHeight="1">
      <c r="M451" s="15"/>
    </row>
    <row r="452" ht="14.25" customHeight="1">
      <c r="M452" s="15"/>
    </row>
    <row r="453" ht="14.25" customHeight="1">
      <c r="M453" s="15"/>
    </row>
    <row r="454" ht="14.25" customHeight="1">
      <c r="M454" s="15"/>
    </row>
    <row r="455" ht="14.25" customHeight="1">
      <c r="M455" s="15"/>
    </row>
    <row r="456" ht="14.25" customHeight="1">
      <c r="M456" s="15"/>
    </row>
    <row r="457" ht="14.25" customHeight="1">
      <c r="M457" s="15"/>
    </row>
    <row r="458" ht="14.25" customHeight="1">
      <c r="M458" s="15"/>
    </row>
    <row r="459" ht="14.25" customHeight="1">
      <c r="M459" s="15"/>
    </row>
    <row r="460" ht="14.25" customHeight="1">
      <c r="M460" s="15"/>
    </row>
    <row r="461" ht="14.25" customHeight="1">
      <c r="M461" s="15"/>
    </row>
    <row r="462" ht="14.25" customHeight="1">
      <c r="M462" s="15"/>
    </row>
    <row r="463" ht="14.25" customHeight="1">
      <c r="M463" s="15"/>
    </row>
    <row r="464" ht="14.25" customHeight="1">
      <c r="M464" s="15"/>
    </row>
    <row r="465" ht="14.25" customHeight="1">
      <c r="M465" s="15"/>
    </row>
    <row r="466" ht="14.25" customHeight="1">
      <c r="M466" s="15"/>
    </row>
    <row r="467" ht="14.25" customHeight="1">
      <c r="M467" s="15"/>
    </row>
    <row r="468" ht="14.25" customHeight="1">
      <c r="M468" s="15"/>
    </row>
    <row r="469" ht="14.25" customHeight="1">
      <c r="M469" s="15"/>
    </row>
    <row r="470" ht="14.25" customHeight="1">
      <c r="M470" s="15"/>
    </row>
    <row r="471" ht="14.25" customHeight="1">
      <c r="M471" s="15"/>
    </row>
    <row r="472" ht="14.25" customHeight="1">
      <c r="M472" s="15"/>
    </row>
    <row r="473" ht="14.25" customHeight="1">
      <c r="M473" s="15"/>
    </row>
    <row r="474" ht="14.25" customHeight="1">
      <c r="M474" s="15"/>
    </row>
    <row r="475" ht="14.25" customHeight="1">
      <c r="M475" s="15"/>
    </row>
    <row r="476" ht="14.25" customHeight="1">
      <c r="M476" s="15"/>
    </row>
    <row r="477" ht="14.25" customHeight="1">
      <c r="M477" s="15"/>
    </row>
    <row r="478" ht="14.25" customHeight="1">
      <c r="M478" s="15"/>
    </row>
    <row r="479" ht="14.25" customHeight="1">
      <c r="M479" s="15"/>
    </row>
    <row r="480" ht="14.25" customHeight="1">
      <c r="M480" s="15"/>
    </row>
    <row r="481" ht="14.25" customHeight="1">
      <c r="M481" s="15"/>
    </row>
    <row r="482" ht="14.25" customHeight="1">
      <c r="M482" s="15"/>
    </row>
    <row r="483" ht="14.25" customHeight="1">
      <c r="M483" s="15"/>
    </row>
    <row r="484" ht="14.25" customHeight="1">
      <c r="M484" s="15"/>
    </row>
    <row r="485" ht="14.25" customHeight="1">
      <c r="M485" s="15"/>
    </row>
    <row r="486" ht="14.25" customHeight="1">
      <c r="M486" s="15"/>
    </row>
    <row r="487" ht="14.25" customHeight="1">
      <c r="M487" s="15"/>
    </row>
    <row r="488" ht="14.25" customHeight="1">
      <c r="M488" s="15"/>
    </row>
    <row r="489" ht="14.25" customHeight="1">
      <c r="M489" s="15"/>
    </row>
    <row r="490" ht="14.25" customHeight="1">
      <c r="M490" s="15"/>
    </row>
    <row r="491" ht="14.25" customHeight="1">
      <c r="M491" s="15"/>
    </row>
    <row r="492" ht="14.25" customHeight="1">
      <c r="M492" s="15"/>
    </row>
    <row r="493" ht="14.25" customHeight="1">
      <c r="M493" s="15"/>
    </row>
    <row r="494" ht="14.25" customHeight="1">
      <c r="M494" s="15"/>
    </row>
    <row r="495" ht="14.25" customHeight="1">
      <c r="M495" s="15"/>
    </row>
    <row r="496" ht="14.25" customHeight="1">
      <c r="M496" s="15"/>
    </row>
    <row r="497" ht="14.25" customHeight="1">
      <c r="M497" s="15"/>
    </row>
    <row r="498" ht="14.25" customHeight="1">
      <c r="M498" s="15"/>
    </row>
    <row r="499" ht="14.25" customHeight="1">
      <c r="M499" s="15"/>
    </row>
    <row r="500" ht="14.25" customHeight="1">
      <c r="M500" s="15"/>
    </row>
    <row r="501" ht="14.25" customHeight="1">
      <c r="M501" s="15"/>
    </row>
    <row r="502" ht="14.25" customHeight="1">
      <c r="M502" s="15"/>
    </row>
    <row r="503" ht="14.25" customHeight="1">
      <c r="M503" s="15"/>
    </row>
    <row r="504" ht="14.25" customHeight="1">
      <c r="M504" s="15"/>
    </row>
    <row r="505" ht="14.25" customHeight="1">
      <c r="M505" s="15"/>
    </row>
    <row r="506" ht="14.25" customHeight="1">
      <c r="M506" s="15"/>
    </row>
    <row r="507" ht="14.25" customHeight="1">
      <c r="M507" s="15"/>
    </row>
    <row r="508" ht="14.25" customHeight="1">
      <c r="M508" s="15"/>
    </row>
    <row r="509" ht="14.25" customHeight="1">
      <c r="M509" s="15"/>
    </row>
    <row r="510" ht="14.25" customHeight="1">
      <c r="M510" s="15"/>
    </row>
    <row r="511" ht="14.25" customHeight="1">
      <c r="M511" s="15"/>
    </row>
    <row r="512" ht="14.25" customHeight="1">
      <c r="M512" s="15"/>
    </row>
    <row r="513" ht="14.25" customHeight="1">
      <c r="M513" s="15"/>
    </row>
    <row r="514" ht="14.25" customHeight="1">
      <c r="M514" s="15"/>
    </row>
    <row r="515" ht="14.25" customHeight="1">
      <c r="M515" s="15"/>
    </row>
    <row r="516" ht="14.25" customHeight="1">
      <c r="M516" s="15"/>
    </row>
    <row r="517" ht="14.25" customHeight="1">
      <c r="M517" s="15"/>
    </row>
    <row r="518" ht="14.25" customHeight="1">
      <c r="M518" s="15"/>
    </row>
    <row r="519" ht="14.25" customHeight="1">
      <c r="M519" s="15"/>
    </row>
    <row r="520" ht="14.25" customHeight="1">
      <c r="M520" s="15"/>
    </row>
    <row r="521" ht="14.25" customHeight="1">
      <c r="M521" s="15"/>
    </row>
    <row r="522" ht="14.25" customHeight="1">
      <c r="M522" s="15"/>
    </row>
    <row r="523" ht="14.25" customHeight="1">
      <c r="M523" s="15"/>
    </row>
    <row r="524" ht="14.25" customHeight="1">
      <c r="M524" s="15"/>
    </row>
    <row r="525" ht="14.25" customHeight="1">
      <c r="M525" s="15"/>
    </row>
    <row r="526" ht="14.25" customHeight="1">
      <c r="M526" s="15"/>
    </row>
    <row r="527" ht="14.25" customHeight="1">
      <c r="M527" s="15"/>
    </row>
    <row r="528" ht="14.25" customHeight="1">
      <c r="M528" s="15"/>
    </row>
    <row r="529" ht="14.25" customHeight="1">
      <c r="M529" s="15"/>
    </row>
    <row r="530" ht="14.25" customHeight="1">
      <c r="M530" s="15"/>
    </row>
    <row r="531" ht="14.25" customHeight="1">
      <c r="M531" s="15"/>
    </row>
    <row r="532" ht="14.25" customHeight="1">
      <c r="M532" s="15"/>
    </row>
    <row r="533" ht="14.25" customHeight="1">
      <c r="M533" s="15"/>
    </row>
    <row r="534" ht="14.25" customHeight="1">
      <c r="M534" s="15"/>
    </row>
    <row r="535" ht="14.25" customHeight="1">
      <c r="M535" s="15"/>
    </row>
    <row r="536" ht="14.25" customHeight="1">
      <c r="M536" s="15"/>
    </row>
    <row r="537" ht="14.25" customHeight="1">
      <c r="M537" s="15"/>
    </row>
    <row r="538" ht="14.25" customHeight="1">
      <c r="M538" s="15"/>
    </row>
    <row r="539" ht="14.25" customHeight="1">
      <c r="M539" s="15"/>
    </row>
    <row r="540" ht="14.25" customHeight="1">
      <c r="M540" s="15"/>
    </row>
    <row r="541" ht="14.25" customHeight="1">
      <c r="M541" s="15"/>
    </row>
    <row r="542" ht="14.25" customHeight="1">
      <c r="M542" s="15"/>
    </row>
    <row r="543" ht="14.25" customHeight="1">
      <c r="M543" s="15"/>
    </row>
    <row r="544" ht="14.25" customHeight="1">
      <c r="M544" s="15"/>
    </row>
    <row r="545" ht="14.25" customHeight="1">
      <c r="M545" s="15"/>
    </row>
    <row r="546" ht="14.25" customHeight="1">
      <c r="M546" s="15"/>
    </row>
    <row r="547" ht="14.25" customHeight="1">
      <c r="M547" s="15"/>
    </row>
    <row r="548" ht="14.25" customHeight="1">
      <c r="M548" s="15"/>
    </row>
    <row r="549" ht="14.25" customHeight="1">
      <c r="M549" s="15"/>
    </row>
    <row r="550" ht="14.25" customHeight="1">
      <c r="M550" s="15"/>
    </row>
    <row r="551" ht="14.25" customHeight="1">
      <c r="M551" s="15"/>
    </row>
    <row r="552" ht="14.25" customHeight="1">
      <c r="M552" s="15"/>
    </row>
    <row r="553" ht="14.25" customHeight="1">
      <c r="M553" s="15"/>
    </row>
    <row r="554" ht="14.25" customHeight="1">
      <c r="M554" s="15"/>
    </row>
    <row r="555" ht="14.25" customHeight="1">
      <c r="M555" s="15"/>
    </row>
    <row r="556" ht="14.25" customHeight="1">
      <c r="M556" s="15"/>
    </row>
    <row r="557" ht="14.25" customHeight="1">
      <c r="M557" s="15"/>
    </row>
    <row r="558" ht="14.25" customHeight="1">
      <c r="M558" s="15"/>
    </row>
    <row r="559" ht="14.25" customHeight="1">
      <c r="M559" s="15"/>
    </row>
    <row r="560" ht="14.25" customHeight="1">
      <c r="M560" s="15"/>
    </row>
    <row r="561" ht="14.25" customHeight="1">
      <c r="M561" s="15"/>
    </row>
    <row r="562" ht="14.25" customHeight="1">
      <c r="M562" s="15"/>
    </row>
    <row r="563" ht="14.25" customHeight="1">
      <c r="M563" s="15"/>
    </row>
    <row r="564" ht="14.25" customHeight="1">
      <c r="M564" s="15"/>
    </row>
    <row r="565" ht="14.25" customHeight="1">
      <c r="M565" s="15"/>
    </row>
    <row r="566" ht="14.25" customHeight="1">
      <c r="M566" s="15"/>
    </row>
    <row r="567" ht="14.25" customHeight="1">
      <c r="M567" s="15"/>
    </row>
    <row r="568" ht="14.25" customHeight="1">
      <c r="M568" s="15"/>
    </row>
    <row r="569" ht="14.25" customHeight="1">
      <c r="M569" s="15"/>
    </row>
    <row r="570" ht="14.25" customHeight="1">
      <c r="M570" s="15"/>
    </row>
    <row r="571" ht="14.25" customHeight="1">
      <c r="M571" s="15"/>
    </row>
    <row r="572" ht="14.25" customHeight="1">
      <c r="M572" s="15"/>
    </row>
    <row r="573" ht="14.25" customHeight="1">
      <c r="M573" s="15"/>
    </row>
    <row r="574" ht="14.25" customHeight="1">
      <c r="M574" s="15"/>
    </row>
    <row r="575" ht="14.25" customHeight="1">
      <c r="M575" s="15"/>
    </row>
    <row r="576" ht="14.25" customHeight="1">
      <c r="M576" s="15"/>
    </row>
    <row r="577" ht="14.25" customHeight="1">
      <c r="M577" s="15"/>
    </row>
    <row r="578" ht="14.25" customHeight="1">
      <c r="M578" s="15"/>
    </row>
    <row r="579" ht="14.25" customHeight="1">
      <c r="M579" s="15"/>
    </row>
    <row r="580" ht="14.25" customHeight="1">
      <c r="M580" s="15"/>
    </row>
    <row r="581" ht="14.25" customHeight="1">
      <c r="M581" s="15"/>
    </row>
    <row r="582" ht="14.25" customHeight="1">
      <c r="M582" s="15"/>
    </row>
    <row r="583" ht="14.25" customHeight="1">
      <c r="M583" s="15"/>
    </row>
    <row r="584" ht="14.25" customHeight="1">
      <c r="M584" s="15"/>
    </row>
    <row r="585" ht="14.25" customHeight="1">
      <c r="M585" s="15"/>
    </row>
    <row r="586" ht="14.25" customHeight="1">
      <c r="M586" s="15"/>
    </row>
    <row r="587" ht="14.25" customHeight="1">
      <c r="M587" s="15"/>
    </row>
    <row r="588" ht="14.25" customHeight="1">
      <c r="M588" s="15"/>
    </row>
    <row r="589" ht="14.25" customHeight="1">
      <c r="M589" s="15"/>
    </row>
    <row r="590" ht="14.25" customHeight="1">
      <c r="M590" s="15"/>
    </row>
    <row r="591" ht="14.25" customHeight="1">
      <c r="M591" s="15"/>
    </row>
    <row r="592" ht="14.25" customHeight="1">
      <c r="M592" s="15"/>
    </row>
    <row r="593" ht="14.25" customHeight="1">
      <c r="M593" s="15"/>
    </row>
    <row r="594" ht="14.25" customHeight="1">
      <c r="M594" s="15"/>
    </row>
    <row r="595" ht="14.25" customHeight="1">
      <c r="M595" s="15"/>
    </row>
    <row r="596" ht="14.25" customHeight="1">
      <c r="M596" s="15"/>
    </row>
    <row r="597" ht="14.25" customHeight="1">
      <c r="M597" s="15"/>
    </row>
    <row r="598" ht="14.25" customHeight="1">
      <c r="M598" s="15"/>
    </row>
    <row r="599" ht="14.25" customHeight="1">
      <c r="M599" s="15"/>
    </row>
    <row r="600" ht="14.25" customHeight="1">
      <c r="M600" s="15"/>
    </row>
    <row r="601" ht="14.25" customHeight="1">
      <c r="M601" s="15"/>
    </row>
    <row r="602" ht="14.25" customHeight="1">
      <c r="M602" s="15"/>
    </row>
    <row r="603" ht="14.25" customHeight="1">
      <c r="M603" s="15"/>
    </row>
    <row r="604" ht="14.25" customHeight="1">
      <c r="M604" s="15"/>
    </row>
    <row r="605" ht="14.25" customHeight="1">
      <c r="M605" s="15"/>
    </row>
    <row r="606" ht="14.25" customHeight="1">
      <c r="M606" s="15"/>
    </row>
    <row r="607" ht="14.25" customHeight="1">
      <c r="M607" s="15"/>
    </row>
    <row r="608" ht="14.25" customHeight="1">
      <c r="M608" s="15"/>
    </row>
    <row r="609" ht="14.25" customHeight="1">
      <c r="M609" s="15"/>
    </row>
    <row r="610" ht="14.25" customHeight="1">
      <c r="M610" s="15"/>
    </row>
    <row r="611" ht="14.25" customHeight="1">
      <c r="M611" s="15"/>
    </row>
    <row r="612" ht="14.25" customHeight="1">
      <c r="M612" s="15"/>
    </row>
    <row r="613" ht="14.25" customHeight="1">
      <c r="M613" s="15"/>
    </row>
    <row r="614" ht="14.25" customHeight="1">
      <c r="M614" s="15"/>
    </row>
    <row r="615" ht="14.25" customHeight="1">
      <c r="M615" s="15"/>
    </row>
    <row r="616" ht="14.25" customHeight="1">
      <c r="M616" s="15"/>
    </row>
    <row r="617" ht="14.25" customHeight="1">
      <c r="M617" s="15"/>
    </row>
    <row r="618" ht="14.25" customHeight="1">
      <c r="M618" s="15"/>
    </row>
    <row r="619" ht="14.25" customHeight="1">
      <c r="M619" s="15"/>
    </row>
    <row r="620" ht="14.25" customHeight="1">
      <c r="M620" s="15"/>
    </row>
    <row r="621" ht="14.25" customHeight="1">
      <c r="M621" s="15"/>
    </row>
    <row r="622" ht="14.25" customHeight="1">
      <c r="M622" s="15"/>
    </row>
    <row r="623" ht="14.25" customHeight="1">
      <c r="M623" s="15"/>
    </row>
    <row r="624" ht="14.25" customHeight="1">
      <c r="M624" s="15"/>
    </row>
    <row r="625" ht="14.25" customHeight="1">
      <c r="M625" s="15"/>
    </row>
    <row r="626" ht="14.25" customHeight="1">
      <c r="M626" s="15"/>
    </row>
    <row r="627" ht="14.25" customHeight="1">
      <c r="M627" s="15"/>
    </row>
    <row r="628" ht="14.25" customHeight="1">
      <c r="M628" s="15"/>
    </row>
    <row r="629" ht="14.25" customHeight="1">
      <c r="M629" s="15"/>
    </row>
    <row r="630" ht="14.25" customHeight="1">
      <c r="M630" s="15"/>
    </row>
    <row r="631" ht="14.25" customHeight="1">
      <c r="M631" s="15"/>
    </row>
    <row r="632" ht="14.25" customHeight="1">
      <c r="M632" s="15"/>
    </row>
    <row r="633" ht="14.25" customHeight="1">
      <c r="M633" s="15"/>
    </row>
    <row r="634" ht="14.25" customHeight="1">
      <c r="M634" s="15"/>
    </row>
    <row r="635" ht="14.25" customHeight="1">
      <c r="M635" s="15"/>
    </row>
    <row r="636" ht="14.25" customHeight="1">
      <c r="M636" s="15"/>
    </row>
    <row r="637" ht="14.25" customHeight="1">
      <c r="M637" s="15"/>
    </row>
    <row r="638" ht="14.25" customHeight="1">
      <c r="M638" s="15"/>
    </row>
    <row r="639" ht="14.25" customHeight="1">
      <c r="M639" s="15"/>
    </row>
    <row r="640" ht="14.25" customHeight="1">
      <c r="M640" s="15"/>
    </row>
    <row r="641" ht="14.25" customHeight="1">
      <c r="M641" s="15"/>
    </row>
    <row r="642" ht="14.25" customHeight="1">
      <c r="M642" s="15"/>
    </row>
    <row r="643" ht="14.25" customHeight="1">
      <c r="M643" s="15"/>
    </row>
    <row r="644" ht="14.25" customHeight="1">
      <c r="M644" s="15"/>
    </row>
    <row r="645" ht="14.25" customHeight="1">
      <c r="M645" s="15"/>
    </row>
    <row r="646" ht="14.25" customHeight="1">
      <c r="M646" s="15"/>
    </row>
    <row r="647" ht="14.25" customHeight="1">
      <c r="M647" s="15"/>
    </row>
    <row r="648" ht="14.25" customHeight="1">
      <c r="M648" s="15"/>
    </row>
    <row r="649" ht="14.25" customHeight="1">
      <c r="M649" s="15"/>
    </row>
    <row r="650" ht="14.25" customHeight="1">
      <c r="M650" s="15"/>
    </row>
    <row r="651" ht="14.25" customHeight="1">
      <c r="M651" s="15"/>
    </row>
    <row r="652" ht="14.25" customHeight="1">
      <c r="M652" s="15"/>
    </row>
    <row r="653" ht="14.25" customHeight="1">
      <c r="M653" s="15"/>
    </row>
    <row r="654" ht="14.25" customHeight="1">
      <c r="M654" s="15"/>
    </row>
    <row r="655" ht="14.25" customHeight="1">
      <c r="M655" s="15"/>
    </row>
    <row r="656" ht="14.25" customHeight="1">
      <c r="M656" s="15"/>
    </row>
    <row r="657" ht="14.25" customHeight="1">
      <c r="M657" s="15"/>
    </row>
    <row r="658" ht="14.25" customHeight="1">
      <c r="M658" s="15"/>
    </row>
    <row r="659" ht="14.25" customHeight="1">
      <c r="M659" s="15"/>
    </row>
    <row r="660" ht="14.25" customHeight="1">
      <c r="M660" s="15"/>
    </row>
    <row r="661" ht="14.25" customHeight="1">
      <c r="M661" s="15"/>
    </row>
    <row r="662" ht="14.25" customHeight="1">
      <c r="M662" s="15"/>
    </row>
    <row r="663" ht="14.25" customHeight="1">
      <c r="M663" s="15"/>
    </row>
    <row r="664" ht="14.25" customHeight="1">
      <c r="M664" s="15"/>
    </row>
    <row r="665" ht="14.25" customHeight="1">
      <c r="M665" s="15"/>
    </row>
    <row r="666" ht="14.25" customHeight="1">
      <c r="M666" s="15"/>
    </row>
    <row r="667" ht="14.25" customHeight="1">
      <c r="M667" s="15"/>
    </row>
    <row r="668" ht="14.25" customHeight="1">
      <c r="M668" s="15"/>
    </row>
    <row r="669" ht="14.25" customHeight="1">
      <c r="M669" s="15"/>
    </row>
    <row r="670" ht="14.25" customHeight="1">
      <c r="M670" s="15"/>
    </row>
    <row r="671" ht="14.25" customHeight="1">
      <c r="M671" s="15"/>
    </row>
    <row r="672" ht="14.25" customHeight="1">
      <c r="M672" s="15"/>
    </row>
    <row r="673" ht="14.25" customHeight="1">
      <c r="M673" s="15"/>
    </row>
    <row r="674" ht="14.25" customHeight="1">
      <c r="M674" s="15"/>
    </row>
    <row r="675" ht="14.25" customHeight="1">
      <c r="M675" s="15"/>
    </row>
    <row r="676" ht="14.25" customHeight="1">
      <c r="M676" s="15"/>
    </row>
    <row r="677" ht="14.25" customHeight="1">
      <c r="M677" s="15"/>
    </row>
    <row r="678" ht="14.25" customHeight="1">
      <c r="M678" s="15"/>
    </row>
    <row r="679" ht="14.25" customHeight="1">
      <c r="M679" s="15"/>
    </row>
    <row r="680" ht="14.25" customHeight="1">
      <c r="M680" s="15"/>
    </row>
    <row r="681" ht="14.25" customHeight="1">
      <c r="M681" s="15"/>
    </row>
    <row r="682" ht="14.25" customHeight="1">
      <c r="M682" s="15"/>
    </row>
    <row r="683" ht="14.25" customHeight="1">
      <c r="M683" s="15"/>
    </row>
    <row r="684" ht="14.25" customHeight="1">
      <c r="M684" s="15"/>
    </row>
    <row r="685" ht="14.25" customHeight="1">
      <c r="M685" s="15"/>
    </row>
    <row r="686" ht="14.25" customHeight="1">
      <c r="M686" s="15"/>
    </row>
    <row r="687" ht="14.25" customHeight="1">
      <c r="M687" s="15"/>
    </row>
    <row r="688" ht="14.25" customHeight="1">
      <c r="M688" s="15"/>
    </row>
    <row r="689" ht="14.25" customHeight="1">
      <c r="M689" s="15"/>
    </row>
    <row r="690" ht="14.25" customHeight="1">
      <c r="M690" s="15"/>
    </row>
    <row r="691" ht="14.25" customHeight="1">
      <c r="M691" s="15"/>
    </row>
    <row r="692" ht="14.25" customHeight="1">
      <c r="M692" s="15"/>
    </row>
    <row r="693" ht="14.25" customHeight="1">
      <c r="M693" s="15"/>
    </row>
    <row r="694" ht="14.25" customHeight="1">
      <c r="M694" s="15"/>
    </row>
    <row r="695" ht="14.25" customHeight="1">
      <c r="M695" s="15"/>
    </row>
    <row r="696" ht="14.25" customHeight="1">
      <c r="M696" s="15"/>
    </row>
    <row r="697" ht="14.25" customHeight="1">
      <c r="M697" s="15"/>
    </row>
    <row r="698" ht="14.25" customHeight="1">
      <c r="M698" s="15"/>
    </row>
    <row r="699" ht="14.25" customHeight="1">
      <c r="M699" s="15"/>
    </row>
    <row r="700" ht="14.25" customHeight="1">
      <c r="M700" s="15"/>
    </row>
    <row r="701" ht="14.25" customHeight="1">
      <c r="M701" s="15"/>
    </row>
    <row r="702" ht="14.25" customHeight="1">
      <c r="M702" s="15"/>
    </row>
    <row r="703" ht="14.25" customHeight="1">
      <c r="M703" s="15"/>
    </row>
    <row r="704" ht="14.25" customHeight="1">
      <c r="M704" s="15"/>
    </row>
    <row r="705" ht="14.25" customHeight="1">
      <c r="M705" s="15"/>
    </row>
    <row r="706" ht="14.25" customHeight="1">
      <c r="M706" s="15"/>
    </row>
    <row r="707" ht="14.25" customHeight="1">
      <c r="M707" s="15"/>
    </row>
    <row r="708" ht="14.25" customHeight="1">
      <c r="M708" s="15"/>
    </row>
    <row r="709" ht="14.25" customHeight="1">
      <c r="M709" s="15"/>
    </row>
    <row r="710" ht="14.25" customHeight="1">
      <c r="M710" s="15"/>
    </row>
    <row r="711" ht="14.25" customHeight="1">
      <c r="M711" s="15"/>
    </row>
    <row r="712" ht="14.25" customHeight="1">
      <c r="M712" s="15"/>
    </row>
    <row r="713" ht="14.25" customHeight="1">
      <c r="M713" s="15"/>
    </row>
    <row r="714" ht="14.25" customHeight="1">
      <c r="M714" s="15"/>
    </row>
    <row r="715" ht="14.25" customHeight="1">
      <c r="M715" s="15"/>
    </row>
    <row r="716" ht="14.25" customHeight="1">
      <c r="M716" s="15"/>
    </row>
    <row r="717" ht="14.25" customHeight="1">
      <c r="M717" s="15"/>
    </row>
    <row r="718" ht="14.25" customHeight="1">
      <c r="M718" s="15"/>
    </row>
    <row r="719" ht="14.25" customHeight="1">
      <c r="M719" s="15"/>
    </row>
    <row r="720" ht="14.25" customHeight="1">
      <c r="M720" s="15"/>
    </row>
    <row r="721" ht="14.25" customHeight="1">
      <c r="M721" s="15"/>
    </row>
    <row r="722" ht="14.25" customHeight="1">
      <c r="M722" s="15"/>
    </row>
    <row r="723" ht="14.25" customHeight="1">
      <c r="M723" s="15"/>
    </row>
    <row r="724" ht="14.25" customHeight="1">
      <c r="M724" s="15"/>
    </row>
    <row r="725" ht="14.25" customHeight="1">
      <c r="M725" s="15"/>
    </row>
    <row r="726" ht="14.25" customHeight="1">
      <c r="M726" s="15"/>
    </row>
    <row r="727" ht="14.25" customHeight="1">
      <c r="M727" s="15"/>
    </row>
    <row r="728" ht="14.25" customHeight="1">
      <c r="M728" s="15"/>
    </row>
    <row r="729" ht="14.25" customHeight="1">
      <c r="M729" s="15"/>
    </row>
    <row r="730" ht="14.25" customHeight="1">
      <c r="M730" s="15"/>
    </row>
    <row r="731" ht="14.25" customHeight="1">
      <c r="M731" s="15"/>
    </row>
    <row r="732" ht="14.25" customHeight="1">
      <c r="M732" s="15"/>
    </row>
    <row r="733" ht="14.25" customHeight="1">
      <c r="M733" s="15"/>
    </row>
    <row r="734" ht="14.25" customHeight="1">
      <c r="M734" s="15"/>
    </row>
    <row r="735" ht="14.25" customHeight="1">
      <c r="M735" s="15"/>
    </row>
    <row r="736" ht="14.25" customHeight="1">
      <c r="M736" s="15"/>
    </row>
    <row r="737" ht="14.25" customHeight="1">
      <c r="M737" s="15"/>
    </row>
    <row r="738" ht="14.25" customHeight="1">
      <c r="M738" s="15"/>
    </row>
    <row r="739" ht="14.25" customHeight="1">
      <c r="M739" s="15"/>
    </row>
    <row r="740" ht="14.25" customHeight="1">
      <c r="M740" s="15"/>
    </row>
    <row r="741" ht="14.25" customHeight="1">
      <c r="M741" s="15"/>
    </row>
    <row r="742" ht="14.25" customHeight="1">
      <c r="M742" s="15"/>
    </row>
    <row r="743" ht="14.25" customHeight="1">
      <c r="M743" s="15"/>
    </row>
    <row r="744" ht="14.25" customHeight="1">
      <c r="M744" s="15"/>
    </row>
    <row r="745" ht="14.25" customHeight="1">
      <c r="M745" s="15"/>
    </row>
    <row r="746" ht="14.25" customHeight="1">
      <c r="M746" s="15"/>
    </row>
    <row r="747" ht="14.25" customHeight="1">
      <c r="M747" s="15"/>
    </row>
    <row r="748" ht="14.25" customHeight="1">
      <c r="M748" s="15"/>
    </row>
    <row r="749" ht="14.25" customHeight="1">
      <c r="M749" s="15"/>
    </row>
    <row r="750" ht="14.25" customHeight="1">
      <c r="M750" s="15"/>
    </row>
    <row r="751" ht="14.25" customHeight="1">
      <c r="M751" s="15"/>
    </row>
    <row r="752" ht="14.25" customHeight="1">
      <c r="M752" s="15"/>
    </row>
    <row r="753" ht="14.25" customHeight="1">
      <c r="M753" s="15"/>
    </row>
    <row r="754" ht="14.25" customHeight="1">
      <c r="M754" s="15"/>
    </row>
    <row r="755" ht="14.25" customHeight="1">
      <c r="M755" s="15"/>
    </row>
    <row r="756" ht="14.25" customHeight="1">
      <c r="M756" s="15"/>
    </row>
    <row r="757" ht="14.25" customHeight="1">
      <c r="M757" s="15"/>
    </row>
    <row r="758" ht="14.25" customHeight="1">
      <c r="M758" s="15"/>
    </row>
    <row r="759" ht="14.25" customHeight="1">
      <c r="M759" s="15"/>
    </row>
    <row r="760" ht="14.25" customHeight="1">
      <c r="M760" s="15"/>
    </row>
    <row r="761" ht="14.25" customHeight="1">
      <c r="M761" s="15"/>
    </row>
    <row r="762" ht="14.25" customHeight="1">
      <c r="M762" s="15"/>
    </row>
    <row r="763" ht="14.25" customHeight="1">
      <c r="M763" s="15"/>
    </row>
    <row r="764" ht="14.25" customHeight="1">
      <c r="M764" s="15"/>
    </row>
    <row r="765" ht="14.25" customHeight="1">
      <c r="M765" s="15"/>
    </row>
    <row r="766" ht="14.25" customHeight="1">
      <c r="M766" s="15"/>
    </row>
    <row r="767" ht="14.25" customHeight="1">
      <c r="M767" s="15"/>
    </row>
    <row r="768" ht="14.25" customHeight="1">
      <c r="M768" s="15"/>
    </row>
    <row r="769" ht="14.25" customHeight="1">
      <c r="M769" s="15"/>
    </row>
    <row r="770" ht="14.25" customHeight="1">
      <c r="M770" s="15"/>
    </row>
    <row r="771" ht="14.25" customHeight="1">
      <c r="M771" s="15"/>
    </row>
    <row r="772" ht="14.25" customHeight="1">
      <c r="M772" s="15"/>
    </row>
    <row r="773" ht="14.25" customHeight="1">
      <c r="M773" s="15"/>
    </row>
    <row r="774" ht="14.25" customHeight="1">
      <c r="M774" s="15"/>
    </row>
    <row r="775" ht="14.25" customHeight="1">
      <c r="M775" s="15"/>
    </row>
    <row r="776" ht="14.25" customHeight="1">
      <c r="M776" s="15"/>
    </row>
    <row r="777" ht="14.25" customHeight="1">
      <c r="M777" s="15"/>
    </row>
    <row r="778" ht="14.25" customHeight="1">
      <c r="M778" s="15"/>
    </row>
    <row r="779" ht="14.25" customHeight="1">
      <c r="M779" s="15"/>
    </row>
    <row r="780" ht="14.25" customHeight="1">
      <c r="M780" s="15"/>
    </row>
    <row r="781" ht="14.25" customHeight="1">
      <c r="M781" s="15"/>
    </row>
    <row r="782" ht="14.25" customHeight="1">
      <c r="M782" s="15"/>
    </row>
    <row r="783" ht="14.25" customHeight="1">
      <c r="M783" s="15"/>
    </row>
    <row r="784" ht="14.25" customHeight="1">
      <c r="M784" s="15"/>
    </row>
    <row r="785" ht="14.25" customHeight="1">
      <c r="M785" s="15"/>
    </row>
    <row r="786" ht="14.25" customHeight="1">
      <c r="M786" s="15"/>
    </row>
    <row r="787" ht="14.25" customHeight="1">
      <c r="M787" s="15"/>
    </row>
    <row r="788" ht="14.25" customHeight="1">
      <c r="M788" s="15"/>
    </row>
    <row r="789" ht="14.25" customHeight="1">
      <c r="M789" s="15"/>
    </row>
    <row r="790" ht="14.25" customHeight="1">
      <c r="M790" s="15"/>
    </row>
    <row r="791" ht="14.25" customHeight="1">
      <c r="M791" s="15"/>
    </row>
    <row r="792" ht="14.25" customHeight="1">
      <c r="M792" s="15"/>
    </row>
    <row r="793" ht="14.25" customHeight="1">
      <c r="M793" s="15"/>
    </row>
    <row r="794" ht="14.25" customHeight="1">
      <c r="M794" s="15"/>
    </row>
    <row r="795" ht="14.25" customHeight="1">
      <c r="M795" s="15"/>
    </row>
    <row r="796" ht="14.25" customHeight="1">
      <c r="M796" s="15"/>
    </row>
    <row r="797" ht="14.25" customHeight="1">
      <c r="M797" s="15"/>
    </row>
    <row r="798" ht="14.25" customHeight="1">
      <c r="M798" s="15"/>
    </row>
    <row r="799" ht="14.25" customHeight="1">
      <c r="M799" s="15"/>
    </row>
    <row r="800" ht="14.25" customHeight="1">
      <c r="M800" s="15"/>
    </row>
    <row r="801" ht="14.25" customHeight="1">
      <c r="M801" s="15"/>
    </row>
    <row r="802" ht="14.25" customHeight="1">
      <c r="M802" s="15"/>
    </row>
    <row r="803" ht="14.25" customHeight="1">
      <c r="M803" s="15"/>
    </row>
    <row r="804" ht="14.25" customHeight="1">
      <c r="M804" s="15"/>
    </row>
    <row r="805" ht="14.25" customHeight="1">
      <c r="M805" s="15"/>
    </row>
    <row r="806" ht="14.25" customHeight="1">
      <c r="M806" s="15"/>
    </row>
    <row r="807" ht="14.25" customHeight="1">
      <c r="M807" s="15"/>
    </row>
    <row r="808" ht="14.25" customHeight="1">
      <c r="M808" s="15"/>
    </row>
    <row r="809" ht="14.25" customHeight="1">
      <c r="M809" s="15"/>
    </row>
    <row r="810" ht="14.25" customHeight="1">
      <c r="M810" s="15"/>
    </row>
    <row r="811" ht="14.25" customHeight="1">
      <c r="M811" s="15"/>
    </row>
    <row r="812" ht="14.25" customHeight="1">
      <c r="M812" s="15"/>
    </row>
    <row r="813" ht="14.25" customHeight="1">
      <c r="M813" s="15"/>
    </row>
    <row r="814" ht="14.25" customHeight="1">
      <c r="M814" s="15"/>
    </row>
    <row r="815" ht="14.25" customHeight="1">
      <c r="M815" s="15"/>
    </row>
    <row r="816" ht="14.25" customHeight="1">
      <c r="M816" s="15"/>
    </row>
    <row r="817" ht="14.25" customHeight="1">
      <c r="M817" s="15"/>
    </row>
    <row r="818" ht="14.25" customHeight="1">
      <c r="M818" s="15"/>
    </row>
    <row r="819" ht="14.25" customHeight="1">
      <c r="M819" s="15"/>
    </row>
    <row r="820" ht="14.25" customHeight="1">
      <c r="M820" s="15"/>
    </row>
    <row r="821" ht="14.25" customHeight="1">
      <c r="M821" s="15"/>
    </row>
    <row r="822" ht="14.25" customHeight="1">
      <c r="M822" s="15"/>
    </row>
    <row r="823" ht="14.25" customHeight="1">
      <c r="M823" s="15"/>
    </row>
    <row r="824" ht="14.25" customHeight="1">
      <c r="M824" s="15"/>
    </row>
    <row r="825" ht="14.25" customHeight="1">
      <c r="M825" s="15"/>
    </row>
    <row r="826" ht="14.25" customHeight="1">
      <c r="M826" s="15"/>
    </row>
    <row r="827" ht="14.25" customHeight="1">
      <c r="M827" s="15"/>
    </row>
    <row r="828" ht="14.25" customHeight="1">
      <c r="M828" s="15"/>
    </row>
    <row r="829" ht="14.25" customHeight="1">
      <c r="M829" s="15"/>
    </row>
    <row r="830" ht="14.25" customHeight="1">
      <c r="M830" s="15"/>
    </row>
    <row r="831" ht="14.25" customHeight="1">
      <c r="M831" s="15"/>
    </row>
    <row r="832" ht="14.25" customHeight="1">
      <c r="M832" s="15"/>
    </row>
    <row r="833" ht="14.25" customHeight="1">
      <c r="M833" s="15"/>
    </row>
    <row r="834" ht="14.25" customHeight="1">
      <c r="M834" s="15"/>
    </row>
    <row r="835" ht="14.25" customHeight="1">
      <c r="M835" s="15"/>
    </row>
    <row r="836" ht="14.25" customHeight="1">
      <c r="M836" s="15"/>
    </row>
    <row r="837" ht="14.25" customHeight="1">
      <c r="M837" s="15"/>
    </row>
    <row r="838" ht="14.25" customHeight="1">
      <c r="M838" s="15"/>
    </row>
    <row r="839" ht="14.25" customHeight="1">
      <c r="M839" s="15"/>
    </row>
    <row r="840" ht="14.25" customHeight="1">
      <c r="M840" s="15"/>
    </row>
    <row r="841" ht="14.25" customHeight="1">
      <c r="M841" s="15"/>
    </row>
    <row r="842" ht="14.25" customHeight="1">
      <c r="M842" s="15"/>
    </row>
    <row r="843" ht="14.25" customHeight="1">
      <c r="M843" s="15"/>
    </row>
    <row r="844" ht="14.25" customHeight="1">
      <c r="M844" s="15"/>
    </row>
    <row r="845" ht="14.25" customHeight="1">
      <c r="M845" s="15"/>
    </row>
    <row r="846" ht="14.25" customHeight="1">
      <c r="M846" s="15"/>
    </row>
    <row r="847" ht="14.25" customHeight="1">
      <c r="M847" s="15"/>
    </row>
    <row r="848" ht="14.25" customHeight="1">
      <c r="M848" s="15"/>
    </row>
    <row r="849" ht="14.25" customHeight="1">
      <c r="M849" s="15"/>
    </row>
    <row r="850" ht="14.25" customHeight="1">
      <c r="M850" s="15"/>
    </row>
    <row r="851" ht="14.25" customHeight="1">
      <c r="M851" s="15"/>
    </row>
    <row r="852" ht="14.25" customHeight="1">
      <c r="M852" s="15"/>
    </row>
    <row r="853" ht="14.25" customHeight="1">
      <c r="M853" s="15"/>
    </row>
    <row r="854" ht="14.25" customHeight="1">
      <c r="M854" s="15"/>
    </row>
    <row r="855" ht="14.25" customHeight="1">
      <c r="M855" s="15"/>
    </row>
    <row r="856" ht="14.25" customHeight="1">
      <c r="M856" s="15"/>
    </row>
    <row r="857" ht="14.25" customHeight="1">
      <c r="M857" s="15"/>
    </row>
    <row r="858" ht="14.25" customHeight="1">
      <c r="M858" s="15"/>
    </row>
    <row r="859" ht="14.25" customHeight="1">
      <c r="M859" s="15"/>
    </row>
    <row r="860" ht="14.25" customHeight="1">
      <c r="M860" s="15"/>
    </row>
    <row r="861" ht="14.25" customHeight="1">
      <c r="M861" s="15"/>
    </row>
    <row r="862" ht="14.25" customHeight="1">
      <c r="M862" s="15"/>
    </row>
    <row r="863" ht="14.25" customHeight="1">
      <c r="M863" s="15"/>
    </row>
    <row r="864" ht="14.25" customHeight="1">
      <c r="M864" s="15"/>
    </row>
    <row r="865" ht="14.25" customHeight="1">
      <c r="M865" s="15"/>
    </row>
    <row r="866" ht="14.25" customHeight="1">
      <c r="M866" s="15"/>
    </row>
    <row r="867" ht="14.25" customHeight="1">
      <c r="M867" s="15"/>
    </row>
    <row r="868" ht="14.25" customHeight="1">
      <c r="M868" s="15"/>
    </row>
    <row r="869" ht="14.25" customHeight="1">
      <c r="M869" s="15"/>
    </row>
    <row r="870" ht="14.25" customHeight="1">
      <c r="M870" s="15"/>
    </row>
    <row r="871" ht="14.25" customHeight="1">
      <c r="M871" s="15"/>
    </row>
    <row r="872" ht="14.25" customHeight="1">
      <c r="M872" s="15"/>
    </row>
    <row r="873" ht="14.25" customHeight="1">
      <c r="M873" s="15"/>
    </row>
    <row r="874" ht="14.25" customHeight="1">
      <c r="M874" s="15"/>
    </row>
    <row r="875" ht="14.25" customHeight="1">
      <c r="M875" s="15"/>
    </row>
    <row r="876" ht="14.25" customHeight="1">
      <c r="M876" s="15"/>
    </row>
    <row r="877" ht="14.25" customHeight="1">
      <c r="M877" s="15"/>
    </row>
    <row r="878" ht="14.25" customHeight="1">
      <c r="M878" s="15"/>
    </row>
    <row r="879" ht="14.25" customHeight="1">
      <c r="M879" s="15"/>
    </row>
    <row r="880" ht="14.25" customHeight="1">
      <c r="M880" s="15"/>
    </row>
    <row r="881" ht="14.25" customHeight="1">
      <c r="M881" s="15"/>
    </row>
    <row r="882" ht="14.25" customHeight="1">
      <c r="M882" s="15"/>
    </row>
    <row r="883" ht="14.25" customHeight="1">
      <c r="M883" s="15"/>
    </row>
    <row r="884" ht="14.25" customHeight="1">
      <c r="M884" s="15"/>
    </row>
    <row r="885" ht="14.25" customHeight="1">
      <c r="M885" s="15"/>
    </row>
    <row r="886" ht="14.25" customHeight="1">
      <c r="M886" s="15"/>
    </row>
    <row r="887" ht="14.25" customHeight="1">
      <c r="M887" s="15"/>
    </row>
    <row r="888" ht="14.25" customHeight="1">
      <c r="M888" s="15"/>
    </row>
    <row r="889" ht="14.25" customHeight="1">
      <c r="M889" s="15"/>
    </row>
    <row r="890" ht="14.25" customHeight="1">
      <c r="M890" s="15"/>
    </row>
    <row r="891" ht="14.25" customHeight="1">
      <c r="M891" s="15"/>
    </row>
    <row r="892" ht="14.25" customHeight="1">
      <c r="M892" s="15"/>
    </row>
    <row r="893" ht="14.25" customHeight="1">
      <c r="M893" s="15"/>
    </row>
    <row r="894" ht="14.25" customHeight="1">
      <c r="M894" s="15"/>
    </row>
    <row r="895" ht="14.25" customHeight="1">
      <c r="M895" s="15"/>
    </row>
    <row r="896" ht="14.25" customHeight="1">
      <c r="M896" s="15"/>
    </row>
    <row r="897" ht="14.25" customHeight="1">
      <c r="M897" s="15"/>
    </row>
    <row r="898" ht="14.25" customHeight="1">
      <c r="M898" s="15"/>
    </row>
    <row r="899" ht="14.25" customHeight="1">
      <c r="M899" s="15"/>
    </row>
    <row r="900" ht="14.25" customHeight="1">
      <c r="M900" s="15"/>
    </row>
    <row r="901" ht="14.25" customHeight="1">
      <c r="M901" s="15"/>
    </row>
    <row r="902" ht="14.25" customHeight="1">
      <c r="M902" s="15"/>
    </row>
    <row r="903" ht="14.25" customHeight="1">
      <c r="M903" s="15"/>
    </row>
    <row r="904" ht="14.25" customHeight="1">
      <c r="M904" s="15"/>
    </row>
    <row r="905" ht="14.25" customHeight="1">
      <c r="M905" s="15"/>
    </row>
    <row r="906" ht="14.25" customHeight="1">
      <c r="M906" s="15"/>
    </row>
    <row r="907" ht="14.25" customHeight="1">
      <c r="M907" s="15"/>
    </row>
    <row r="908" ht="14.25" customHeight="1">
      <c r="M908" s="15"/>
    </row>
    <row r="909" ht="14.25" customHeight="1">
      <c r="M909" s="15"/>
    </row>
    <row r="910" ht="14.25" customHeight="1">
      <c r="M910" s="15"/>
    </row>
    <row r="911" ht="14.25" customHeight="1">
      <c r="M911" s="15"/>
    </row>
    <row r="912" ht="14.25" customHeight="1">
      <c r="M912" s="15"/>
    </row>
    <row r="913" ht="14.25" customHeight="1">
      <c r="M913" s="15"/>
    </row>
    <row r="914" ht="14.25" customHeight="1">
      <c r="M914" s="15"/>
    </row>
    <row r="915" ht="14.25" customHeight="1">
      <c r="M915" s="15"/>
    </row>
    <row r="916" ht="14.25" customHeight="1">
      <c r="M916" s="15"/>
    </row>
    <row r="917" ht="14.25" customHeight="1">
      <c r="M917" s="15"/>
    </row>
    <row r="918" ht="14.25" customHeight="1">
      <c r="M918" s="15"/>
    </row>
    <row r="919" ht="14.25" customHeight="1">
      <c r="M919" s="15"/>
    </row>
    <row r="920" ht="14.25" customHeight="1">
      <c r="M920" s="15"/>
    </row>
    <row r="921" ht="14.25" customHeight="1">
      <c r="M921" s="15"/>
    </row>
    <row r="922" ht="14.25" customHeight="1">
      <c r="M922" s="15"/>
    </row>
    <row r="923" ht="14.25" customHeight="1">
      <c r="M923" s="15"/>
    </row>
    <row r="924" ht="14.25" customHeight="1">
      <c r="M924" s="15"/>
    </row>
    <row r="925" ht="14.25" customHeight="1">
      <c r="M925" s="15"/>
    </row>
    <row r="926" ht="14.25" customHeight="1">
      <c r="M926" s="15"/>
    </row>
    <row r="927" ht="14.25" customHeight="1">
      <c r="M927" s="15"/>
    </row>
    <row r="928" ht="14.25" customHeight="1">
      <c r="M928" s="15"/>
    </row>
    <row r="929" ht="14.25" customHeight="1">
      <c r="M929" s="15"/>
    </row>
    <row r="930" ht="14.25" customHeight="1">
      <c r="M930" s="15"/>
    </row>
    <row r="931" ht="14.25" customHeight="1">
      <c r="M931" s="15"/>
    </row>
    <row r="932" ht="14.25" customHeight="1">
      <c r="M932" s="15"/>
    </row>
    <row r="933" ht="14.25" customHeight="1">
      <c r="M933" s="15"/>
    </row>
    <row r="934" ht="14.25" customHeight="1">
      <c r="M934" s="15"/>
    </row>
    <row r="935" ht="14.25" customHeight="1">
      <c r="M935" s="15"/>
    </row>
    <row r="936" ht="14.25" customHeight="1">
      <c r="M936" s="15"/>
    </row>
    <row r="937" ht="14.25" customHeight="1">
      <c r="M937" s="15"/>
    </row>
    <row r="938" ht="14.25" customHeight="1">
      <c r="M938" s="15"/>
    </row>
    <row r="939" ht="14.25" customHeight="1">
      <c r="M939" s="15"/>
    </row>
    <row r="940" ht="14.25" customHeight="1">
      <c r="M940" s="15"/>
    </row>
    <row r="941" ht="14.25" customHeight="1">
      <c r="M941" s="15"/>
    </row>
    <row r="942" ht="14.25" customHeight="1">
      <c r="M942" s="15"/>
    </row>
    <row r="943" ht="14.25" customHeight="1">
      <c r="M943" s="15"/>
    </row>
    <row r="944" ht="14.25" customHeight="1">
      <c r="M944" s="15"/>
    </row>
    <row r="945" ht="14.25" customHeight="1">
      <c r="M945" s="15"/>
    </row>
    <row r="946" ht="14.25" customHeight="1">
      <c r="M946" s="15"/>
    </row>
    <row r="947" ht="14.25" customHeight="1">
      <c r="M947" s="15"/>
    </row>
    <row r="948" ht="14.25" customHeight="1">
      <c r="M948" s="15"/>
    </row>
    <row r="949" ht="14.25" customHeight="1">
      <c r="M949" s="15"/>
    </row>
    <row r="950" ht="14.25" customHeight="1">
      <c r="M950" s="15"/>
    </row>
    <row r="951" ht="14.25" customHeight="1">
      <c r="M951" s="15"/>
    </row>
    <row r="952" ht="14.25" customHeight="1">
      <c r="M952" s="15"/>
    </row>
    <row r="953" ht="14.25" customHeight="1">
      <c r="M953" s="15"/>
    </row>
    <row r="954" ht="14.25" customHeight="1">
      <c r="M954" s="15"/>
    </row>
    <row r="955" ht="14.25" customHeight="1">
      <c r="M955" s="15"/>
    </row>
    <row r="956" ht="14.25" customHeight="1">
      <c r="M956" s="15"/>
    </row>
    <row r="957" ht="14.25" customHeight="1">
      <c r="M957" s="15"/>
    </row>
    <row r="958" ht="14.25" customHeight="1">
      <c r="M958" s="15"/>
    </row>
    <row r="959" ht="14.25" customHeight="1">
      <c r="M959" s="15"/>
    </row>
    <row r="960" ht="14.25" customHeight="1">
      <c r="M960" s="15"/>
    </row>
    <row r="961" ht="14.25" customHeight="1">
      <c r="M961" s="15"/>
    </row>
    <row r="962" ht="14.25" customHeight="1">
      <c r="M962" s="15"/>
    </row>
    <row r="963" ht="14.25" customHeight="1">
      <c r="M963" s="15"/>
    </row>
    <row r="964" ht="14.25" customHeight="1">
      <c r="M964" s="15"/>
    </row>
    <row r="965" ht="14.25" customHeight="1">
      <c r="M965" s="15"/>
    </row>
    <row r="966" ht="14.25" customHeight="1">
      <c r="M966" s="15"/>
    </row>
    <row r="967" ht="14.25" customHeight="1">
      <c r="M967" s="15"/>
    </row>
    <row r="968" ht="14.25" customHeight="1">
      <c r="M968" s="15"/>
    </row>
    <row r="969" ht="14.25" customHeight="1">
      <c r="M969" s="15"/>
    </row>
    <row r="970" ht="14.25" customHeight="1">
      <c r="M970" s="15"/>
    </row>
    <row r="971" ht="14.25" customHeight="1">
      <c r="M971" s="15"/>
    </row>
    <row r="972" ht="14.25" customHeight="1">
      <c r="M972" s="15"/>
    </row>
    <row r="973" ht="14.25" customHeight="1">
      <c r="M973" s="15"/>
    </row>
    <row r="974" ht="14.25" customHeight="1">
      <c r="M974" s="15"/>
    </row>
    <row r="975" ht="14.25" customHeight="1">
      <c r="M975" s="15"/>
    </row>
    <row r="976" ht="14.25" customHeight="1">
      <c r="M976" s="15"/>
    </row>
    <row r="977" ht="14.25" customHeight="1">
      <c r="M977" s="15"/>
    </row>
    <row r="978" ht="14.25" customHeight="1">
      <c r="M978" s="15"/>
    </row>
    <row r="979" ht="14.25" customHeight="1">
      <c r="M979" s="15"/>
    </row>
    <row r="980" ht="14.25" customHeight="1">
      <c r="M980" s="15"/>
    </row>
    <row r="981" ht="14.25" customHeight="1">
      <c r="M981" s="15"/>
    </row>
    <row r="982" ht="14.25" customHeight="1">
      <c r="M982" s="15"/>
    </row>
    <row r="983" ht="14.25" customHeight="1">
      <c r="M983" s="15"/>
    </row>
    <row r="984" ht="14.25" customHeight="1">
      <c r="M984" s="15"/>
    </row>
    <row r="985" ht="14.25" customHeight="1">
      <c r="M985" s="15"/>
    </row>
    <row r="986" ht="14.25" customHeight="1">
      <c r="M986" s="15"/>
    </row>
    <row r="987" ht="14.25" customHeight="1">
      <c r="M987" s="15"/>
    </row>
    <row r="988" ht="14.25" customHeight="1">
      <c r="M988" s="15"/>
    </row>
    <row r="989" ht="14.25" customHeight="1">
      <c r="M989" s="15"/>
    </row>
    <row r="990" ht="14.25" customHeight="1">
      <c r="M990" s="15"/>
    </row>
    <row r="991" ht="14.25" customHeight="1">
      <c r="M991" s="15"/>
    </row>
    <row r="992" ht="14.25" customHeight="1">
      <c r="M992" s="15"/>
    </row>
    <row r="993" ht="14.25" customHeight="1">
      <c r="M993" s="15"/>
    </row>
    <row r="994" ht="14.25" customHeight="1">
      <c r="M994" s="15"/>
    </row>
    <row r="995" ht="14.25" customHeight="1">
      <c r="M995" s="15"/>
    </row>
    <row r="996" ht="14.25" customHeight="1">
      <c r="M996" s="15"/>
    </row>
    <row r="997" ht="14.25" customHeight="1">
      <c r="M997" s="15"/>
    </row>
    <row r="998" ht="14.25" customHeight="1">
      <c r="M998" s="15"/>
    </row>
    <row r="999" ht="14.25" customHeight="1">
      <c r="M999" s="15"/>
    </row>
    <row r="1000" ht="14.25" customHeight="1">
      <c r="M1000" s="15"/>
    </row>
    <row r="1001" ht="14.25" customHeight="1">
      <c r="M1001" s="15"/>
    </row>
    <row r="1002" ht="14.25" customHeight="1">
      <c r="M1002" s="15"/>
    </row>
    <row r="1003" ht="14.25" customHeight="1">
      <c r="M1003" s="15"/>
    </row>
    <row r="1004" ht="14.25" customHeight="1">
      <c r="M1004" s="15"/>
    </row>
    <row r="1005" ht="14.25" customHeight="1">
      <c r="M1005" s="15"/>
    </row>
    <row r="1006" ht="14.25" customHeight="1">
      <c r="M1006" s="15"/>
    </row>
    <row r="1007" ht="14.25" customHeight="1">
      <c r="M1007" s="15"/>
    </row>
  </sheetData>
  <autoFilter ref="$A$1:$AB$41">
    <sortState ref="A1:AB41">
      <sortCondition descending="1" ref="AB1:AB41"/>
    </sortState>
  </autoFilter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7.5"/>
    <col customWidth="1" min="3" max="3" width="9.38"/>
    <col customWidth="1" min="4" max="4" width="8.63"/>
    <col customWidth="1" min="5" max="5" width="13.13"/>
    <col customWidth="1" min="6" max="6" width="12.0"/>
    <col customWidth="1" min="7" max="7" width="16.38"/>
    <col customWidth="1" min="8" max="9" width="16.13"/>
    <col customWidth="1" min="10" max="10" width="15.0"/>
    <col customWidth="1" min="11" max="12" width="14.63"/>
    <col customWidth="1" min="13" max="13" width="11.13"/>
    <col customWidth="1" min="14" max="14" width="15.13"/>
    <col customWidth="1" min="15" max="15" width="9.63"/>
    <col customWidth="1" min="16" max="16" width="8.63"/>
    <col customWidth="1" min="17" max="17" width="11.63"/>
    <col customWidth="1" min="18" max="18" width="12.63"/>
    <col customWidth="1" min="19" max="19" width="9.5"/>
    <col customWidth="1" min="20" max="26" width="8.63"/>
  </cols>
  <sheetData>
    <row r="1" ht="14.25" customHeight="1">
      <c r="A1" s="1" t="s">
        <v>1313</v>
      </c>
    </row>
    <row r="2" ht="14.25" customHeight="1">
      <c r="A2" s="14" t="s">
        <v>71</v>
      </c>
      <c r="B2" s="14" t="s">
        <v>1314</v>
      </c>
      <c r="C2" s="14" t="s">
        <v>1315</v>
      </c>
      <c r="D2" s="14" t="s">
        <v>1316</v>
      </c>
      <c r="E2" s="14" t="s">
        <v>1226</v>
      </c>
      <c r="F2" s="14" t="s">
        <v>1317</v>
      </c>
      <c r="G2" s="14" t="s">
        <v>1318</v>
      </c>
      <c r="H2" s="14" t="s">
        <v>1319</v>
      </c>
      <c r="I2" s="14" t="s">
        <v>1320</v>
      </c>
      <c r="J2" s="14" t="s">
        <v>1321</v>
      </c>
      <c r="K2" s="14" t="s">
        <v>1322</v>
      </c>
      <c r="L2" s="14" t="s">
        <v>1323</v>
      </c>
      <c r="M2" s="14" t="s">
        <v>1324</v>
      </c>
      <c r="N2" s="20" t="s">
        <v>1325</v>
      </c>
      <c r="Q2" s="14" t="s">
        <v>89</v>
      </c>
      <c r="R2" s="14" t="s">
        <v>1326</v>
      </c>
      <c r="S2" s="20" t="s">
        <v>1327</v>
      </c>
      <c r="T2" s="14" t="s">
        <v>90</v>
      </c>
      <c r="V2" s="16" t="s">
        <v>94</v>
      </c>
      <c r="W2" s="16" t="s">
        <v>95</v>
      </c>
      <c r="X2" s="16" t="s">
        <v>96</v>
      </c>
    </row>
    <row r="3" ht="14.25" customHeight="1">
      <c r="A3" s="16" t="s">
        <v>1328</v>
      </c>
      <c r="B3" s="16" t="s">
        <v>1329</v>
      </c>
      <c r="C3" s="16">
        <v>79.0</v>
      </c>
      <c r="D3" s="16" t="s">
        <v>1330</v>
      </c>
      <c r="E3" s="16" t="s">
        <v>114</v>
      </c>
      <c r="F3" s="16">
        <v>0.99</v>
      </c>
      <c r="G3" s="16">
        <v>-0.21</v>
      </c>
      <c r="H3" s="16">
        <v>-0.14</v>
      </c>
      <c r="I3" s="16">
        <v>-0.23</v>
      </c>
      <c r="J3" s="20">
        <f t="shared" ref="J3:J56" si="1">I3*0.6+H3*0.4</f>
        <v>-0.194</v>
      </c>
      <c r="K3" s="20">
        <f t="shared" ref="K3:K56" si="2">(F3 - AVERAGE($F$3:$F$489))/_xlfn.STDEV.P($F$3:$F$489)</f>
        <v>1.513580448</v>
      </c>
      <c r="L3" s="20">
        <f t="shared" ref="L3:L56" si="3">(J3 - AVERAGE($J$3:$J$489))/_xlfn.STDEV.P($J$3:$J$489)</f>
        <v>-0.7407585373</v>
      </c>
      <c r="M3" s="20">
        <f t="shared" ref="M3:M56" si="4">K3*0.6+L3*0.4</f>
        <v>0.6118448536</v>
      </c>
      <c r="N3" s="20">
        <f t="shared" ref="N3:N56" si="5">100*(M3-MIN($M$3:$M$489))/(MAX($M$3:$M$489) - MIN($M$3:$M$489))</f>
        <v>69.24273193</v>
      </c>
      <c r="Q3" s="16">
        <v>3.04</v>
      </c>
      <c r="R3" s="20">
        <f t="shared" ref="R3:R56" si="6">Q3*0.5+K3*0.3+L3*0.2</f>
        <v>1.825922427</v>
      </c>
      <c r="S3" s="20">
        <f t="shared" ref="S3:S56" si="7">100*(R3-MIN($R$3:$R$489))/(MAX($R$3:$R$489) - MIN($R$3:$R$489))</f>
        <v>44.68345393</v>
      </c>
      <c r="T3" s="20">
        <f t="shared" ref="T3:T56" si="8">S3-N3</f>
        <v>-24.55927799</v>
      </c>
      <c r="V3" s="20">
        <f>IFERROR(__xludf.DUMMYFUNCTION("iferror(PERCENTRANK.INC(FILTER($R$2:$R$432, $Q$2:$Q$432&lt;3.75), $R3), 1)"),0.6)</f>
        <v>0.6</v>
      </c>
      <c r="W3" s="20">
        <f>IFERROR(__xludf.DUMMYFUNCTION("iferror(PERCENTRANK.INC(FILTER($R$2:$R$432, $Q$2:$Q$432&lt;4.25), $R3), 1)"),0.476)</f>
        <v>0.476</v>
      </c>
      <c r="X3" s="20">
        <f>IFERROR(__xludf.DUMMYFUNCTION("iferror(PERCENTRANK.INC(FILTER($R$3:$R$432, $Q$3:$Q$432&gt;=4.1), $R3), 0.01)"),0.017)</f>
        <v>0.017</v>
      </c>
    </row>
    <row r="4" ht="14.25" customHeight="1">
      <c r="A4" s="16" t="s">
        <v>1331</v>
      </c>
      <c r="B4" s="16" t="s">
        <v>1332</v>
      </c>
      <c r="C4" s="16">
        <v>71.0</v>
      </c>
      <c r="D4" s="16" t="s">
        <v>1330</v>
      </c>
      <c r="E4" s="16" t="s">
        <v>1333</v>
      </c>
      <c r="F4" s="38">
        <v>0.986</v>
      </c>
      <c r="G4" s="16">
        <v>0.06</v>
      </c>
      <c r="H4" s="16">
        <v>-0.22</v>
      </c>
      <c r="I4" s="16">
        <v>0.14</v>
      </c>
      <c r="J4" s="20">
        <f t="shared" si="1"/>
        <v>-0.004</v>
      </c>
      <c r="K4" s="20">
        <f t="shared" si="2"/>
        <v>1.151260515</v>
      </c>
      <c r="L4" s="20">
        <f t="shared" si="3"/>
        <v>0.2849071297</v>
      </c>
      <c r="M4" s="20">
        <f t="shared" si="4"/>
        <v>0.8047191608</v>
      </c>
      <c r="N4" s="20">
        <f t="shared" si="5"/>
        <v>73.33288021</v>
      </c>
      <c r="Q4" s="16">
        <v>3.24</v>
      </c>
      <c r="R4" s="20">
        <f t="shared" si="6"/>
        <v>2.02235958</v>
      </c>
      <c r="S4" s="20">
        <f t="shared" si="7"/>
        <v>51.47402901</v>
      </c>
      <c r="T4" s="20">
        <f t="shared" si="8"/>
        <v>-21.8588512</v>
      </c>
      <c r="V4" s="20">
        <f>IFERROR(__xludf.DUMMYFUNCTION("iferror(PERCENTRANK.INC(FILTER($R$2:$R$432, $Q$2:$Q$432&lt;3.75), $R4), 1)"),0.8)</f>
        <v>0.8</v>
      </c>
      <c r="W4" s="20">
        <f>IFERROR(__xludf.DUMMYFUNCTION("iferror(PERCENTRANK.INC(FILTER($R$2:$R$432, $Q$2:$Q$432&lt;4.25), $R4), 1)"),0.667)</f>
        <v>0.667</v>
      </c>
      <c r="X4" s="20">
        <f>IFERROR(__xludf.DUMMYFUNCTION("iferror(PERCENTRANK.INC(FILTER($R$3:$R$432, $Q$3:$Q$432&gt;=4.1), $R4), 0.01)"),0.11)</f>
        <v>0.11</v>
      </c>
    </row>
    <row r="5" ht="14.25" customHeight="1">
      <c r="A5" s="14" t="s">
        <v>1334</v>
      </c>
      <c r="B5" s="14" t="s">
        <v>1335</v>
      </c>
      <c r="C5" s="14">
        <v>76.0</v>
      </c>
      <c r="D5" s="14" t="s">
        <v>1330</v>
      </c>
      <c r="E5" s="14" t="s">
        <v>147</v>
      </c>
      <c r="F5" s="20">
        <v>0.9620000000000001</v>
      </c>
      <c r="G5" s="14">
        <v>0.05</v>
      </c>
      <c r="H5" s="14">
        <v>0.67</v>
      </c>
      <c r="I5" s="14">
        <v>-0.02</v>
      </c>
      <c r="J5" s="20">
        <f t="shared" si="1"/>
        <v>0.256</v>
      </c>
      <c r="K5" s="20">
        <f t="shared" si="2"/>
        <v>-1.022659081</v>
      </c>
      <c r="L5" s="20">
        <f t="shared" si="3"/>
        <v>1.688449621</v>
      </c>
      <c r="M5" s="20">
        <f t="shared" si="4"/>
        <v>0.06178440016</v>
      </c>
      <c r="N5" s="20">
        <f t="shared" si="5"/>
        <v>57.57799102</v>
      </c>
      <c r="Q5" s="14">
        <v>3.3</v>
      </c>
      <c r="R5" s="20">
        <f t="shared" si="6"/>
        <v>1.6808922</v>
      </c>
      <c r="S5" s="20">
        <f t="shared" si="7"/>
        <v>39.66994898</v>
      </c>
      <c r="T5" s="20">
        <f t="shared" si="8"/>
        <v>-17.90804204</v>
      </c>
      <c r="V5" s="20">
        <f>IFERROR(__xludf.DUMMYFUNCTION("iferror(PERCENTRANK.INC(FILTER($R$2:$R$432, $Q$2:$Q$432&lt;3.75), $R5), 1)"),0.4)</f>
        <v>0.4</v>
      </c>
      <c r="W5" s="20">
        <f>IFERROR(__xludf.DUMMYFUNCTION("iferror(PERCENTRANK.INC(FILTER($R$2:$R$432, $Q$2:$Q$432&lt;4.25), $R5), 1)"),0.286)</f>
        <v>0.286</v>
      </c>
      <c r="X5" s="20">
        <f>IFERROR(__xludf.DUMMYFUNCTION("iferror(PERCENTRANK.INC(FILTER($R$3:$R$432, $Q$3:$Q$432&gt;=4.1), $R5), 0.01)"),0.0)</f>
        <v>0</v>
      </c>
    </row>
    <row r="6" ht="14.25" customHeight="1">
      <c r="A6" s="14" t="s">
        <v>1336</v>
      </c>
      <c r="B6" s="14" t="s">
        <v>1337</v>
      </c>
      <c r="C6" s="14">
        <v>54.0</v>
      </c>
      <c r="D6" s="14" t="s">
        <v>1330</v>
      </c>
      <c r="E6" s="14" t="s">
        <v>105</v>
      </c>
      <c r="F6" s="20">
        <v>0.9666666</v>
      </c>
      <c r="G6" s="14">
        <v>-0.06</v>
      </c>
      <c r="H6" s="14">
        <v>0.12</v>
      </c>
      <c r="I6" s="14">
        <v>-0.12</v>
      </c>
      <c r="J6" s="20">
        <f t="shared" si="1"/>
        <v>-0.024</v>
      </c>
      <c r="K6" s="20">
        <f t="shared" si="2"/>
        <v>-0.5999585313</v>
      </c>
      <c r="L6" s="20">
        <f t="shared" si="3"/>
        <v>0.1769423227</v>
      </c>
      <c r="M6" s="20">
        <f t="shared" si="4"/>
        <v>-0.2891981897</v>
      </c>
      <c r="N6" s="20">
        <f t="shared" si="5"/>
        <v>50.1349528</v>
      </c>
      <c r="Q6" s="14">
        <v>3.3</v>
      </c>
      <c r="R6" s="20">
        <f t="shared" si="6"/>
        <v>1.505400905</v>
      </c>
      <c r="S6" s="20">
        <f t="shared" si="7"/>
        <v>33.6034448</v>
      </c>
      <c r="T6" s="20">
        <f t="shared" si="8"/>
        <v>-16.531508</v>
      </c>
      <c r="V6" s="20">
        <f>IFERROR(__xludf.DUMMYFUNCTION("iferror(PERCENTRANK.INC(FILTER($R$2:$R$432, $Q$2:$Q$432&lt;3.75), $R6), 1)"),0.2)</f>
        <v>0.2</v>
      </c>
      <c r="W6" s="20">
        <f>IFERROR(__xludf.DUMMYFUNCTION("iferror(PERCENTRANK.INC(FILTER($R$2:$R$432, $Q$2:$Q$432&lt;4.25), $R6), 1)"),0.143)</f>
        <v>0.143</v>
      </c>
      <c r="X6" s="20">
        <f>IFERROR(__xludf.DUMMYFUNCTION("iferror(PERCENTRANK.INC(FILTER($R$3:$R$432, $Q$3:$Q$432&gt;=4.1), $R6), 0.01)"),0.01)</f>
        <v>0.01</v>
      </c>
    </row>
    <row r="7" ht="14.25" customHeight="1">
      <c r="A7" s="14" t="s">
        <v>1338</v>
      </c>
      <c r="B7" s="14" t="s">
        <v>1339</v>
      </c>
      <c r="C7" s="14">
        <v>54.0</v>
      </c>
      <c r="D7" s="14" t="s">
        <v>1330</v>
      </c>
      <c r="E7" s="14" t="s">
        <v>1340</v>
      </c>
      <c r="F7" s="20">
        <v>0.983</v>
      </c>
      <c r="G7" s="14">
        <v>0.0</v>
      </c>
      <c r="H7" s="14">
        <v>-1.0</v>
      </c>
      <c r="I7" s="14">
        <v>1.0</v>
      </c>
      <c r="J7" s="20">
        <f t="shared" si="1"/>
        <v>0.2</v>
      </c>
      <c r="K7" s="20">
        <f t="shared" si="2"/>
        <v>0.8795205655</v>
      </c>
      <c r="L7" s="20">
        <f t="shared" si="3"/>
        <v>1.386148162</v>
      </c>
      <c r="M7" s="20">
        <f t="shared" si="4"/>
        <v>1.082171604</v>
      </c>
      <c r="N7" s="20">
        <f t="shared" si="5"/>
        <v>79.21661689</v>
      </c>
      <c r="Q7" s="14">
        <v>3.55</v>
      </c>
      <c r="R7" s="20">
        <f t="shared" si="6"/>
        <v>2.316085802</v>
      </c>
      <c r="S7" s="20">
        <f t="shared" si="7"/>
        <v>61.62775972</v>
      </c>
      <c r="T7" s="20">
        <f t="shared" si="8"/>
        <v>-17.58885717</v>
      </c>
      <c r="V7" s="20">
        <f>IFERROR(__xludf.DUMMYFUNCTION("iferror(PERCENTRANK.INC(FILTER($R$2:$R$432, $Q$2:$Q$432&lt;3.75), $R7), 1)"),1.0)</f>
        <v>1</v>
      </c>
      <c r="W7" s="20">
        <f>IFERROR(__xludf.DUMMYFUNCTION("iferror(PERCENTRANK.INC(FILTER($R$2:$R$432, $Q$2:$Q$432&lt;4.25), $R7), 1)"),1.0)</f>
        <v>1</v>
      </c>
      <c r="X7" s="20">
        <f>IFERROR(__xludf.DUMMYFUNCTION("iferror(PERCENTRANK.INC(FILTER($R$3:$R$432, $Q$3:$Q$432&gt;=4.1), $R7), 0.01)"),0.392)</f>
        <v>0.392</v>
      </c>
    </row>
    <row r="8" ht="14.25" customHeight="1">
      <c r="A8" s="16" t="s">
        <v>1341</v>
      </c>
      <c r="B8" s="16" t="s">
        <v>1269</v>
      </c>
      <c r="C8" s="16">
        <v>79.0</v>
      </c>
      <c r="D8" s="16" t="s">
        <v>1330</v>
      </c>
      <c r="E8" s="16" t="s">
        <v>179</v>
      </c>
      <c r="F8" s="16">
        <v>0.93</v>
      </c>
      <c r="G8" s="16">
        <v>-0.19</v>
      </c>
      <c r="H8" s="16">
        <v>-0.4</v>
      </c>
      <c r="I8" s="16">
        <v>-0.06</v>
      </c>
      <c r="J8" s="20">
        <f t="shared" si="1"/>
        <v>-0.196</v>
      </c>
      <c r="K8" s="20">
        <f t="shared" si="2"/>
        <v>-3.921218541</v>
      </c>
      <c r="L8" s="20">
        <f t="shared" si="3"/>
        <v>-0.751555018</v>
      </c>
      <c r="M8" s="20">
        <f t="shared" si="4"/>
        <v>-2.653353132</v>
      </c>
      <c r="N8" s="20">
        <f t="shared" si="5"/>
        <v>0</v>
      </c>
      <c r="Q8" s="16">
        <v>3.72</v>
      </c>
      <c r="R8" s="20">
        <f t="shared" si="6"/>
        <v>0.533323434</v>
      </c>
      <c r="S8" s="20">
        <f t="shared" si="7"/>
        <v>0</v>
      </c>
      <c r="T8" s="20">
        <f t="shared" si="8"/>
        <v>0</v>
      </c>
      <c r="V8" s="20">
        <f>IFERROR(__xludf.DUMMYFUNCTION("iferror(PERCENTRANK.INC(FILTER($R$2:$R$432, $Q$2:$Q$432&lt;3.75), $R8), 1)"),0.0)</f>
        <v>0</v>
      </c>
      <c r="W8" s="20">
        <f>IFERROR(__xludf.DUMMYFUNCTION("iferror(PERCENTRANK.INC(FILTER($R$2:$R$432, $Q$2:$Q$432&lt;4.25), $R8), 1)"),0.0)</f>
        <v>0</v>
      </c>
      <c r="X8" s="20">
        <f>IFERROR(__xludf.DUMMYFUNCTION("iferror(PERCENTRANK.INC(FILTER($R$3:$R$432, $Q$3:$Q$432&gt;=4.1), $R8), 0.01)"),0.01)</f>
        <v>0.01</v>
      </c>
    </row>
    <row r="9" ht="14.25" customHeight="1">
      <c r="A9" s="14" t="s">
        <v>1342</v>
      </c>
      <c r="B9" s="14" t="s">
        <v>1343</v>
      </c>
      <c r="C9" s="14">
        <v>62.0</v>
      </c>
      <c r="D9" s="14" t="s">
        <v>1330</v>
      </c>
      <c r="E9" s="14" t="s">
        <v>158</v>
      </c>
      <c r="F9" s="20">
        <v>0.977</v>
      </c>
      <c r="G9" s="14">
        <v>-0.03</v>
      </c>
      <c r="H9" s="14">
        <v>0.0</v>
      </c>
      <c r="I9" s="14">
        <v>-0.04</v>
      </c>
      <c r="J9" s="20">
        <f t="shared" si="1"/>
        <v>-0.024</v>
      </c>
      <c r="K9" s="20">
        <f t="shared" si="2"/>
        <v>0.3360406666</v>
      </c>
      <c r="L9" s="20">
        <f t="shared" si="3"/>
        <v>0.1769423227</v>
      </c>
      <c r="M9" s="20">
        <f t="shared" si="4"/>
        <v>0.272401329</v>
      </c>
      <c r="N9" s="20">
        <f t="shared" si="5"/>
        <v>62.04439447</v>
      </c>
      <c r="Q9" s="14">
        <v>3.76</v>
      </c>
      <c r="R9" s="20">
        <f t="shared" si="6"/>
        <v>2.016200665</v>
      </c>
      <c r="S9" s="20">
        <f t="shared" si="7"/>
        <v>51.26112336</v>
      </c>
      <c r="T9" s="20">
        <f t="shared" si="8"/>
        <v>-10.78327111</v>
      </c>
      <c r="V9" s="20">
        <f>IFERROR(__xludf.DUMMYFUNCTION("iferror(PERCENTRANK.INC(FILTER($R$2:$R$432, $Q$2:$Q$432&lt;3.75), $R9), 1)"),0.794)</f>
        <v>0.794</v>
      </c>
      <c r="W9" s="20">
        <f>IFERROR(__xludf.DUMMYFUNCTION("iferror(PERCENTRANK.INC(FILTER($R$2:$R$432, $Q$2:$Q$432&lt;4.25), $R9), 1)"),0.619)</f>
        <v>0.619</v>
      </c>
      <c r="X9" s="20">
        <f>IFERROR(__xludf.DUMMYFUNCTION("iferror(PERCENTRANK.INC(FILTER($R$3:$R$432, $Q$3:$Q$432&gt;=4.1), $R9), 0.01)"),0.091)</f>
        <v>0.091</v>
      </c>
    </row>
    <row r="10" ht="14.25" customHeight="1">
      <c r="A10" s="14" t="s">
        <v>1344</v>
      </c>
      <c r="B10" s="14" t="s">
        <v>1236</v>
      </c>
      <c r="C10" s="14">
        <v>71.0</v>
      </c>
      <c r="D10" s="14" t="s">
        <v>1330</v>
      </c>
      <c r="E10" s="14" t="s">
        <v>158</v>
      </c>
      <c r="F10" s="20">
        <v>0.975</v>
      </c>
      <c r="G10" s="14">
        <v>0.0</v>
      </c>
      <c r="H10" s="14">
        <v>-0.14</v>
      </c>
      <c r="I10" s="14">
        <v>0.13</v>
      </c>
      <c r="J10" s="20">
        <f t="shared" si="1"/>
        <v>0.022</v>
      </c>
      <c r="K10" s="20">
        <f t="shared" si="2"/>
        <v>0.1548807003</v>
      </c>
      <c r="L10" s="20">
        <f t="shared" si="3"/>
        <v>0.4252613789</v>
      </c>
      <c r="M10" s="20">
        <f t="shared" si="4"/>
        <v>0.2630329717</v>
      </c>
      <c r="N10" s="20">
        <f t="shared" si="5"/>
        <v>61.84572637</v>
      </c>
      <c r="Q10" s="14">
        <v>3.76</v>
      </c>
      <c r="R10" s="20">
        <f t="shared" si="6"/>
        <v>2.011516486</v>
      </c>
      <c r="S10" s="20">
        <f t="shared" si="7"/>
        <v>51.09919744</v>
      </c>
      <c r="T10" s="20">
        <f t="shared" si="8"/>
        <v>-10.74652894</v>
      </c>
      <c r="V10" s="20">
        <f>IFERROR(__xludf.DUMMYFUNCTION("iferror(PERCENTRANK.INC(FILTER($R$2:$R$432, $Q$2:$Q$432&lt;3.75), $R10), 1)"),0.789)</f>
        <v>0.789</v>
      </c>
      <c r="W10" s="20">
        <f>IFERROR(__xludf.DUMMYFUNCTION("iferror(PERCENTRANK.INC(FILTER($R$2:$R$432, $Q$2:$Q$432&lt;4.25), $R10), 1)"),0.571)</f>
        <v>0.571</v>
      </c>
      <c r="X10" s="20">
        <f>IFERROR(__xludf.DUMMYFUNCTION("iferror(PERCENTRANK.INC(FILTER($R$3:$R$432, $Q$3:$Q$432&gt;=4.1), $R10), 0.01)"),0.084)</f>
        <v>0.084</v>
      </c>
    </row>
    <row r="11" ht="14.25" customHeight="1">
      <c r="A11" s="16" t="s">
        <v>1345</v>
      </c>
      <c r="B11" s="16" t="s">
        <v>1346</v>
      </c>
      <c r="C11" s="16">
        <v>56.0</v>
      </c>
      <c r="D11" s="16" t="s">
        <v>1330</v>
      </c>
      <c r="E11" s="16" t="s">
        <v>1347</v>
      </c>
      <c r="F11" s="38">
        <v>0.949</v>
      </c>
      <c r="G11" s="16">
        <v>-0.26</v>
      </c>
      <c r="H11" s="16">
        <v>-0.26</v>
      </c>
      <c r="I11" s="16">
        <v>-0.26</v>
      </c>
      <c r="J11" s="20">
        <f t="shared" si="1"/>
        <v>-0.26</v>
      </c>
      <c r="K11" s="20">
        <f t="shared" si="2"/>
        <v>-2.200198862</v>
      </c>
      <c r="L11" s="20">
        <f t="shared" si="3"/>
        <v>-1.097042401</v>
      </c>
      <c r="M11" s="20">
        <f t="shared" si="4"/>
        <v>-1.758936277</v>
      </c>
      <c r="N11" s="20">
        <f t="shared" si="5"/>
        <v>18.96726226</v>
      </c>
      <c r="Q11" s="16">
        <v>3.76</v>
      </c>
      <c r="R11" s="20">
        <f t="shared" si="6"/>
        <v>1.000531861</v>
      </c>
      <c r="S11" s="20">
        <f t="shared" si="7"/>
        <v>16.15078331</v>
      </c>
      <c r="T11" s="20">
        <f t="shared" si="8"/>
        <v>-2.816478942</v>
      </c>
      <c r="V11" s="20">
        <f>IFERROR(__xludf.DUMMYFUNCTION("iferror(PERCENTRANK.INC(FILTER($R$2:$R$432, $Q$2:$Q$432&lt;3.75), $R11), 1)"),0.096)</f>
        <v>0.096</v>
      </c>
      <c r="W11" s="20">
        <f>IFERROR(__xludf.DUMMYFUNCTION("iferror(PERCENTRANK.INC(FILTER($R$2:$R$432, $Q$2:$Q$432&lt;4.25), $R11), 1)"),0.048)</f>
        <v>0.048</v>
      </c>
      <c r="X11" s="20">
        <f>IFERROR(__xludf.DUMMYFUNCTION("iferror(PERCENTRANK.INC(FILTER($R$3:$R$432, $Q$3:$Q$432&gt;=4.1), $R11), 0.01)"),0.01)</f>
        <v>0.01</v>
      </c>
    </row>
    <row r="12" ht="14.25" customHeight="1">
      <c r="A12" s="14" t="s">
        <v>1348</v>
      </c>
      <c r="B12" s="14" t="s">
        <v>1252</v>
      </c>
      <c r="C12" s="14">
        <v>74.0</v>
      </c>
      <c r="D12" s="14" t="s">
        <v>1330</v>
      </c>
      <c r="E12" s="14" t="s">
        <v>144</v>
      </c>
      <c r="F12" s="20">
        <v>0.965</v>
      </c>
      <c r="G12" s="14">
        <v>0.06</v>
      </c>
      <c r="H12" s="14">
        <v>1.0</v>
      </c>
      <c r="I12" s="14">
        <v>0.04</v>
      </c>
      <c r="J12" s="20">
        <f t="shared" si="1"/>
        <v>0.424</v>
      </c>
      <c r="K12" s="20">
        <f t="shared" si="2"/>
        <v>-0.7509191312</v>
      </c>
      <c r="L12" s="20">
        <f t="shared" si="3"/>
        <v>2.595354001</v>
      </c>
      <c r="M12" s="20">
        <f t="shared" si="4"/>
        <v>0.5875901215</v>
      </c>
      <c r="N12" s="20">
        <f t="shared" si="5"/>
        <v>68.72837907</v>
      </c>
      <c r="Q12" s="14">
        <v>3.81</v>
      </c>
      <c r="R12" s="20">
        <f t="shared" si="6"/>
        <v>2.198795061</v>
      </c>
      <c r="S12" s="20">
        <f t="shared" si="7"/>
        <v>57.57317244</v>
      </c>
      <c r="T12" s="20">
        <f t="shared" si="8"/>
        <v>-11.15520663</v>
      </c>
      <c r="V12" s="20">
        <f>IFERROR(__xludf.DUMMYFUNCTION("iferror(PERCENTRANK.INC(FILTER($R$2:$R$432, $Q$2:$Q$432&lt;3.75), $R12), 1)"),0.92)</f>
        <v>0.92</v>
      </c>
      <c r="W12" s="20">
        <f>IFERROR(__xludf.DUMMYFUNCTION("iferror(PERCENTRANK.INC(FILTER($R$2:$R$432, $Q$2:$Q$432&lt;4.25), $R12), 1)"),0.905)</f>
        <v>0.905</v>
      </c>
      <c r="X12" s="20">
        <f>IFERROR(__xludf.DUMMYFUNCTION("iferror(PERCENTRANK.INC(FILTER($R$3:$R$432, $Q$3:$Q$432&gt;=4.1), $R12), 0.01)"),0.304)</f>
        <v>0.304</v>
      </c>
    </row>
    <row r="13" ht="14.25" customHeight="1">
      <c r="A13" s="14" t="s">
        <v>1349</v>
      </c>
      <c r="B13" s="14" t="s">
        <v>1350</v>
      </c>
      <c r="C13" s="14">
        <v>77.0</v>
      </c>
      <c r="D13" s="14" t="s">
        <v>1330</v>
      </c>
      <c r="E13" s="14" t="s">
        <v>1351</v>
      </c>
      <c r="F13" s="20">
        <v>0.967</v>
      </c>
      <c r="G13" s="14">
        <v>-0.1</v>
      </c>
      <c r="H13" s="14">
        <v>-0.36</v>
      </c>
      <c r="I13" s="14">
        <v>0.12</v>
      </c>
      <c r="J13" s="20">
        <f t="shared" si="1"/>
        <v>-0.072</v>
      </c>
      <c r="K13" s="20">
        <f t="shared" si="2"/>
        <v>-0.5697591649</v>
      </c>
      <c r="L13" s="20">
        <f t="shared" si="3"/>
        <v>-0.08217321425</v>
      </c>
      <c r="M13" s="20">
        <f t="shared" si="4"/>
        <v>-0.3747247846</v>
      </c>
      <c r="N13" s="20">
        <f t="shared" si="5"/>
        <v>48.32125112</v>
      </c>
      <c r="Q13" s="14">
        <v>3.97</v>
      </c>
      <c r="R13" s="20">
        <f t="shared" si="6"/>
        <v>1.797637608</v>
      </c>
      <c r="S13" s="20">
        <f t="shared" si="7"/>
        <v>43.70568479</v>
      </c>
      <c r="T13" s="20">
        <f t="shared" si="8"/>
        <v>-4.61556633</v>
      </c>
      <c r="V13" s="20">
        <f>IFERROR(__xludf.DUMMYFUNCTION("iferror(PERCENTRANK.INC(FILTER($R$2:$R$432, $Q$2:$Q$432&lt;3.75), $R13), 1)"),0.561)</f>
        <v>0.561</v>
      </c>
      <c r="W13" s="20">
        <f>IFERROR(__xludf.DUMMYFUNCTION("iferror(PERCENTRANK.INC(FILTER($R$2:$R$432, $Q$2:$Q$432&lt;4.25), $R13), 1)"),0.381)</f>
        <v>0.381</v>
      </c>
      <c r="X13" s="20">
        <f>IFERROR(__xludf.DUMMYFUNCTION("iferror(PERCENTRANK.INC(FILTER($R$3:$R$432, $Q$3:$Q$432&gt;=4.1), $R13), 0.01)"),0.014)</f>
        <v>0.014</v>
      </c>
    </row>
    <row r="14" ht="14.25" customHeight="1">
      <c r="A14" s="14" t="s">
        <v>1352</v>
      </c>
      <c r="B14" s="14" t="s">
        <v>608</v>
      </c>
      <c r="C14" s="14">
        <v>72.0</v>
      </c>
      <c r="D14" s="14" t="s">
        <v>1330</v>
      </c>
      <c r="E14" s="14" t="s">
        <v>158</v>
      </c>
      <c r="F14" s="20">
        <v>0.985</v>
      </c>
      <c r="G14" s="14">
        <v>-0.09</v>
      </c>
      <c r="H14" s="14">
        <v>-0.36</v>
      </c>
      <c r="I14" s="14">
        <v>0.0</v>
      </c>
      <c r="J14" s="20">
        <f t="shared" si="1"/>
        <v>-0.144</v>
      </c>
      <c r="K14" s="20">
        <f t="shared" si="2"/>
        <v>1.060680532</v>
      </c>
      <c r="L14" s="20">
        <f t="shared" si="3"/>
        <v>-0.4708465196</v>
      </c>
      <c r="M14" s="20">
        <f t="shared" si="4"/>
        <v>0.4480697112</v>
      </c>
      <c r="N14" s="20">
        <f t="shared" si="5"/>
        <v>65.76966894</v>
      </c>
      <c r="Q14" s="14">
        <v>4.02</v>
      </c>
      <c r="R14" s="20">
        <f t="shared" si="6"/>
        <v>2.234034856</v>
      </c>
      <c r="S14" s="20">
        <f t="shared" si="7"/>
        <v>58.79136599</v>
      </c>
      <c r="T14" s="20">
        <f t="shared" si="8"/>
        <v>-6.978302947</v>
      </c>
      <c r="V14" s="20">
        <f>IFERROR(__xludf.DUMMYFUNCTION("iferror(PERCENTRANK.INC(FILTER($R$2:$R$432, $Q$2:$Q$432&lt;3.75), $R14), 1)"),0.944)</f>
        <v>0.944</v>
      </c>
      <c r="W14" s="20">
        <f>IFERROR(__xludf.DUMMYFUNCTION("iferror(PERCENTRANK.INC(FILTER($R$2:$R$432, $Q$2:$Q$432&lt;4.25), $R14), 1)"),0.952)</f>
        <v>0.952</v>
      </c>
      <c r="X14" s="20">
        <f>IFERROR(__xludf.DUMMYFUNCTION("iferror(PERCENTRANK.INC(FILTER($R$3:$R$432, $Q$3:$Q$432&gt;=4.1), $R14), 0.01)"),0.322)</f>
        <v>0.322</v>
      </c>
    </row>
    <row r="15" ht="14.25" customHeight="1">
      <c r="A15" s="14" t="s">
        <v>1353</v>
      </c>
      <c r="B15" s="14" t="s">
        <v>1261</v>
      </c>
      <c r="C15" s="14">
        <v>55.0</v>
      </c>
      <c r="D15" s="14" t="s">
        <v>1330</v>
      </c>
      <c r="E15" s="14" t="s">
        <v>102</v>
      </c>
      <c r="F15" s="20">
        <v>0.966</v>
      </c>
      <c r="G15" s="14">
        <v>-0.09</v>
      </c>
      <c r="H15" s="14">
        <v>0.1</v>
      </c>
      <c r="I15" s="14">
        <v>-0.16</v>
      </c>
      <c r="J15" s="20">
        <f t="shared" si="1"/>
        <v>-0.056</v>
      </c>
      <c r="K15" s="20">
        <f t="shared" si="2"/>
        <v>-0.660339148</v>
      </c>
      <c r="L15" s="20">
        <f t="shared" si="3"/>
        <v>0.004198631385</v>
      </c>
      <c r="M15" s="20">
        <f t="shared" si="4"/>
        <v>-0.3945240363</v>
      </c>
      <c r="N15" s="20">
        <f t="shared" si="5"/>
        <v>47.90138247</v>
      </c>
      <c r="Q15" s="14">
        <v>4.02</v>
      </c>
      <c r="R15" s="20">
        <f t="shared" si="6"/>
        <v>1.812737982</v>
      </c>
      <c r="S15" s="20">
        <f t="shared" si="7"/>
        <v>44.22768494</v>
      </c>
      <c r="T15" s="20">
        <f t="shared" si="8"/>
        <v>-3.673697525</v>
      </c>
      <c r="V15" s="20">
        <f>IFERROR(__xludf.DUMMYFUNCTION("iferror(PERCENTRANK.INC(FILTER($R$2:$R$432, $Q$2:$Q$432&lt;3.75), $R15), 1)"),0.582)</f>
        <v>0.582</v>
      </c>
      <c r="W15" s="20">
        <f>IFERROR(__xludf.DUMMYFUNCTION("iferror(PERCENTRANK.INC(FILTER($R$2:$R$432, $Q$2:$Q$432&lt;4.25), $R15), 1)"),0.429)</f>
        <v>0.429</v>
      </c>
      <c r="X15" s="20">
        <f>IFERROR(__xludf.DUMMYFUNCTION("iferror(PERCENTRANK.INC(FILTER($R$3:$R$432, $Q$3:$Q$432&gt;=4.1), $R15), 0.01)"),0.015)</f>
        <v>0.015</v>
      </c>
    </row>
    <row r="16" ht="14.25" customHeight="1">
      <c r="A16" s="14" t="s">
        <v>1354</v>
      </c>
      <c r="B16" s="14" t="s">
        <v>1355</v>
      </c>
      <c r="C16" s="14">
        <v>51.0</v>
      </c>
      <c r="D16" s="14" t="s">
        <v>1330</v>
      </c>
      <c r="E16" s="14" t="s">
        <v>147</v>
      </c>
      <c r="F16" s="20">
        <v>0.9670000000000001</v>
      </c>
      <c r="G16" s="14">
        <v>-0.04</v>
      </c>
      <c r="H16" s="14">
        <v>0.12</v>
      </c>
      <c r="I16" s="14">
        <v>-0.43</v>
      </c>
      <c r="J16" s="20">
        <f t="shared" si="1"/>
        <v>-0.21</v>
      </c>
      <c r="K16" s="20">
        <f t="shared" si="2"/>
        <v>-0.5697591649</v>
      </c>
      <c r="L16" s="20">
        <f t="shared" si="3"/>
        <v>-0.8271303829</v>
      </c>
      <c r="M16" s="20">
        <f t="shared" si="4"/>
        <v>-0.6727076521</v>
      </c>
      <c r="N16" s="20">
        <f t="shared" si="5"/>
        <v>42.00214033</v>
      </c>
      <c r="Q16" s="14">
        <v>4.02</v>
      </c>
      <c r="R16" s="20">
        <f t="shared" si="6"/>
        <v>1.673646174</v>
      </c>
      <c r="S16" s="20">
        <f t="shared" si="7"/>
        <v>39.41946335</v>
      </c>
      <c r="T16" s="20">
        <f t="shared" si="8"/>
        <v>-2.582676985</v>
      </c>
      <c r="V16" s="20">
        <f>IFERROR(__xludf.DUMMYFUNCTION("iferror(PERCENTRANK.INC(FILTER($R$2:$R$432, $Q$2:$Q$432&lt;3.75), $R16), 1)"),0.392)</f>
        <v>0.392</v>
      </c>
      <c r="W16" s="20">
        <f>IFERROR(__xludf.DUMMYFUNCTION("iferror(PERCENTRANK.INC(FILTER($R$2:$R$432, $Q$2:$Q$432&lt;4.25), $R16), 1)"),0.19)</f>
        <v>0.19</v>
      </c>
      <c r="X16" s="20">
        <f>IFERROR(__xludf.DUMMYFUNCTION("iferror(PERCENTRANK.INC(FILTER($R$3:$R$432, $Q$3:$Q$432&gt;=4.1), $R16), 0.01)"),0.01)</f>
        <v>0.01</v>
      </c>
    </row>
    <row r="17" ht="14.25" customHeight="1">
      <c r="A17" s="14" t="s">
        <v>1356</v>
      </c>
      <c r="B17" s="14" t="s">
        <v>1357</v>
      </c>
      <c r="C17" s="14">
        <v>77.0</v>
      </c>
      <c r="D17" s="14" t="s">
        <v>1330</v>
      </c>
      <c r="E17" s="14" t="s">
        <v>144</v>
      </c>
      <c r="F17" s="20">
        <v>0.965</v>
      </c>
      <c r="G17" s="14">
        <v>-0.15</v>
      </c>
      <c r="H17" s="14">
        <v>-0.2</v>
      </c>
      <c r="I17" s="14">
        <v>-0.11</v>
      </c>
      <c r="J17" s="20">
        <f t="shared" si="1"/>
        <v>-0.146</v>
      </c>
      <c r="K17" s="20">
        <f t="shared" si="2"/>
        <v>-0.7509191312</v>
      </c>
      <c r="L17" s="20">
        <f t="shared" si="3"/>
        <v>-0.4816430003</v>
      </c>
      <c r="M17" s="20">
        <f t="shared" si="4"/>
        <v>-0.6432086788</v>
      </c>
      <c r="N17" s="20">
        <f t="shared" si="5"/>
        <v>42.62770408</v>
      </c>
      <c r="Q17" s="14">
        <v>4.02</v>
      </c>
      <c r="R17" s="20">
        <f t="shared" si="6"/>
        <v>1.688395661</v>
      </c>
      <c r="S17" s="20">
        <f t="shared" si="7"/>
        <v>39.92933378</v>
      </c>
      <c r="T17" s="20">
        <f t="shared" si="8"/>
        <v>-2.698370303</v>
      </c>
      <c r="V17" s="20">
        <f>IFERROR(__xludf.DUMMYFUNCTION("iferror(PERCENTRANK.INC(FILTER($R$2:$R$432, $Q$2:$Q$432&lt;3.75), $R17), 1)"),0.41)</f>
        <v>0.41</v>
      </c>
      <c r="W17" s="20">
        <f>IFERROR(__xludf.DUMMYFUNCTION("iferror(PERCENTRANK.INC(FILTER($R$2:$R$432, $Q$2:$Q$432&lt;4.25), $R17), 1)"),0.333)</f>
        <v>0.333</v>
      </c>
      <c r="X17" s="20">
        <f>IFERROR(__xludf.DUMMYFUNCTION("iferror(PERCENTRANK.INC(FILTER($R$3:$R$432, $Q$3:$Q$432&gt;=4.1), $R17), 0.01)"),0.001)</f>
        <v>0.001</v>
      </c>
    </row>
    <row r="18" ht="14.25" customHeight="1">
      <c r="A18" s="14" t="s">
        <v>1358</v>
      </c>
      <c r="B18" s="14" t="s">
        <v>1359</v>
      </c>
      <c r="C18" s="14">
        <v>54.0</v>
      </c>
      <c r="D18" s="14" t="s">
        <v>1330</v>
      </c>
      <c r="E18" s="14" t="s">
        <v>147</v>
      </c>
      <c r="F18" s="20">
        <v>0.978</v>
      </c>
      <c r="G18" s="14">
        <v>-0.15</v>
      </c>
      <c r="H18" s="14">
        <v>-0.09</v>
      </c>
      <c r="I18" s="14">
        <v>-0.21</v>
      </c>
      <c r="J18" s="20">
        <f t="shared" si="1"/>
        <v>-0.162</v>
      </c>
      <c r="K18" s="20">
        <f t="shared" si="2"/>
        <v>0.4266206497</v>
      </c>
      <c r="L18" s="20">
        <f t="shared" si="3"/>
        <v>-0.568014846</v>
      </c>
      <c r="M18" s="20">
        <f t="shared" si="4"/>
        <v>0.02876645146</v>
      </c>
      <c r="N18" s="20">
        <f t="shared" si="5"/>
        <v>56.87780286</v>
      </c>
      <c r="Q18" s="14">
        <v>4.06</v>
      </c>
      <c r="R18" s="20">
        <f t="shared" si="6"/>
        <v>2.044383226</v>
      </c>
      <c r="S18" s="20">
        <f t="shared" si="7"/>
        <v>52.23535758</v>
      </c>
      <c r="T18" s="20">
        <f t="shared" si="8"/>
        <v>-4.642445277</v>
      </c>
      <c r="V18" s="20">
        <f>IFERROR(__xludf.DUMMYFUNCTION("iferror(PERCENTRANK.INC(FILTER($R$2:$R$432, $Q$2:$Q$432&lt;3.75), $R18), 1)"),0.815)</f>
        <v>0.815</v>
      </c>
      <c r="W18" s="20">
        <f>IFERROR(__xludf.DUMMYFUNCTION("iferror(PERCENTRANK.INC(FILTER($R$2:$R$432, $Q$2:$Q$432&lt;4.25), $R18), 1)"),0.762)</f>
        <v>0.762</v>
      </c>
      <c r="X18" s="20">
        <f>IFERROR(__xludf.DUMMYFUNCTION("iferror(PERCENTRANK.INC(FILTER($R$3:$R$432, $Q$3:$Q$432&gt;=4.1), $R18), 0.01)"),0.135)</f>
        <v>0.135</v>
      </c>
    </row>
    <row r="19" ht="14.25" customHeight="1">
      <c r="A19" s="14" t="s">
        <v>1360</v>
      </c>
      <c r="B19" s="14" t="s">
        <v>585</v>
      </c>
      <c r="C19" s="14">
        <v>66.0</v>
      </c>
      <c r="D19" s="14" t="s">
        <v>1330</v>
      </c>
      <c r="E19" s="14" t="s">
        <v>144</v>
      </c>
      <c r="F19" s="20">
        <v>0.9740000000000001</v>
      </c>
      <c r="G19" s="14">
        <v>-0.16</v>
      </c>
      <c r="H19" s="14">
        <v>0.17</v>
      </c>
      <c r="I19" s="14">
        <v>-0.23</v>
      </c>
      <c r="J19" s="20">
        <f t="shared" si="1"/>
        <v>-0.07</v>
      </c>
      <c r="K19" s="20">
        <f t="shared" si="2"/>
        <v>0.06430071715</v>
      </c>
      <c r="L19" s="20">
        <f t="shared" si="3"/>
        <v>-0.07137673355</v>
      </c>
      <c r="M19" s="20">
        <f t="shared" si="4"/>
        <v>0.01002973687</v>
      </c>
      <c r="N19" s="20">
        <f t="shared" si="5"/>
        <v>56.48046667</v>
      </c>
      <c r="Q19" s="16">
        <v>4.06</v>
      </c>
      <c r="R19" s="20">
        <f t="shared" si="6"/>
        <v>2.035014868</v>
      </c>
      <c r="S19" s="20">
        <f t="shared" si="7"/>
        <v>51.91150574</v>
      </c>
      <c r="T19" s="20">
        <f t="shared" si="8"/>
        <v>-4.568960933</v>
      </c>
      <c r="V19" s="20">
        <f>IFERROR(__xludf.DUMMYFUNCTION("iferror(PERCENTRANK.INC(FILTER($R$2:$R$432, $Q$2:$Q$432&lt;3.75), $R19), 1)"),0.809)</f>
        <v>0.809</v>
      </c>
      <c r="W19" s="20">
        <f>IFERROR(__xludf.DUMMYFUNCTION("iferror(PERCENTRANK.INC(FILTER($R$2:$R$432, $Q$2:$Q$432&lt;4.25), $R19), 1)"),0.714)</f>
        <v>0.714</v>
      </c>
      <c r="X19" s="20">
        <f>IFERROR(__xludf.DUMMYFUNCTION("iferror(PERCENTRANK.INC(FILTER($R$3:$R$432, $Q$3:$Q$432&gt;=4.1), $R19), 0.01)"),0.128)</f>
        <v>0.128</v>
      </c>
    </row>
    <row r="20" ht="14.25" customHeight="1">
      <c r="A20" s="14" t="s">
        <v>1361</v>
      </c>
      <c r="B20" s="14" t="s">
        <v>1362</v>
      </c>
      <c r="C20" s="14">
        <v>75.0</v>
      </c>
      <c r="D20" s="14" t="s">
        <v>1330</v>
      </c>
      <c r="E20" s="14" t="s">
        <v>117</v>
      </c>
      <c r="F20" s="20">
        <v>0.98</v>
      </c>
      <c r="G20" s="14">
        <v>-0.17</v>
      </c>
      <c r="H20" s="14">
        <v>-0.11</v>
      </c>
      <c r="I20" s="14">
        <v>-0.19</v>
      </c>
      <c r="J20" s="20">
        <f t="shared" si="1"/>
        <v>-0.158</v>
      </c>
      <c r="K20" s="20">
        <f t="shared" si="2"/>
        <v>0.607780616</v>
      </c>
      <c r="L20" s="20">
        <f t="shared" si="3"/>
        <v>-0.5464218846</v>
      </c>
      <c r="M20" s="20">
        <f t="shared" si="4"/>
        <v>0.1460996158</v>
      </c>
      <c r="N20" s="20">
        <f t="shared" si="5"/>
        <v>59.36600384</v>
      </c>
      <c r="Q20" s="14">
        <v>4.07</v>
      </c>
      <c r="R20" s="20">
        <f t="shared" si="6"/>
        <v>2.108049808</v>
      </c>
      <c r="S20" s="20">
        <f t="shared" si="7"/>
        <v>54.43622792</v>
      </c>
      <c r="T20" s="20">
        <f t="shared" si="8"/>
        <v>-4.929775917</v>
      </c>
      <c r="V20" s="20">
        <f>IFERROR(__xludf.DUMMYFUNCTION("iferror(PERCENTRANK.INC(FILTER($R$2:$R$432, $Q$2:$Q$432&lt;3.75), $R20), 1)"),0.858)</f>
        <v>0.858</v>
      </c>
      <c r="W20" s="20">
        <f>IFERROR(__xludf.DUMMYFUNCTION("iferror(PERCENTRANK.INC(FILTER($R$2:$R$432, $Q$2:$Q$432&lt;4.25), $R20), 1)"),0.857)</f>
        <v>0.857</v>
      </c>
      <c r="X20" s="20">
        <f>IFERROR(__xludf.DUMMYFUNCTION("iferror(PERCENTRANK.INC(FILTER($R$3:$R$432, $Q$3:$Q$432&gt;=4.1), $R20), 0.01)"),0.236)</f>
        <v>0.236</v>
      </c>
    </row>
    <row r="21" ht="14.25" customHeight="1">
      <c r="A21" s="14" t="s">
        <v>1363</v>
      </c>
      <c r="B21" s="14" t="s">
        <v>710</v>
      </c>
      <c r="C21" s="14">
        <v>78.0</v>
      </c>
      <c r="D21" s="14" t="s">
        <v>1330</v>
      </c>
      <c r="E21" s="14" t="s">
        <v>158</v>
      </c>
      <c r="F21" s="20">
        <v>0.973</v>
      </c>
      <c r="G21" s="14">
        <v>-0.1</v>
      </c>
      <c r="H21" s="14">
        <v>-0.23</v>
      </c>
      <c r="I21" s="14">
        <v>-0.03</v>
      </c>
      <c r="J21" s="20">
        <f t="shared" si="1"/>
        <v>-0.11</v>
      </c>
      <c r="K21" s="20">
        <f t="shared" si="2"/>
        <v>-0.026279266</v>
      </c>
      <c r="L21" s="20">
        <f t="shared" si="3"/>
        <v>-0.2873063476</v>
      </c>
      <c r="M21" s="20">
        <f t="shared" si="4"/>
        <v>-0.1306900987</v>
      </c>
      <c r="N21" s="20">
        <f t="shared" si="5"/>
        <v>53.49632118</v>
      </c>
      <c r="Q21" s="14">
        <v>4.07</v>
      </c>
      <c r="R21" s="20">
        <f t="shared" si="6"/>
        <v>1.969654951</v>
      </c>
      <c r="S21" s="20">
        <f t="shared" si="7"/>
        <v>49.652099</v>
      </c>
      <c r="T21" s="20">
        <f t="shared" si="8"/>
        <v>-3.84422218</v>
      </c>
      <c r="V21" s="20">
        <f>IFERROR(__xludf.DUMMYFUNCTION("iferror(PERCENTRANK.INC(FILTER($R$2:$R$432, $Q$2:$Q$432&lt;3.75), $R21), 1)"),0.746)</f>
        <v>0.746</v>
      </c>
      <c r="W21" s="20">
        <f>IFERROR(__xludf.DUMMYFUNCTION("iferror(PERCENTRANK.INC(FILTER($R$2:$R$432, $Q$2:$Q$432&lt;4.25), $R21), 1)"),0.524)</f>
        <v>0.524</v>
      </c>
      <c r="X21" s="20">
        <f>IFERROR(__xludf.DUMMYFUNCTION("iferror(PERCENTRANK.INC(FILTER($R$3:$R$432, $Q$3:$Q$432&gt;=4.1), $R21), 0.01)"),0.046)</f>
        <v>0.046</v>
      </c>
    </row>
    <row r="22" ht="14.25" customHeight="1">
      <c r="A22" s="14" t="s">
        <v>1364</v>
      </c>
      <c r="B22" s="14" t="s">
        <v>1365</v>
      </c>
      <c r="C22" s="14">
        <v>51.0</v>
      </c>
      <c r="D22" s="14" t="s">
        <v>1330</v>
      </c>
      <c r="E22" s="14" t="s">
        <v>147</v>
      </c>
      <c r="F22" s="20">
        <v>0.963</v>
      </c>
      <c r="G22" s="14">
        <v>-0.3</v>
      </c>
      <c r="H22" s="14">
        <v>-0.22</v>
      </c>
      <c r="I22" s="14">
        <v>-1.0</v>
      </c>
      <c r="J22" s="20">
        <f t="shared" si="1"/>
        <v>-0.688</v>
      </c>
      <c r="K22" s="20">
        <f t="shared" si="2"/>
        <v>-0.9320790975</v>
      </c>
      <c r="L22" s="20">
        <f t="shared" si="3"/>
        <v>-3.407489271</v>
      </c>
      <c r="M22" s="20">
        <f t="shared" si="4"/>
        <v>-1.922243167</v>
      </c>
      <c r="N22" s="20">
        <f t="shared" si="5"/>
        <v>15.50412916</v>
      </c>
      <c r="Q22" s="14">
        <v>4.07</v>
      </c>
      <c r="R22" s="20">
        <f t="shared" si="6"/>
        <v>1.073878416</v>
      </c>
      <c r="S22" s="20">
        <f t="shared" si="7"/>
        <v>18.68627764</v>
      </c>
      <c r="T22" s="20">
        <f t="shared" si="8"/>
        <v>3.182148478</v>
      </c>
      <c r="V22" s="20">
        <f>IFERROR(__xludf.DUMMYFUNCTION("iferror(PERCENTRANK.INC(FILTER($R$2:$R$432, $Q$2:$Q$432&lt;3.75), $R22), 1)"),0.111)</f>
        <v>0.111</v>
      </c>
      <c r="W22" s="20">
        <f>IFERROR(__xludf.DUMMYFUNCTION("iferror(PERCENTRANK.INC(FILTER($R$2:$R$432, $Q$2:$Q$432&lt;4.25), $R22), 1)"),0.095)</f>
        <v>0.095</v>
      </c>
      <c r="X22" s="20">
        <f>IFERROR(__xludf.DUMMYFUNCTION("iferror(PERCENTRANK.INC(FILTER($R$3:$R$432, $Q$3:$Q$432&gt;=4.1), $R22), 0.01)"),0.01)</f>
        <v>0.01</v>
      </c>
    </row>
    <row r="23" ht="14.25" customHeight="1">
      <c r="A23" s="14" t="s">
        <v>1366</v>
      </c>
      <c r="B23" s="14" t="s">
        <v>1357</v>
      </c>
      <c r="C23" s="14">
        <v>79.0</v>
      </c>
      <c r="D23" s="14" t="s">
        <v>1330</v>
      </c>
      <c r="E23" s="14" t="s">
        <v>144</v>
      </c>
      <c r="F23" s="20">
        <v>0.9570000000000001</v>
      </c>
      <c r="G23" s="14">
        <v>0.05</v>
      </c>
      <c r="H23" s="14">
        <v>-0.4</v>
      </c>
      <c r="I23" s="14">
        <v>0.18</v>
      </c>
      <c r="J23" s="20">
        <f t="shared" si="1"/>
        <v>-0.052</v>
      </c>
      <c r="K23" s="20">
        <f t="shared" si="2"/>
        <v>-1.475558996</v>
      </c>
      <c r="L23" s="20">
        <f t="shared" si="3"/>
        <v>0.0257915928</v>
      </c>
      <c r="M23" s="20">
        <f t="shared" si="4"/>
        <v>-0.8750187607</v>
      </c>
      <c r="N23" s="20">
        <f t="shared" si="5"/>
        <v>37.71187251</v>
      </c>
      <c r="Q23" s="16">
        <v>4.23</v>
      </c>
      <c r="R23" s="20">
        <f t="shared" si="6"/>
        <v>1.67749062</v>
      </c>
      <c r="S23" s="20">
        <f t="shared" si="7"/>
        <v>39.5523608</v>
      </c>
      <c r="T23" s="20">
        <f t="shared" si="8"/>
        <v>1.840488292</v>
      </c>
      <c r="V23" s="20">
        <f>IFERROR(__xludf.DUMMYFUNCTION("iferror(PERCENTRANK.INC(FILTER($R$2:$R$432, $Q$2:$Q$432&lt;3.75), $R23), 1)"),0.396)</f>
        <v>0.396</v>
      </c>
      <c r="W23" s="20">
        <f>IFERROR(__xludf.DUMMYFUNCTION("iferror(PERCENTRANK.INC(FILTER($R$2:$R$432, $Q$2:$Q$432&lt;4.25), $R23), 1)"),0.238)</f>
        <v>0.238</v>
      </c>
      <c r="X23" s="20">
        <f>IFERROR(__xludf.DUMMYFUNCTION("iferror(PERCENTRANK.INC(FILTER($R$3:$R$432, $Q$3:$Q$432&gt;=4.1), $R23), 0.01)"),0.0)</f>
        <v>0</v>
      </c>
    </row>
    <row r="24" ht="14.25" customHeight="1">
      <c r="A24" s="16" t="s">
        <v>1367</v>
      </c>
      <c r="B24" s="16" t="s">
        <v>1368</v>
      </c>
      <c r="C24" s="16">
        <v>73.0</v>
      </c>
      <c r="D24" s="16" t="s">
        <v>1330</v>
      </c>
      <c r="E24" s="16" t="s">
        <v>189</v>
      </c>
      <c r="F24" s="16">
        <v>0.97</v>
      </c>
      <c r="G24" s="16">
        <v>0.0</v>
      </c>
      <c r="H24" s="16">
        <v>0.18</v>
      </c>
      <c r="I24" s="16">
        <v>-0.1</v>
      </c>
      <c r="J24" s="20">
        <f t="shared" si="1"/>
        <v>0.012</v>
      </c>
      <c r="K24" s="20">
        <f t="shared" si="2"/>
        <v>-0.2980192154</v>
      </c>
      <c r="L24" s="20">
        <f t="shared" si="3"/>
        <v>0.3712789754</v>
      </c>
      <c r="M24" s="20">
        <f t="shared" si="4"/>
        <v>-0.03029993913</v>
      </c>
      <c r="N24" s="20">
        <f t="shared" si="5"/>
        <v>55.62522391</v>
      </c>
      <c r="Q24" s="16">
        <v>4.23</v>
      </c>
      <c r="R24" s="20">
        <f t="shared" si="6"/>
        <v>2.09985003</v>
      </c>
      <c r="S24" s="20">
        <f t="shared" si="7"/>
        <v>54.15277236</v>
      </c>
      <c r="T24" s="20">
        <f t="shared" si="8"/>
        <v>-1.472451552</v>
      </c>
      <c r="V24" s="20">
        <f>IFERROR(__xludf.DUMMYFUNCTION("iferror(PERCENTRANK.INC(FILTER($R$2:$R$432, $Q$2:$Q$432&lt;3.75), $R24), 1)"),0.853)</f>
        <v>0.853</v>
      </c>
      <c r="W24" s="20">
        <f>IFERROR(__xludf.DUMMYFUNCTION("iferror(PERCENTRANK.INC(FILTER($R$2:$R$432, $Q$2:$Q$432&lt;4.25), $R24), 1)"),0.81)</f>
        <v>0.81</v>
      </c>
      <c r="X24" s="20">
        <f>IFERROR(__xludf.DUMMYFUNCTION("iferror(PERCENTRANK.INC(FILTER($R$3:$R$432, $Q$3:$Q$432&gt;=4.1), $R24), 0.01)"),0.212)</f>
        <v>0.212</v>
      </c>
    </row>
    <row r="25" ht="14.25" customHeight="1">
      <c r="A25" s="14" t="s">
        <v>1369</v>
      </c>
      <c r="B25" s="14" t="s">
        <v>1294</v>
      </c>
      <c r="C25" s="14">
        <v>77.0</v>
      </c>
      <c r="D25" s="14" t="s">
        <v>1330</v>
      </c>
      <c r="E25" s="14" t="s">
        <v>132</v>
      </c>
      <c r="F25" s="20">
        <v>0.9840000000000001</v>
      </c>
      <c r="G25" s="14">
        <v>0.05</v>
      </c>
      <c r="H25" s="14">
        <v>0.12</v>
      </c>
      <c r="I25" s="14">
        <v>0.04</v>
      </c>
      <c r="J25" s="20">
        <f t="shared" si="1"/>
        <v>0.072</v>
      </c>
      <c r="K25" s="20">
        <f t="shared" si="2"/>
        <v>0.9701005486</v>
      </c>
      <c r="L25" s="20">
        <f t="shared" si="3"/>
        <v>0.6951733965</v>
      </c>
      <c r="M25" s="20">
        <f t="shared" si="4"/>
        <v>0.8601296878</v>
      </c>
      <c r="N25" s="20">
        <f t="shared" si="5"/>
        <v>74.50793186</v>
      </c>
      <c r="Q25" s="14">
        <v>4.28</v>
      </c>
      <c r="R25" s="20">
        <f t="shared" si="6"/>
        <v>2.570064844</v>
      </c>
      <c r="S25" s="20">
        <f t="shared" si="7"/>
        <v>70.4074825</v>
      </c>
      <c r="T25" s="20">
        <f t="shared" si="8"/>
        <v>-4.10044936</v>
      </c>
      <c r="V25" s="20">
        <f>IFERROR(__xludf.DUMMYFUNCTION("iferror(PERCENTRANK.INC(FILTER($R$2:$R$432, $Q$2:$Q$432&lt;3.75), $R25), 1)"),1.0)</f>
        <v>1</v>
      </c>
      <c r="W25" s="20">
        <f>IFERROR(__xludf.DUMMYFUNCTION("iferror(PERCENTRANK.INC(FILTER($R$2:$R$432, $Q$2:$Q$432&lt;4.25), $R25), 1)"),1.0)</f>
        <v>1</v>
      </c>
      <c r="X25" s="20">
        <f>IFERROR(__xludf.DUMMYFUNCTION("iferror(PERCENTRANK.INC(FILTER($R$3:$R$432, $Q$3:$Q$432&gt;=4.1), $R25), 0.01)"),0.758)</f>
        <v>0.758</v>
      </c>
    </row>
    <row r="26" ht="14.25" customHeight="1">
      <c r="A26" s="14" t="s">
        <v>1370</v>
      </c>
      <c r="B26" s="14" t="s">
        <v>1371</v>
      </c>
      <c r="C26" s="14">
        <v>62.0</v>
      </c>
      <c r="D26" s="14" t="s">
        <v>1330</v>
      </c>
      <c r="E26" s="14" t="s">
        <v>117</v>
      </c>
      <c r="F26" s="20">
        <v>0.986</v>
      </c>
      <c r="G26" s="14">
        <v>-0.03</v>
      </c>
      <c r="H26" s="14">
        <v>-0.12</v>
      </c>
      <c r="I26" s="14">
        <v>0.0</v>
      </c>
      <c r="J26" s="20">
        <f t="shared" si="1"/>
        <v>-0.048</v>
      </c>
      <c r="K26" s="20">
        <f t="shared" si="2"/>
        <v>1.151260515</v>
      </c>
      <c r="L26" s="20">
        <f t="shared" si="3"/>
        <v>0.04738455421</v>
      </c>
      <c r="M26" s="20">
        <f t="shared" si="4"/>
        <v>0.7097101306</v>
      </c>
      <c r="N26" s="20">
        <f t="shared" si="5"/>
        <v>71.31809127</v>
      </c>
      <c r="Q26" s="14">
        <v>4.28</v>
      </c>
      <c r="R26" s="20">
        <f t="shared" si="6"/>
        <v>2.494855065</v>
      </c>
      <c r="S26" s="20">
        <f t="shared" si="7"/>
        <v>67.80757898</v>
      </c>
      <c r="T26" s="20">
        <f t="shared" si="8"/>
        <v>-3.510512293</v>
      </c>
      <c r="V26" s="20">
        <f>IFERROR(__xludf.DUMMYFUNCTION("iferror(PERCENTRANK.INC(FILTER($R$2:$R$432, $Q$2:$Q$432&lt;3.75), $R26), 1)"),1.0)</f>
        <v>1</v>
      </c>
      <c r="W26" s="20">
        <f>IFERROR(__xludf.DUMMYFUNCTION("iferror(PERCENTRANK.INC(FILTER($R$2:$R$432, $Q$2:$Q$432&lt;4.25), $R26), 1)"),1.0)</f>
        <v>1</v>
      </c>
      <c r="X26" s="20">
        <f>IFERROR(__xludf.DUMMYFUNCTION("iferror(PERCENTRANK.INC(FILTER($R$3:$R$432, $Q$3:$Q$432&gt;=4.1), $R26), 0.01)"),0.727)</f>
        <v>0.727</v>
      </c>
    </row>
    <row r="27" ht="14.25" customHeight="1">
      <c r="A27" s="14" t="s">
        <v>1372</v>
      </c>
      <c r="B27" s="14" t="s">
        <v>1373</v>
      </c>
      <c r="C27" s="14">
        <v>67.0</v>
      </c>
      <c r="D27" s="14" t="s">
        <v>1330</v>
      </c>
      <c r="E27" s="14" t="s">
        <v>158</v>
      </c>
      <c r="F27" s="20">
        <v>0.98</v>
      </c>
      <c r="G27" s="14">
        <v>0.11</v>
      </c>
      <c r="H27" s="14">
        <v>0.0</v>
      </c>
      <c r="I27" s="14">
        <v>0.16</v>
      </c>
      <c r="J27" s="20">
        <f t="shared" si="1"/>
        <v>0.096</v>
      </c>
      <c r="K27" s="20">
        <f t="shared" si="2"/>
        <v>0.607780616</v>
      </c>
      <c r="L27" s="20">
        <f t="shared" si="3"/>
        <v>0.824731165</v>
      </c>
      <c r="M27" s="20">
        <f t="shared" si="4"/>
        <v>0.6945608356</v>
      </c>
      <c r="N27" s="20">
        <f t="shared" si="5"/>
        <v>70.99683094</v>
      </c>
      <c r="Q27" s="14">
        <v>4.28</v>
      </c>
      <c r="R27" s="20">
        <f t="shared" si="6"/>
        <v>2.487280418</v>
      </c>
      <c r="S27" s="20">
        <f t="shared" si="7"/>
        <v>67.54573333</v>
      </c>
      <c r="T27" s="20">
        <f t="shared" si="8"/>
        <v>-3.451097607</v>
      </c>
      <c r="V27" s="20">
        <f>IFERROR(__xludf.DUMMYFUNCTION("iferror(PERCENTRANK.INC(FILTER($R$2:$R$432, $Q$2:$Q$432&lt;3.75), $R27), 1)"),1.0)</f>
        <v>1</v>
      </c>
      <c r="W27" s="20">
        <f>IFERROR(__xludf.DUMMYFUNCTION("iferror(PERCENTRANK.INC(FILTER($R$2:$R$432, $Q$2:$Q$432&lt;4.25), $R27), 1)"),1.0)</f>
        <v>1</v>
      </c>
      <c r="X27" s="20">
        <f>IFERROR(__xludf.DUMMYFUNCTION("iferror(PERCENTRANK.INC(FILTER($R$3:$R$432, $Q$3:$Q$432&gt;=4.1), $R27), 0.01)"),0.697)</f>
        <v>0.697</v>
      </c>
    </row>
    <row r="28" ht="14.25" customHeight="1">
      <c r="A28" s="14" t="s">
        <v>1374</v>
      </c>
      <c r="B28" s="14" t="s">
        <v>1375</v>
      </c>
      <c r="C28" s="14">
        <v>56.0</v>
      </c>
      <c r="D28" s="14" t="s">
        <v>1330</v>
      </c>
      <c r="E28" s="14" t="s">
        <v>144</v>
      </c>
      <c r="F28" s="20">
        <v>0.971</v>
      </c>
      <c r="G28" s="14">
        <v>0.38</v>
      </c>
      <c r="H28" s="14">
        <v>0.57</v>
      </c>
      <c r="I28" s="14">
        <v>0.29</v>
      </c>
      <c r="J28" s="20">
        <f t="shared" si="1"/>
        <v>0.402</v>
      </c>
      <c r="K28" s="20">
        <f t="shared" si="2"/>
        <v>-0.2074392323</v>
      </c>
      <c r="L28" s="20">
        <f t="shared" si="3"/>
        <v>2.476592713</v>
      </c>
      <c r="M28" s="20">
        <f t="shared" si="4"/>
        <v>0.8661735457</v>
      </c>
      <c r="N28" s="20">
        <f t="shared" si="5"/>
        <v>74.63609966</v>
      </c>
      <c r="Q28" s="14">
        <v>4.28</v>
      </c>
      <c r="R28" s="20">
        <f t="shared" si="6"/>
        <v>2.573086773</v>
      </c>
      <c r="S28" s="20">
        <f t="shared" si="7"/>
        <v>70.51194663</v>
      </c>
      <c r="T28" s="20">
        <f t="shared" si="8"/>
        <v>-4.124153032</v>
      </c>
      <c r="V28" s="20">
        <f>IFERROR(__xludf.DUMMYFUNCTION("iferror(PERCENTRANK.INC(FILTER($R$2:$R$432, $Q$2:$Q$432&lt;3.75), $R28), 1)"),1.0)</f>
        <v>1</v>
      </c>
      <c r="W28" s="20">
        <f>IFERROR(__xludf.DUMMYFUNCTION("iferror(PERCENTRANK.INC(FILTER($R$2:$R$432, $Q$2:$Q$432&lt;4.25), $R28), 1)"),1.0)</f>
        <v>1</v>
      </c>
      <c r="X28" s="20">
        <f>IFERROR(__xludf.DUMMYFUNCTION("iferror(PERCENTRANK.INC(FILTER($R$3:$R$432, $Q$3:$Q$432&gt;=4.1), $R28), 0.01)"),0.788)</f>
        <v>0.788</v>
      </c>
    </row>
    <row r="29" ht="14.25" customHeight="1">
      <c r="A29" s="14" t="s">
        <v>1376</v>
      </c>
      <c r="B29" s="14" t="s">
        <v>1283</v>
      </c>
      <c r="C29" s="14">
        <v>79.0</v>
      </c>
      <c r="D29" s="14" t="s">
        <v>1330</v>
      </c>
      <c r="E29" s="14" t="s">
        <v>147</v>
      </c>
      <c r="F29" s="20">
        <v>0.978</v>
      </c>
      <c r="G29" s="14">
        <v>0.02</v>
      </c>
      <c r="H29" s="14">
        <v>0.0</v>
      </c>
      <c r="I29" s="14">
        <v>0.03</v>
      </c>
      <c r="J29" s="20">
        <f t="shared" si="1"/>
        <v>0.018</v>
      </c>
      <c r="K29" s="20">
        <f t="shared" si="2"/>
        <v>0.4266206497</v>
      </c>
      <c r="L29" s="20">
        <f t="shared" si="3"/>
        <v>0.4036684175</v>
      </c>
      <c r="M29" s="20">
        <f t="shared" si="4"/>
        <v>0.4174397568</v>
      </c>
      <c r="N29" s="20">
        <f t="shared" si="5"/>
        <v>65.12012127</v>
      </c>
      <c r="Q29" s="14">
        <v>4.28</v>
      </c>
      <c r="R29" s="20">
        <f t="shared" si="6"/>
        <v>2.348719878</v>
      </c>
      <c r="S29" s="20">
        <f t="shared" si="7"/>
        <v>62.75587699</v>
      </c>
      <c r="T29" s="20">
        <f t="shared" si="8"/>
        <v>-2.364244278</v>
      </c>
      <c r="V29" s="20">
        <f>IFERROR(__xludf.DUMMYFUNCTION("iferror(PERCENTRANK.INC(FILTER($R$2:$R$432, $Q$2:$Q$432&lt;3.75), $R29), 1)"),1.0)</f>
        <v>1</v>
      </c>
      <c r="W29" s="20">
        <f>IFERROR(__xludf.DUMMYFUNCTION("iferror(PERCENTRANK.INC(FILTER($R$2:$R$432, $Q$2:$Q$432&lt;4.25), $R29), 1)"),1.0)</f>
        <v>1</v>
      </c>
      <c r="X29" s="20">
        <f>IFERROR(__xludf.DUMMYFUNCTION("iferror(PERCENTRANK.INC(FILTER($R$3:$R$432, $Q$3:$Q$432&gt;=4.1), $R29), 0.01)"),0.515)</f>
        <v>0.515</v>
      </c>
    </row>
    <row r="30" ht="14.25" customHeight="1">
      <c r="A30" s="14" t="s">
        <v>1377</v>
      </c>
      <c r="B30" s="14" t="s">
        <v>1378</v>
      </c>
      <c r="C30" s="14">
        <v>71.0</v>
      </c>
      <c r="D30" s="14" t="s">
        <v>1330</v>
      </c>
      <c r="E30" s="14" t="s">
        <v>1340</v>
      </c>
      <c r="F30" s="20">
        <v>0.977</v>
      </c>
      <c r="G30" s="14">
        <v>-0.17</v>
      </c>
      <c r="H30" s="14">
        <v>-0.11</v>
      </c>
      <c r="I30" s="14">
        <v>-0.18</v>
      </c>
      <c r="J30" s="20">
        <f t="shared" si="1"/>
        <v>-0.152</v>
      </c>
      <c r="K30" s="20">
        <f t="shared" si="2"/>
        <v>0.3360406666</v>
      </c>
      <c r="L30" s="20">
        <f t="shared" si="3"/>
        <v>-0.5140324425</v>
      </c>
      <c r="M30" s="20">
        <f t="shared" si="4"/>
        <v>-0.003988577024</v>
      </c>
      <c r="N30" s="20">
        <f t="shared" si="5"/>
        <v>56.18319026</v>
      </c>
      <c r="Q30" s="14">
        <v>4.28</v>
      </c>
      <c r="R30" s="20">
        <f t="shared" si="6"/>
        <v>2.138005711</v>
      </c>
      <c r="S30" s="20">
        <f t="shared" si="7"/>
        <v>55.47176427</v>
      </c>
      <c r="T30" s="20">
        <f t="shared" si="8"/>
        <v>-0.7114259876</v>
      </c>
      <c r="V30" s="20">
        <f>IFERROR(__xludf.DUMMYFUNCTION("iferror(PERCENTRANK.INC(FILTER($R$2:$R$432, $Q$2:$Q$432&lt;3.75), $R30), 1)"),0.879)</f>
        <v>0.879</v>
      </c>
      <c r="W30" s="20">
        <f>IFERROR(__xludf.DUMMYFUNCTION("iferror(PERCENTRANK.INC(FILTER($R$2:$R$432, $Q$2:$Q$432&lt;4.25), $R30), 1)"),0.873)</f>
        <v>0.873</v>
      </c>
      <c r="X30" s="20">
        <f>IFERROR(__xludf.DUMMYFUNCTION("iferror(PERCENTRANK.INC(FILTER($R$3:$R$432, $Q$3:$Q$432&gt;=4.1), $R30), 0.01)"),0.273)</f>
        <v>0.273</v>
      </c>
    </row>
    <row r="31" ht="14.25" customHeight="1">
      <c r="A31" s="14" t="s">
        <v>1379</v>
      </c>
      <c r="B31" s="14" t="s">
        <v>1380</v>
      </c>
      <c r="C31" s="14">
        <v>66.0</v>
      </c>
      <c r="D31" s="14" t="s">
        <v>1330</v>
      </c>
      <c r="E31" s="14" t="s">
        <v>117</v>
      </c>
      <c r="F31" s="20">
        <v>0.9740000000000001</v>
      </c>
      <c r="G31" s="14">
        <v>-0.17</v>
      </c>
      <c r="H31" s="14">
        <v>0.0</v>
      </c>
      <c r="I31" s="14">
        <v>-0.17</v>
      </c>
      <c r="J31" s="20">
        <f t="shared" si="1"/>
        <v>-0.102</v>
      </c>
      <c r="K31" s="20">
        <f t="shared" si="2"/>
        <v>0.06430071715</v>
      </c>
      <c r="L31" s="20">
        <f t="shared" si="3"/>
        <v>-0.2441204248</v>
      </c>
      <c r="M31" s="20">
        <f t="shared" si="4"/>
        <v>-0.05906773964</v>
      </c>
      <c r="N31" s="20">
        <f t="shared" si="5"/>
        <v>55.01516562</v>
      </c>
      <c r="Q31" s="14">
        <v>4.28</v>
      </c>
      <c r="R31" s="20">
        <f t="shared" si="6"/>
        <v>2.11046613</v>
      </c>
      <c r="S31" s="20">
        <f t="shared" si="7"/>
        <v>54.51975702</v>
      </c>
      <c r="T31" s="20">
        <f t="shared" si="8"/>
        <v>-0.4954086008</v>
      </c>
      <c r="V31" s="20">
        <f>IFERROR(__xludf.DUMMYFUNCTION("iferror(PERCENTRANK.INC(FILTER($R$2:$R$432, $Q$2:$Q$432&lt;3.75), $R31), 1)"),0.86)</f>
        <v>0.86</v>
      </c>
      <c r="W31" s="20">
        <f>IFERROR(__xludf.DUMMYFUNCTION("iferror(PERCENTRANK.INC(FILTER($R$2:$R$432, $Q$2:$Q$432&lt;4.25), $R31), 1)"),0.858)</f>
        <v>0.858</v>
      </c>
      <c r="X31" s="20">
        <f>IFERROR(__xludf.DUMMYFUNCTION("iferror(PERCENTRANK.INC(FILTER($R$3:$R$432, $Q$3:$Q$432&gt;=4.1), $R31), 0.01)"),0.242)</f>
        <v>0.242</v>
      </c>
    </row>
    <row r="32" ht="14.25" customHeight="1">
      <c r="A32" s="14" t="s">
        <v>1381</v>
      </c>
      <c r="B32" s="14" t="s">
        <v>1382</v>
      </c>
      <c r="C32" s="14">
        <v>78.0</v>
      </c>
      <c r="D32" s="14" t="s">
        <v>1330</v>
      </c>
      <c r="E32" s="14" t="s">
        <v>117</v>
      </c>
      <c r="F32" s="20">
        <v>0.9670000000000001</v>
      </c>
      <c r="G32" s="14">
        <v>0.0</v>
      </c>
      <c r="H32" s="14">
        <v>0.2</v>
      </c>
      <c r="I32" s="14">
        <v>-0.14</v>
      </c>
      <c r="J32" s="20">
        <f t="shared" si="1"/>
        <v>-0.004</v>
      </c>
      <c r="K32" s="20">
        <f t="shared" si="2"/>
        <v>-0.5697591649</v>
      </c>
      <c r="L32" s="20">
        <f t="shared" si="3"/>
        <v>0.2849071297</v>
      </c>
      <c r="M32" s="20">
        <f t="shared" si="4"/>
        <v>-0.227892647</v>
      </c>
      <c r="N32" s="20">
        <f t="shared" si="5"/>
        <v>51.43501585</v>
      </c>
      <c r="Q32" s="14">
        <v>4.28</v>
      </c>
      <c r="R32" s="20">
        <f t="shared" si="6"/>
        <v>2.026053676</v>
      </c>
      <c r="S32" s="20">
        <f t="shared" si="7"/>
        <v>51.60172907</v>
      </c>
      <c r="T32" s="20">
        <f t="shared" si="8"/>
        <v>0.1667132178</v>
      </c>
      <c r="V32" s="20">
        <f>IFERROR(__xludf.DUMMYFUNCTION("iferror(PERCENTRANK.INC(FILTER($R$2:$R$432, $Q$2:$Q$432&lt;3.75), $R32), 1)"),0.803)</f>
        <v>0.803</v>
      </c>
      <c r="W32" s="20">
        <f>IFERROR(__xludf.DUMMYFUNCTION("iferror(PERCENTRANK.INC(FILTER($R$2:$R$432, $Q$2:$Q$432&lt;4.25), $R32), 1)"),0.681)</f>
        <v>0.681</v>
      </c>
      <c r="X32" s="20">
        <f>IFERROR(__xludf.DUMMYFUNCTION("iferror(PERCENTRANK.INC(FILTER($R$3:$R$432, $Q$3:$Q$432&gt;=4.1), $R32), 0.01)"),0.121)</f>
        <v>0.121</v>
      </c>
    </row>
    <row r="33" ht="14.25" customHeight="1">
      <c r="A33" s="16" t="s">
        <v>1383</v>
      </c>
      <c r="B33" s="16" t="s">
        <v>1384</v>
      </c>
      <c r="C33" s="16">
        <v>74.0</v>
      </c>
      <c r="D33" s="16" t="s">
        <v>1330</v>
      </c>
      <c r="E33" s="16" t="s">
        <v>158</v>
      </c>
      <c r="F33" s="38">
        <v>0.977</v>
      </c>
      <c r="G33" s="16">
        <v>-0.27</v>
      </c>
      <c r="H33" s="16">
        <v>-0.71</v>
      </c>
      <c r="I33" s="16">
        <v>-0.07</v>
      </c>
      <c r="J33" s="20">
        <f t="shared" si="1"/>
        <v>-0.326</v>
      </c>
      <c r="K33" s="20">
        <f t="shared" si="2"/>
        <v>0.3360406666</v>
      </c>
      <c r="L33" s="20">
        <f t="shared" si="3"/>
        <v>-1.453326264</v>
      </c>
      <c r="M33" s="20">
        <f t="shared" si="4"/>
        <v>-0.3797061056</v>
      </c>
      <c r="N33" s="20">
        <f t="shared" si="5"/>
        <v>48.21561579</v>
      </c>
      <c r="Q33" s="16">
        <v>4.37</v>
      </c>
      <c r="R33" s="20">
        <f t="shared" si="6"/>
        <v>1.995146947</v>
      </c>
      <c r="S33" s="20">
        <f t="shared" si="7"/>
        <v>50.53332393</v>
      </c>
      <c r="T33" s="20">
        <f t="shared" si="8"/>
        <v>2.31770814</v>
      </c>
      <c r="V33" s="20">
        <f>IFERROR(__xludf.DUMMYFUNCTION("iferror(PERCENTRANK.INC(FILTER($R$2:$R$432, $Q$2:$Q$432&lt;3.75), $R33), 1)"),0.772)</f>
        <v>0.772</v>
      </c>
      <c r="W33" s="20">
        <f>IFERROR(__xludf.DUMMYFUNCTION("iferror(PERCENTRANK.INC(FILTER($R$2:$R$432, $Q$2:$Q$432&lt;4.25), $R33), 1)"),0.553)</f>
        <v>0.553</v>
      </c>
      <c r="X33" s="20">
        <f>IFERROR(__xludf.DUMMYFUNCTION("iferror(PERCENTRANK.INC(FILTER($R$3:$R$432, $Q$3:$Q$432&gt;=4.1), $R33), 0.01)"),0.061)</f>
        <v>0.061</v>
      </c>
    </row>
    <row r="34" ht="14.25" customHeight="1">
      <c r="A34" s="14" t="s">
        <v>1385</v>
      </c>
      <c r="B34" s="14" t="s">
        <v>1386</v>
      </c>
      <c r="C34" s="14">
        <v>64.0</v>
      </c>
      <c r="D34" s="14" t="s">
        <v>1330</v>
      </c>
      <c r="E34" s="14" t="s">
        <v>117</v>
      </c>
      <c r="F34" s="20">
        <v>0.9840000000000001</v>
      </c>
      <c r="G34" s="14">
        <v>0.07</v>
      </c>
      <c r="H34" s="14">
        <v>0.14</v>
      </c>
      <c r="I34" s="14">
        <v>0.04</v>
      </c>
      <c r="J34" s="20">
        <f t="shared" si="1"/>
        <v>0.08</v>
      </c>
      <c r="K34" s="20">
        <f t="shared" si="2"/>
        <v>0.9701005486</v>
      </c>
      <c r="L34" s="20">
        <f t="shared" si="3"/>
        <v>0.7383593193</v>
      </c>
      <c r="M34" s="20">
        <f t="shared" si="4"/>
        <v>0.8774040569</v>
      </c>
      <c r="N34" s="20">
        <f t="shared" si="5"/>
        <v>74.87425712</v>
      </c>
      <c r="Q34" s="14">
        <v>4.48</v>
      </c>
      <c r="R34" s="20">
        <f t="shared" si="6"/>
        <v>2.678702028</v>
      </c>
      <c r="S34" s="20">
        <f t="shared" si="7"/>
        <v>74.16292766</v>
      </c>
      <c r="T34" s="20">
        <f t="shared" si="8"/>
        <v>-0.7113294622</v>
      </c>
      <c r="V34" s="20">
        <f>IFERROR(__xludf.DUMMYFUNCTION("iferror(PERCENTRANK.INC(FILTER($R$2:$R$432, $Q$2:$Q$432&lt;3.75), $R34), 1)"),1.0)</f>
        <v>1</v>
      </c>
      <c r="W34" s="20">
        <f>IFERROR(__xludf.DUMMYFUNCTION("iferror(PERCENTRANK.INC(FILTER($R$2:$R$432, $Q$2:$Q$432&lt;4.25), $R34), 1)"),1.0)</f>
        <v>1</v>
      </c>
      <c r="X34" s="20">
        <f>IFERROR(__xludf.DUMMYFUNCTION("iferror(PERCENTRANK.INC(FILTER($R$3:$R$432, $Q$3:$Q$432&gt;=4.1), $R34), 0.01)"),0.909)</f>
        <v>0.909</v>
      </c>
    </row>
    <row r="35" ht="14.25" customHeight="1">
      <c r="A35" s="14" t="s">
        <v>1387</v>
      </c>
      <c r="B35" s="16" t="s">
        <v>1388</v>
      </c>
      <c r="C35" s="14">
        <v>76.0</v>
      </c>
      <c r="D35" s="14" t="s">
        <v>1330</v>
      </c>
      <c r="E35" s="14" t="s">
        <v>147</v>
      </c>
      <c r="F35" s="20">
        <v>0.97</v>
      </c>
      <c r="G35" s="14">
        <v>0.14</v>
      </c>
      <c r="H35" s="14">
        <v>0.33</v>
      </c>
      <c r="I35" s="14">
        <v>0.12</v>
      </c>
      <c r="J35" s="20">
        <f t="shared" si="1"/>
        <v>0.204</v>
      </c>
      <c r="K35" s="20">
        <f t="shared" si="2"/>
        <v>-0.2980192154</v>
      </c>
      <c r="L35" s="20">
        <f t="shared" si="3"/>
        <v>1.407741123</v>
      </c>
      <c r="M35" s="20">
        <f t="shared" si="4"/>
        <v>0.3842849199</v>
      </c>
      <c r="N35" s="20">
        <f t="shared" si="5"/>
        <v>64.41703022</v>
      </c>
      <c r="Q35" s="14">
        <v>4.49</v>
      </c>
      <c r="R35" s="20">
        <f t="shared" si="6"/>
        <v>2.43714246</v>
      </c>
      <c r="S35" s="20">
        <f t="shared" si="7"/>
        <v>65.81252981</v>
      </c>
      <c r="T35" s="20">
        <f t="shared" si="8"/>
        <v>1.395499588</v>
      </c>
      <c r="V35" s="20">
        <f>IFERROR(__xludf.DUMMYFUNCTION("iferror(PERCENTRANK.INC(FILTER($R$2:$R$432, $Q$2:$Q$432&lt;3.75), $R35), 1)"),1.0)</f>
        <v>1</v>
      </c>
      <c r="W35" s="20">
        <f>IFERROR(__xludf.DUMMYFUNCTION("iferror(PERCENTRANK.INC(FILTER($R$2:$R$432, $Q$2:$Q$432&lt;4.25), $R35), 1)"),1.0)</f>
        <v>1</v>
      </c>
      <c r="X35" s="20">
        <f>IFERROR(__xludf.DUMMYFUNCTION("iferror(PERCENTRANK.INC(FILTER($R$3:$R$432, $Q$3:$Q$432&gt;=4.1), $R35), 0.01)"),0.606)</f>
        <v>0.606</v>
      </c>
    </row>
    <row r="36" ht="14.25" customHeight="1">
      <c r="A36" s="14" t="s">
        <v>1389</v>
      </c>
      <c r="B36" s="14" t="s">
        <v>1390</v>
      </c>
      <c r="C36" s="14">
        <v>78.0</v>
      </c>
      <c r="D36" s="14" t="s">
        <v>1330</v>
      </c>
      <c r="E36" s="14" t="s">
        <v>132</v>
      </c>
      <c r="F36" s="20">
        <v>0.96</v>
      </c>
      <c r="G36" s="14">
        <v>0.08</v>
      </c>
      <c r="H36" s="14">
        <v>0.0</v>
      </c>
      <c r="I36" s="14">
        <v>0.11</v>
      </c>
      <c r="J36" s="20">
        <f t="shared" si="1"/>
        <v>0.066</v>
      </c>
      <c r="K36" s="20">
        <f t="shared" si="2"/>
        <v>-1.203819047</v>
      </c>
      <c r="L36" s="20">
        <f t="shared" si="3"/>
        <v>0.6627839544</v>
      </c>
      <c r="M36" s="20">
        <f t="shared" si="4"/>
        <v>-0.4571778464</v>
      </c>
      <c r="N36" s="20">
        <f t="shared" si="5"/>
        <v>46.57272767</v>
      </c>
      <c r="Q36" s="16">
        <v>4.49</v>
      </c>
      <c r="R36" s="20">
        <f t="shared" si="6"/>
        <v>2.016411077</v>
      </c>
      <c r="S36" s="20">
        <f t="shared" si="7"/>
        <v>51.26839703</v>
      </c>
      <c r="T36" s="20">
        <f t="shared" si="8"/>
        <v>4.695669365</v>
      </c>
      <c r="V36" s="20">
        <f>IFERROR(__xludf.DUMMYFUNCTION("iferror(PERCENTRANK.INC(FILTER($R$2:$R$432, $Q$2:$Q$432&lt;3.75), $R36), 1)"),0.794)</f>
        <v>0.794</v>
      </c>
      <c r="W36" s="20">
        <f>IFERROR(__xludf.DUMMYFUNCTION("iferror(PERCENTRANK.INC(FILTER($R$2:$R$432, $Q$2:$Q$432&lt;4.25), $R36), 1)"),0.621)</f>
        <v>0.621</v>
      </c>
      <c r="X36" s="20">
        <f>IFERROR(__xludf.DUMMYFUNCTION("iferror(PERCENTRANK.INC(FILTER($R$3:$R$432, $Q$3:$Q$432&gt;=4.1), $R36), 0.01)"),0.091)</f>
        <v>0.091</v>
      </c>
    </row>
    <row r="37" ht="14.25" customHeight="1">
      <c r="A37" s="14" t="s">
        <v>1391</v>
      </c>
      <c r="B37" s="14" t="s">
        <v>1365</v>
      </c>
      <c r="C37" s="14">
        <v>78.0</v>
      </c>
      <c r="D37" s="14" t="s">
        <v>1330</v>
      </c>
      <c r="E37" s="14" t="s">
        <v>147</v>
      </c>
      <c r="F37" s="20">
        <v>0.9790000000000001</v>
      </c>
      <c r="G37" s="14">
        <v>0.04</v>
      </c>
      <c r="H37" s="14">
        <v>0.13</v>
      </c>
      <c r="I37" s="14">
        <v>-0.09</v>
      </c>
      <c r="J37" s="20">
        <f t="shared" si="1"/>
        <v>-0.002</v>
      </c>
      <c r="K37" s="20">
        <f t="shared" si="2"/>
        <v>0.5172006329</v>
      </c>
      <c r="L37" s="20">
        <f t="shared" si="3"/>
        <v>0.2957036104</v>
      </c>
      <c r="M37" s="20">
        <f t="shared" si="4"/>
        <v>0.4286018239</v>
      </c>
      <c r="N37" s="20">
        <f t="shared" si="5"/>
        <v>65.35682729</v>
      </c>
      <c r="Q37" s="14">
        <v>4.53</v>
      </c>
      <c r="R37" s="20">
        <f t="shared" si="6"/>
        <v>2.479300912</v>
      </c>
      <c r="S37" s="20">
        <f t="shared" si="7"/>
        <v>67.26989227</v>
      </c>
      <c r="T37" s="20">
        <f t="shared" si="8"/>
        <v>1.913064977</v>
      </c>
      <c r="V37" s="20">
        <f>IFERROR(__xludf.DUMMYFUNCTION("iferror(PERCENTRANK.INC(FILTER($R$2:$R$432, $Q$2:$Q$432&lt;3.75), $R37), 1)"),1.0)</f>
        <v>1</v>
      </c>
      <c r="W37" s="20">
        <f>IFERROR(__xludf.DUMMYFUNCTION("iferror(PERCENTRANK.INC(FILTER($R$2:$R$432, $Q$2:$Q$432&lt;4.25), $R37), 1)"),1.0)</f>
        <v>1</v>
      </c>
      <c r="X37" s="20">
        <f>IFERROR(__xludf.DUMMYFUNCTION("iferror(PERCENTRANK.INC(FILTER($R$3:$R$432, $Q$3:$Q$432&gt;=4.1), $R37), 0.01)"),0.667)</f>
        <v>0.667</v>
      </c>
    </row>
    <row r="38" ht="14.25" customHeight="1">
      <c r="A38" s="14" t="s">
        <v>1392</v>
      </c>
      <c r="B38" s="14" t="s">
        <v>1240</v>
      </c>
      <c r="C38" s="14">
        <v>79.0</v>
      </c>
      <c r="D38" s="14" t="s">
        <v>1330</v>
      </c>
      <c r="E38" s="14" t="s">
        <v>117</v>
      </c>
      <c r="F38" s="20">
        <v>0.975</v>
      </c>
      <c r="G38" s="14">
        <v>-0.12</v>
      </c>
      <c r="H38" s="14">
        <v>-0.33</v>
      </c>
      <c r="I38" s="14">
        <v>-0.05</v>
      </c>
      <c r="J38" s="20">
        <f t="shared" si="1"/>
        <v>-0.162</v>
      </c>
      <c r="K38" s="20">
        <f t="shared" si="2"/>
        <v>0.1548807003</v>
      </c>
      <c r="L38" s="20">
        <f t="shared" si="3"/>
        <v>-0.568014846</v>
      </c>
      <c r="M38" s="20">
        <f t="shared" si="4"/>
        <v>-0.1342775182</v>
      </c>
      <c r="N38" s="20">
        <f t="shared" si="5"/>
        <v>53.42024533</v>
      </c>
      <c r="Q38" s="16">
        <v>4.53</v>
      </c>
      <c r="R38" s="20">
        <f t="shared" si="6"/>
        <v>2.197861241</v>
      </c>
      <c r="S38" s="20">
        <f t="shared" si="7"/>
        <v>57.54089151</v>
      </c>
      <c r="T38" s="20">
        <f t="shared" si="8"/>
        <v>4.120646188</v>
      </c>
      <c r="V38" s="20">
        <f>IFERROR(__xludf.DUMMYFUNCTION("iferror(PERCENTRANK.INC(FILTER($R$2:$R$432, $Q$2:$Q$432&lt;3.75), $R38), 1)"),0.92)</f>
        <v>0.92</v>
      </c>
      <c r="W38" s="20">
        <f>IFERROR(__xludf.DUMMYFUNCTION("iferror(PERCENTRANK.INC(FILTER($R$2:$R$432, $Q$2:$Q$432&lt;4.25), $R38), 1)"),0.904)</f>
        <v>0.904</v>
      </c>
      <c r="X38" s="20">
        <f>IFERROR(__xludf.DUMMYFUNCTION("iferror(PERCENTRANK.INC(FILTER($R$3:$R$432, $Q$3:$Q$432&gt;=4.1), $R38), 0.01)"),0.303)</f>
        <v>0.303</v>
      </c>
    </row>
    <row r="39" ht="14.25" customHeight="1">
      <c r="A39" s="14" t="s">
        <v>1393</v>
      </c>
      <c r="B39" s="14" t="s">
        <v>1394</v>
      </c>
      <c r="C39" s="14">
        <v>70.0</v>
      </c>
      <c r="D39" s="14" t="s">
        <v>1330</v>
      </c>
      <c r="E39" s="14" t="s">
        <v>144</v>
      </c>
      <c r="F39" s="20">
        <v>0.978</v>
      </c>
      <c r="G39" s="14">
        <v>-0.5</v>
      </c>
      <c r="H39" s="14">
        <v>0.0</v>
      </c>
      <c r="I39" s="14">
        <v>-0.6</v>
      </c>
      <c r="J39" s="20">
        <f t="shared" si="1"/>
        <v>-0.36</v>
      </c>
      <c r="K39" s="20">
        <f t="shared" si="2"/>
        <v>0.4266206497</v>
      </c>
      <c r="L39" s="20">
        <f t="shared" si="3"/>
        <v>-1.636866436</v>
      </c>
      <c r="M39" s="20">
        <f t="shared" si="4"/>
        <v>-0.3987741845</v>
      </c>
      <c r="N39" s="20">
        <f t="shared" si="5"/>
        <v>47.8112526</v>
      </c>
      <c r="Q39" s="16">
        <v>4.53</v>
      </c>
      <c r="R39" s="20">
        <f t="shared" si="6"/>
        <v>2.065612908</v>
      </c>
      <c r="S39" s="20">
        <f t="shared" si="7"/>
        <v>52.96923988</v>
      </c>
      <c r="T39" s="20">
        <f t="shared" si="8"/>
        <v>5.157987279</v>
      </c>
      <c r="V39" s="20">
        <f>IFERROR(__xludf.DUMMYFUNCTION("iferror(PERCENTRANK.INC(FILTER($R$2:$R$432, $Q$2:$Q$432&lt;3.75), $R39), 1)"),0.829)</f>
        <v>0.829</v>
      </c>
      <c r="W39" s="20">
        <f>IFERROR(__xludf.DUMMYFUNCTION("iferror(PERCENTRANK.INC(FILTER($R$2:$R$432, $Q$2:$Q$432&lt;4.25), $R39), 1)"),0.78)</f>
        <v>0.78</v>
      </c>
      <c r="X39" s="20">
        <f>IFERROR(__xludf.DUMMYFUNCTION("iferror(PERCENTRANK.INC(FILTER($R$3:$R$432, $Q$3:$Q$432&gt;=4.1), $R39), 0.01)"),0.152)</f>
        <v>0.152</v>
      </c>
    </row>
    <row r="40" ht="14.25" customHeight="1">
      <c r="A40" s="16" t="s">
        <v>1395</v>
      </c>
      <c r="B40" s="16" t="s">
        <v>1396</v>
      </c>
      <c r="C40" s="16">
        <v>55.0</v>
      </c>
      <c r="D40" s="16" t="s">
        <v>1330</v>
      </c>
      <c r="E40" s="16" t="s">
        <v>179</v>
      </c>
      <c r="F40" s="16">
        <v>0.98</v>
      </c>
      <c r="G40" s="25">
        <v>-0.17</v>
      </c>
      <c r="H40" s="25">
        <v>-0.08</v>
      </c>
      <c r="I40" s="25">
        <v>-0.2</v>
      </c>
      <c r="J40" s="20">
        <f t="shared" si="1"/>
        <v>-0.152</v>
      </c>
      <c r="K40" s="20">
        <f t="shared" si="2"/>
        <v>0.607780616</v>
      </c>
      <c r="L40" s="20">
        <f t="shared" si="3"/>
        <v>-0.5140324425</v>
      </c>
      <c r="M40" s="20">
        <f t="shared" si="4"/>
        <v>0.1590553926</v>
      </c>
      <c r="N40" s="20">
        <f t="shared" si="5"/>
        <v>59.64074779</v>
      </c>
      <c r="Q40" s="16">
        <v>4.53</v>
      </c>
      <c r="R40" s="20">
        <f t="shared" si="6"/>
        <v>2.344527696</v>
      </c>
      <c r="S40" s="20">
        <f t="shared" si="7"/>
        <v>62.61095875</v>
      </c>
      <c r="T40" s="20">
        <f t="shared" si="8"/>
        <v>2.970210963</v>
      </c>
      <c r="V40" s="20">
        <f>IFERROR(__xludf.DUMMYFUNCTION("iferror(PERCENTRANK.INC(FILTER($R$2:$R$432, $Q$2:$Q$432&lt;3.75), $R40), 1)"),1.0)</f>
        <v>1</v>
      </c>
      <c r="W40" s="20">
        <f>IFERROR(__xludf.DUMMYFUNCTION("iferror(PERCENTRANK.INC(FILTER($R$2:$R$432, $Q$2:$Q$432&lt;4.25), $R40), 1)"),1.0)</f>
        <v>1</v>
      </c>
      <c r="X40" s="20">
        <f>IFERROR(__xludf.DUMMYFUNCTION("iferror(PERCENTRANK.INC(FILTER($R$3:$R$432, $Q$3:$Q$432&gt;=4.1), $R40), 0.01)"),0.485)</f>
        <v>0.485</v>
      </c>
    </row>
    <row r="41" ht="14.25" customHeight="1">
      <c r="A41" s="14" t="s">
        <v>1397</v>
      </c>
      <c r="B41" s="14" t="s">
        <v>1398</v>
      </c>
      <c r="C41" s="14">
        <v>58.0</v>
      </c>
      <c r="D41" s="14" t="s">
        <v>1330</v>
      </c>
      <c r="E41" s="14" t="s">
        <v>117</v>
      </c>
      <c r="F41" s="20">
        <v>0.983</v>
      </c>
      <c r="G41" s="14">
        <v>-0.2</v>
      </c>
      <c r="H41" s="14">
        <v>-0.31</v>
      </c>
      <c r="I41" s="14">
        <v>-0.14</v>
      </c>
      <c r="J41" s="20">
        <f t="shared" si="1"/>
        <v>-0.208</v>
      </c>
      <c r="K41" s="20">
        <f t="shared" si="2"/>
        <v>0.8795205655</v>
      </c>
      <c r="L41" s="20">
        <f t="shared" si="3"/>
        <v>-0.8163339022</v>
      </c>
      <c r="M41" s="20">
        <f t="shared" si="4"/>
        <v>0.2011787784</v>
      </c>
      <c r="N41" s="20">
        <f t="shared" si="5"/>
        <v>60.53402848</v>
      </c>
      <c r="Q41" s="14">
        <v>4.7</v>
      </c>
      <c r="R41" s="20">
        <f t="shared" si="6"/>
        <v>2.450589389</v>
      </c>
      <c r="S41" s="20">
        <f t="shared" si="7"/>
        <v>66.27737254</v>
      </c>
      <c r="T41" s="20">
        <f t="shared" si="8"/>
        <v>5.74334406</v>
      </c>
      <c r="V41" s="20">
        <f>IFERROR(__xludf.DUMMYFUNCTION("iferror(PERCENTRANK.INC(FILTER($R$2:$R$432, $Q$2:$Q$432&lt;3.75), $R41), 1)"),1.0)</f>
        <v>1</v>
      </c>
      <c r="W41" s="20">
        <f>IFERROR(__xludf.DUMMYFUNCTION("iferror(PERCENTRANK.INC(FILTER($R$2:$R$432, $Q$2:$Q$432&lt;4.25), $R41), 1)"),1.0)</f>
        <v>1</v>
      </c>
      <c r="X41" s="20">
        <f>IFERROR(__xludf.DUMMYFUNCTION("iferror(PERCENTRANK.INC(FILTER($R$3:$R$432, $Q$3:$Q$432&gt;=4.1), $R41), 0.01)"),0.636)</f>
        <v>0.636</v>
      </c>
    </row>
    <row r="42" ht="14.25" customHeight="1">
      <c r="A42" s="14" t="s">
        <v>1399</v>
      </c>
      <c r="B42" s="14" t="s">
        <v>1400</v>
      </c>
      <c r="C42" s="14">
        <v>67.0</v>
      </c>
      <c r="D42" s="14" t="s">
        <v>1330</v>
      </c>
      <c r="E42" s="14" t="s">
        <v>117</v>
      </c>
      <c r="F42" s="20">
        <v>0.98</v>
      </c>
      <c r="G42" s="14">
        <v>-0.41</v>
      </c>
      <c r="H42" s="14">
        <v>-0.75</v>
      </c>
      <c r="I42" s="14">
        <v>-0.28</v>
      </c>
      <c r="J42" s="20">
        <f t="shared" si="1"/>
        <v>-0.468</v>
      </c>
      <c r="K42" s="20">
        <f t="shared" si="2"/>
        <v>0.607780616</v>
      </c>
      <c r="L42" s="20">
        <f t="shared" si="3"/>
        <v>-2.219876394</v>
      </c>
      <c r="M42" s="20">
        <f t="shared" si="4"/>
        <v>-0.5232821879</v>
      </c>
      <c r="N42" s="20">
        <f t="shared" si="5"/>
        <v>45.1708999</v>
      </c>
      <c r="Q42" s="14">
        <v>4.7</v>
      </c>
      <c r="R42" s="20">
        <f t="shared" si="6"/>
        <v>2.088358906</v>
      </c>
      <c r="S42" s="20">
        <f t="shared" si="7"/>
        <v>53.75553924</v>
      </c>
      <c r="T42" s="20">
        <f t="shared" si="8"/>
        <v>8.58463934</v>
      </c>
      <c r="V42" s="20">
        <f>IFERROR(__xludf.DUMMYFUNCTION("iferror(PERCENTRANK.INC(FILTER($R$2:$R$432, $Q$2:$Q$432&lt;3.75), $R42), 1)"),0.845)</f>
        <v>0.845</v>
      </c>
      <c r="W42" s="20">
        <f>IFERROR(__xludf.DUMMYFUNCTION("iferror(PERCENTRANK.INC(FILTER($R$2:$R$432, $Q$2:$Q$432&lt;4.25), $R42), 1)"),0.8)</f>
        <v>0.8</v>
      </c>
      <c r="X42" s="20">
        <f>IFERROR(__xludf.DUMMYFUNCTION("iferror(PERCENTRANK.INC(FILTER($R$3:$R$432, $Q$3:$Q$432&gt;=4.1), $R42), 0.01)"),0.182)</f>
        <v>0.182</v>
      </c>
    </row>
    <row r="43" ht="14.25" customHeight="1">
      <c r="A43" s="14" t="s">
        <v>1401</v>
      </c>
      <c r="B43" s="14" t="s">
        <v>1402</v>
      </c>
      <c r="C43" s="14">
        <v>72.0</v>
      </c>
      <c r="D43" s="14" t="s">
        <v>1330</v>
      </c>
      <c r="E43" s="14" t="s">
        <v>117</v>
      </c>
      <c r="F43" s="38">
        <v>0.969</v>
      </c>
      <c r="G43" s="14">
        <v>0.03</v>
      </c>
      <c r="H43" s="14">
        <v>-0.09</v>
      </c>
      <c r="I43" s="14">
        <v>0.05</v>
      </c>
      <c r="J43" s="20">
        <f t="shared" si="1"/>
        <v>-0.006</v>
      </c>
      <c r="K43" s="20">
        <f t="shared" si="2"/>
        <v>-0.3885991986</v>
      </c>
      <c r="L43" s="20">
        <f t="shared" si="3"/>
        <v>0.274110649</v>
      </c>
      <c r="M43" s="20">
        <f t="shared" si="4"/>
        <v>-0.1235152596</v>
      </c>
      <c r="N43" s="20">
        <f t="shared" si="5"/>
        <v>53.64847289</v>
      </c>
      <c r="Q43" s="16">
        <v>4.7</v>
      </c>
      <c r="R43" s="20">
        <f t="shared" si="6"/>
        <v>2.28824237</v>
      </c>
      <c r="S43" s="20">
        <f t="shared" si="7"/>
        <v>60.66524876</v>
      </c>
      <c r="T43" s="20">
        <f t="shared" si="8"/>
        <v>7.016775867</v>
      </c>
      <c r="V43" s="20">
        <f>IFERROR(__xludf.DUMMYFUNCTION("iferror(PERCENTRANK.INC(FILTER($R$2:$R$432, $Q$2:$Q$432&lt;3.75), $R43), 1)"),0.981)</f>
        <v>0.981</v>
      </c>
      <c r="W43" s="20">
        <f>IFERROR(__xludf.DUMMYFUNCTION("iferror(PERCENTRANK.INC(FILTER($R$2:$R$432, $Q$2:$Q$432&lt;4.25), $R43), 1)"),0.984)</f>
        <v>0.984</v>
      </c>
      <c r="X43" s="20">
        <f>IFERROR(__xludf.DUMMYFUNCTION("iferror(PERCENTRANK.INC(FILTER($R$3:$R$432, $Q$3:$Q$432&gt;=4.1), $R43), 0.01)"),0.364)</f>
        <v>0.364</v>
      </c>
    </row>
    <row r="44" ht="14.25" customHeight="1">
      <c r="A44" s="14" t="s">
        <v>1403</v>
      </c>
      <c r="B44" s="14" t="s">
        <v>1404</v>
      </c>
      <c r="C44" s="14">
        <v>74.0</v>
      </c>
      <c r="D44" s="14" t="s">
        <v>1330</v>
      </c>
      <c r="E44" s="14" t="s">
        <v>102</v>
      </c>
      <c r="F44" s="20">
        <v>0.984</v>
      </c>
      <c r="G44" s="14">
        <v>-0.18</v>
      </c>
      <c r="H44" s="14">
        <v>0.17</v>
      </c>
      <c r="I44" s="14">
        <v>-0.22</v>
      </c>
      <c r="J44" s="20">
        <f t="shared" si="1"/>
        <v>-0.064</v>
      </c>
      <c r="K44" s="20">
        <f t="shared" si="2"/>
        <v>0.9701005486</v>
      </c>
      <c r="L44" s="20">
        <f t="shared" si="3"/>
        <v>-0.03898729143</v>
      </c>
      <c r="M44" s="20">
        <f t="shared" si="4"/>
        <v>0.5664654126</v>
      </c>
      <c r="N44" s="20">
        <f t="shared" si="5"/>
        <v>68.28040239</v>
      </c>
      <c r="Q44" s="14">
        <v>4.74</v>
      </c>
      <c r="R44" s="20">
        <f t="shared" si="6"/>
        <v>2.653232706</v>
      </c>
      <c r="S44" s="20">
        <f t="shared" si="7"/>
        <v>73.28248656</v>
      </c>
      <c r="T44" s="20">
        <f t="shared" si="8"/>
        <v>5.002084168</v>
      </c>
      <c r="V44" s="20">
        <f>IFERROR(__xludf.DUMMYFUNCTION("iferror(PERCENTRANK.INC(FILTER($R$2:$R$432, $Q$2:$Q$432&lt;3.75), $R44), 1)"),1.0)</f>
        <v>1</v>
      </c>
      <c r="W44" s="20">
        <f>IFERROR(__xludf.DUMMYFUNCTION("iferror(PERCENTRANK.INC(FILTER($R$2:$R$432, $Q$2:$Q$432&lt;4.25), $R44), 1)"),1.0)</f>
        <v>1</v>
      </c>
      <c r="X44" s="20">
        <f>IFERROR(__xludf.DUMMYFUNCTION("iferror(PERCENTRANK.INC(FILTER($R$3:$R$432, $Q$3:$Q$432&gt;=4.1), $R44), 0.01)"),0.879)</f>
        <v>0.879</v>
      </c>
    </row>
    <row r="45" ht="14.25" customHeight="1">
      <c r="A45" s="14" t="s">
        <v>1405</v>
      </c>
      <c r="B45" s="14" t="s">
        <v>1277</v>
      </c>
      <c r="C45" s="14">
        <v>72.0</v>
      </c>
      <c r="D45" s="14" t="s">
        <v>1330</v>
      </c>
      <c r="E45" s="14" t="s">
        <v>144</v>
      </c>
      <c r="F45" s="20">
        <v>0.9790000000000001</v>
      </c>
      <c r="G45" s="14">
        <v>0.07</v>
      </c>
      <c r="H45" s="14">
        <v>0.14</v>
      </c>
      <c r="I45" s="14">
        <v>0.06</v>
      </c>
      <c r="J45" s="20">
        <f t="shared" si="1"/>
        <v>0.092</v>
      </c>
      <c r="K45" s="20">
        <f t="shared" si="2"/>
        <v>0.5172006329</v>
      </c>
      <c r="L45" s="20">
        <f t="shared" si="3"/>
        <v>0.8031382036</v>
      </c>
      <c r="M45" s="20">
        <f t="shared" si="4"/>
        <v>0.6315756612</v>
      </c>
      <c r="N45" s="20">
        <f t="shared" si="5"/>
        <v>69.66114913</v>
      </c>
      <c r="Q45" s="14">
        <v>4.74</v>
      </c>
      <c r="R45" s="20">
        <f t="shared" si="6"/>
        <v>2.685787831</v>
      </c>
      <c r="S45" s="20">
        <f t="shared" si="7"/>
        <v>74.40787456</v>
      </c>
      <c r="T45" s="20">
        <f t="shared" si="8"/>
        <v>4.746725425</v>
      </c>
      <c r="V45" s="20">
        <f>IFERROR(__xludf.DUMMYFUNCTION("iferror(PERCENTRANK.INC(FILTER($R$2:$R$432, $Q$2:$Q$432&lt;3.75), $R45), 1)"),1.0)</f>
        <v>1</v>
      </c>
      <c r="W45" s="20">
        <f>IFERROR(__xludf.DUMMYFUNCTION("iferror(PERCENTRANK.INC(FILTER($R$2:$R$432, $Q$2:$Q$432&lt;4.25), $R45), 1)"),1.0)</f>
        <v>1</v>
      </c>
      <c r="X45" s="20">
        <f>IFERROR(__xludf.DUMMYFUNCTION("iferror(PERCENTRANK.INC(FILTER($R$3:$R$432, $Q$3:$Q$432&gt;=4.1), $R45), 0.01)"),0.939)</f>
        <v>0.939</v>
      </c>
    </row>
    <row r="46" ht="14.25" customHeight="1">
      <c r="A46" s="14" t="s">
        <v>1406</v>
      </c>
      <c r="B46" s="14" t="s">
        <v>1407</v>
      </c>
      <c r="C46" s="14">
        <v>78.0</v>
      </c>
      <c r="D46" s="14" t="s">
        <v>1330</v>
      </c>
      <c r="E46" s="14" t="s">
        <v>158</v>
      </c>
      <c r="F46" s="20">
        <v>0.972</v>
      </c>
      <c r="G46" s="14">
        <v>-0.05</v>
      </c>
      <c r="H46" s="14">
        <v>-0.09</v>
      </c>
      <c r="I46" s="14">
        <v>-0.05</v>
      </c>
      <c r="J46" s="20">
        <f t="shared" si="1"/>
        <v>-0.066</v>
      </c>
      <c r="K46" s="20">
        <f t="shared" si="2"/>
        <v>-0.1168592491</v>
      </c>
      <c r="L46" s="20">
        <f t="shared" si="3"/>
        <v>-0.04978377214</v>
      </c>
      <c r="M46" s="20">
        <f t="shared" si="4"/>
        <v>-0.09002905835</v>
      </c>
      <c r="N46" s="20">
        <f t="shared" si="5"/>
        <v>54.35859095</v>
      </c>
      <c r="Q46" s="14">
        <v>4.74</v>
      </c>
      <c r="R46" s="20">
        <f t="shared" si="6"/>
        <v>2.324985471</v>
      </c>
      <c r="S46" s="20">
        <f t="shared" si="7"/>
        <v>61.93540962</v>
      </c>
      <c r="T46" s="20">
        <f t="shared" si="8"/>
        <v>7.576818665</v>
      </c>
      <c r="V46" s="20">
        <f>IFERROR(__xludf.DUMMYFUNCTION("iferror(PERCENTRANK.INC(FILTER($R$2:$R$432, $Q$2:$Q$432&lt;3.75), $R46), 1)"),1.0)</f>
        <v>1</v>
      </c>
      <c r="W46" s="20">
        <f>IFERROR(__xludf.DUMMYFUNCTION("iferror(PERCENTRANK.INC(FILTER($R$2:$R$432, $Q$2:$Q$432&lt;4.25), $R46), 1)"),1.0)</f>
        <v>1</v>
      </c>
      <c r="X46" s="20">
        <f>IFERROR(__xludf.DUMMYFUNCTION("iferror(PERCENTRANK.INC(FILTER($R$3:$R$432, $Q$3:$Q$432&gt;=4.1), $R46), 0.01)"),0.424)</f>
        <v>0.424</v>
      </c>
    </row>
    <row r="47" ht="14.25" customHeight="1">
      <c r="A47" s="14" t="s">
        <v>1408</v>
      </c>
      <c r="B47" s="14" t="s">
        <v>1350</v>
      </c>
      <c r="C47" s="14">
        <v>78.0</v>
      </c>
      <c r="D47" s="14" t="s">
        <v>1330</v>
      </c>
      <c r="E47" s="14" t="s">
        <v>1351</v>
      </c>
      <c r="F47" s="20">
        <v>0.966</v>
      </c>
      <c r="G47" s="14">
        <v>0.12</v>
      </c>
      <c r="H47" s="14">
        <v>0.32</v>
      </c>
      <c r="I47" s="14">
        <v>-0.05</v>
      </c>
      <c r="J47" s="20">
        <f t="shared" si="1"/>
        <v>0.098</v>
      </c>
      <c r="K47" s="20">
        <f t="shared" si="2"/>
        <v>-0.660339148</v>
      </c>
      <c r="L47" s="20">
        <f t="shared" si="3"/>
        <v>0.8355276457</v>
      </c>
      <c r="M47" s="20">
        <f t="shared" si="4"/>
        <v>-0.06199243056</v>
      </c>
      <c r="N47" s="20">
        <f t="shared" si="5"/>
        <v>54.95314378</v>
      </c>
      <c r="Q47" s="14">
        <v>4.74</v>
      </c>
      <c r="R47" s="20">
        <f t="shared" si="6"/>
        <v>2.339003785</v>
      </c>
      <c r="S47" s="20">
        <f t="shared" si="7"/>
        <v>62.42000436</v>
      </c>
      <c r="T47" s="20">
        <f t="shared" si="8"/>
        <v>7.466860583</v>
      </c>
      <c r="V47" s="20">
        <f>IFERROR(__xludf.DUMMYFUNCTION("iferror(PERCENTRANK.INC(FILTER($R$2:$R$432, $Q$2:$Q$432&lt;3.75), $R47), 1)"),1.0)</f>
        <v>1</v>
      </c>
      <c r="W47" s="20">
        <f>IFERROR(__xludf.DUMMYFUNCTION("iferror(PERCENTRANK.INC(FILTER($R$2:$R$432, $Q$2:$Q$432&lt;4.25), $R47), 1)"),1.0)</f>
        <v>1</v>
      </c>
      <c r="X47" s="20">
        <f>IFERROR(__xludf.DUMMYFUNCTION("iferror(PERCENTRANK.INC(FILTER($R$3:$R$432, $Q$3:$Q$432&gt;=4.1), $R47), 0.01)"),0.455)</f>
        <v>0.455</v>
      </c>
    </row>
    <row r="48" ht="14.25" customHeight="1">
      <c r="A48" s="14" t="s">
        <v>1409</v>
      </c>
      <c r="B48" s="14" t="s">
        <v>1410</v>
      </c>
      <c r="C48" s="14">
        <v>73.0</v>
      </c>
      <c r="D48" s="14" t="s">
        <v>1330</v>
      </c>
      <c r="E48" s="14" t="s">
        <v>147</v>
      </c>
      <c r="F48" s="20">
        <v>0.975</v>
      </c>
      <c r="G48" s="14">
        <v>-0.11</v>
      </c>
      <c r="H48" s="14">
        <v>-0.11</v>
      </c>
      <c r="I48" s="14">
        <v>-0.11</v>
      </c>
      <c r="J48" s="20">
        <f t="shared" si="1"/>
        <v>-0.11</v>
      </c>
      <c r="K48" s="20">
        <f t="shared" si="2"/>
        <v>0.1548807003</v>
      </c>
      <c r="L48" s="20">
        <f t="shared" si="3"/>
        <v>-0.2873063476</v>
      </c>
      <c r="M48" s="20">
        <f t="shared" si="4"/>
        <v>-0.02199411888</v>
      </c>
      <c r="N48" s="20">
        <f t="shared" si="5"/>
        <v>55.80135953</v>
      </c>
      <c r="Q48" s="14">
        <v>4.79</v>
      </c>
      <c r="R48" s="20">
        <f t="shared" si="6"/>
        <v>2.384002941</v>
      </c>
      <c r="S48" s="20">
        <f t="shared" si="7"/>
        <v>63.97556623</v>
      </c>
      <c r="T48" s="20">
        <f t="shared" si="8"/>
        <v>8.174206699</v>
      </c>
      <c r="V48" s="20">
        <f>IFERROR(__xludf.DUMMYFUNCTION("iferror(PERCENTRANK.INC(FILTER($R$2:$R$432, $Q$2:$Q$432&lt;3.75), $R48), 1)"),1.0)</f>
        <v>1</v>
      </c>
      <c r="W48" s="20">
        <f>IFERROR(__xludf.DUMMYFUNCTION("iferror(PERCENTRANK.INC(FILTER($R$2:$R$432, $Q$2:$Q$432&lt;4.25), $R48), 1)"),1.0)</f>
        <v>1</v>
      </c>
      <c r="X48" s="20">
        <f>IFERROR(__xludf.DUMMYFUNCTION("iferror(PERCENTRANK.INC(FILTER($R$3:$R$432, $Q$3:$Q$432&gt;=4.1), $R48), 0.01)"),0.545)</f>
        <v>0.545</v>
      </c>
    </row>
    <row r="49" ht="14.25" customHeight="1">
      <c r="A49" s="14" t="s">
        <v>1411</v>
      </c>
      <c r="B49" s="14" t="s">
        <v>1412</v>
      </c>
      <c r="C49" s="14">
        <v>70.0</v>
      </c>
      <c r="D49" s="14" t="s">
        <v>1330</v>
      </c>
      <c r="E49" s="14" t="s">
        <v>132</v>
      </c>
      <c r="F49" s="20">
        <v>0.971</v>
      </c>
      <c r="G49" s="14">
        <v>-0.07</v>
      </c>
      <c r="H49" s="14">
        <v>-0.07</v>
      </c>
      <c r="I49" s="14">
        <v>-0.07</v>
      </c>
      <c r="J49" s="20">
        <f t="shared" si="1"/>
        <v>-0.07</v>
      </c>
      <c r="K49" s="20">
        <f t="shared" si="2"/>
        <v>-0.2074392323</v>
      </c>
      <c r="L49" s="20">
        <f t="shared" si="3"/>
        <v>-0.07137673355</v>
      </c>
      <c r="M49" s="20">
        <f t="shared" si="4"/>
        <v>-0.1530142328</v>
      </c>
      <c r="N49" s="20">
        <f t="shared" si="5"/>
        <v>53.02290914</v>
      </c>
      <c r="Q49" s="14">
        <v>4.79</v>
      </c>
      <c r="R49" s="20">
        <f t="shared" si="6"/>
        <v>2.318492884</v>
      </c>
      <c r="S49" s="20">
        <f t="shared" si="7"/>
        <v>61.71096938</v>
      </c>
      <c r="T49" s="20">
        <f t="shared" si="8"/>
        <v>8.688060238</v>
      </c>
      <c r="V49" s="20">
        <f>IFERROR(__xludf.DUMMYFUNCTION("iferror(PERCENTRANK.INC(FILTER($R$2:$R$432, $Q$2:$Q$432&lt;3.75), $R49), 1)"),1.0)</f>
        <v>1</v>
      </c>
      <c r="W49" s="20">
        <f>IFERROR(__xludf.DUMMYFUNCTION("iferror(PERCENTRANK.INC(FILTER($R$2:$R$432, $Q$2:$Q$432&lt;4.25), $R49), 1)"),1.0)</f>
        <v>1</v>
      </c>
      <c r="X49" s="20">
        <f>IFERROR(__xludf.DUMMYFUNCTION("iferror(PERCENTRANK.INC(FILTER($R$3:$R$432, $Q$3:$Q$432&gt;=4.1), $R49), 0.01)"),0.394)</f>
        <v>0.394</v>
      </c>
    </row>
    <row r="50" ht="14.25" customHeight="1">
      <c r="A50" s="14" t="s">
        <v>1413</v>
      </c>
      <c r="B50" s="14" t="s">
        <v>1414</v>
      </c>
      <c r="C50" s="14">
        <v>79.0</v>
      </c>
      <c r="D50" s="14" t="s">
        <v>1330</v>
      </c>
      <c r="E50" s="14" t="s">
        <v>99</v>
      </c>
      <c r="F50" s="20">
        <v>1.0</v>
      </c>
      <c r="G50" s="14">
        <v>0.0</v>
      </c>
      <c r="H50" s="14">
        <v>1.0</v>
      </c>
      <c r="I50" s="14">
        <v>-0.29</v>
      </c>
      <c r="J50" s="20">
        <f t="shared" si="1"/>
        <v>0.226</v>
      </c>
      <c r="K50" s="20">
        <f t="shared" si="2"/>
        <v>2.419380279</v>
      </c>
      <c r="L50" s="20">
        <f t="shared" si="3"/>
        <v>1.526502411</v>
      </c>
      <c r="M50" s="20">
        <f t="shared" si="4"/>
        <v>2.062229132</v>
      </c>
      <c r="N50" s="20">
        <f t="shared" si="5"/>
        <v>100</v>
      </c>
      <c r="Q50" s="16">
        <v>4.79</v>
      </c>
      <c r="R50" s="20">
        <f t="shared" si="6"/>
        <v>3.426114566</v>
      </c>
      <c r="S50" s="20">
        <f t="shared" si="7"/>
        <v>100</v>
      </c>
      <c r="T50" s="20">
        <f t="shared" si="8"/>
        <v>0</v>
      </c>
      <c r="V50" s="20">
        <f>IFERROR(__xludf.DUMMYFUNCTION("iferror(PERCENTRANK.INC(FILTER($R$2:$R$432, $Q$2:$Q$432&lt;3.75), $R50), 1)"),1.0)</f>
        <v>1</v>
      </c>
      <c r="W50" s="20">
        <f>IFERROR(__xludf.DUMMYFUNCTION("iferror(PERCENTRANK.INC(FILTER($R$2:$R$432, $Q$2:$Q$432&lt;4.25), $R50), 1)"),1.0)</f>
        <v>1</v>
      </c>
      <c r="X50" s="20">
        <f>IFERROR(__xludf.DUMMYFUNCTION("iferror(PERCENTRANK.INC(FILTER($R$3:$R$432, $Q$3:$Q$432&gt;=4.1), $R50), 0.01)"),1.0)</f>
        <v>1</v>
      </c>
    </row>
    <row r="51" ht="14.25" customHeight="1">
      <c r="A51" s="14" t="s">
        <v>1415</v>
      </c>
      <c r="B51" s="14" t="s">
        <v>1242</v>
      </c>
      <c r="C51" s="14">
        <v>55.0</v>
      </c>
      <c r="D51" s="14" t="s">
        <v>1330</v>
      </c>
      <c r="E51" s="14" t="s">
        <v>132</v>
      </c>
      <c r="F51" s="20">
        <v>0.975</v>
      </c>
      <c r="G51" s="14">
        <v>-0.38</v>
      </c>
      <c r="H51" s="14">
        <v>0.5</v>
      </c>
      <c r="I51" s="14">
        <v>-0.5</v>
      </c>
      <c r="J51" s="20">
        <f t="shared" si="1"/>
        <v>-0.1</v>
      </c>
      <c r="K51" s="20">
        <f t="shared" si="2"/>
        <v>0.1548807003</v>
      </c>
      <c r="L51" s="20">
        <f t="shared" si="3"/>
        <v>-0.2333239441</v>
      </c>
      <c r="M51" s="20">
        <f t="shared" si="4"/>
        <v>-0.0004011574709</v>
      </c>
      <c r="N51" s="20">
        <f t="shared" si="5"/>
        <v>56.25926611</v>
      </c>
      <c r="Q51" s="16">
        <v>4.79</v>
      </c>
      <c r="R51" s="20">
        <f t="shared" si="6"/>
        <v>2.394799421</v>
      </c>
      <c r="S51" s="20">
        <f t="shared" si="7"/>
        <v>64.34878643</v>
      </c>
      <c r="T51" s="20">
        <f t="shared" si="8"/>
        <v>8.089520315</v>
      </c>
      <c r="V51" s="20">
        <f>IFERROR(__xludf.DUMMYFUNCTION("iferror(PERCENTRANK.INC(FILTER($R$2:$R$432, $Q$2:$Q$432&lt;3.75), $R51), 1)"),1.0)</f>
        <v>1</v>
      </c>
      <c r="W51" s="20">
        <f>IFERROR(__xludf.DUMMYFUNCTION("iferror(PERCENTRANK.INC(FILTER($R$2:$R$432, $Q$2:$Q$432&lt;4.25), $R51), 1)"),1.0)</f>
        <v>1</v>
      </c>
      <c r="X51" s="20">
        <f>IFERROR(__xludf.DUMMYFUNCTION("iferror(PERCENTRANK.INC(FILTER($R$3:$R$432, $Q$3:$Q$432&gt;=4.1), $R51), 0.01)"),0.576)</f>
        <v>0.576</v>
      </c>
    </row>
    <row r="52" ht="14.25" customHeight="1">
      <c r="A52" s="14" t="s">
        <v>1416</v>
      </c>
      <c r="B52" s="14" t="s">
        <v>1292</v>
      </c>
      <c r="C52" s="14">
        <v>72.0</v>
      </c>
      <c r="D52" s="14" t="s">
        <v>1330</v>
      </c>
      <c r="E52" s="14" t="s">
        <v>132</v>
      </c>
      <c r="F52" s="20">
        <v>0.971</v>
      </c>
      <c r="G52" s="14">
        <v>-0.04</v>
      </c>
      <c r="H52" s="14">
        <v>-0.5</v>
      </c>
      <c r="I52" s="14">
        <v>0.09</v>
      </c>
      <c r="J52" s="20">
        <f t="shared" si="1"/>
        <v>-0.146</v>
      </c>
      <c r="K52" s="20">
        <f t="shared" si="2"/>
        <v>-0.2074392323</v>
      </c>
      <c r="L52" s="20">
        <f t="shared" si="3"/>
        <v>-0.4816430003</v>
      </c>
      <c r="M52" s="20">
        <f t="shared" si="4"/>
        <v>-0.3171207395</v>
      </c>
      <c r="N52" s="20">
        <f t="shared" si="5"/>
        <v>49.54281914</v>
      </c>
      <c r="Q52" s="16">
        <v>4.83</v>
      </c>
      <c r="R52" s="20">
        <f t="shared" si="6"/>
        <v>2.25643963</v>
      </c>
      <c r="S52" s="20">
        <f t="shared" si="7"/>
        <v>59.5658697</v>
      </c>
      <c r="T52" s="20">
        <f t="shared" si="8"/>
        <v>10.02305055</v>
      </c>
      <c r="V52" s="20">
        <f>IFERROR(__xludf.DUMMYFUNCTION("iferror(PERCENTRANK.INC(FILTER($R$2:$R$432, $Q$2:$Q$432&lt;3.75), $R52), 1)"),0.959)</f>
        <v>0.959</v>
      </c>
      <c r="W52" s="20">
        <f>IFERROR(__xludf.DUMMYFUNCTION("iferror(PERCENTRANK.INC(FILTER($R$2:$R$432, $Q$2:$Q$432&lt;4.25), $R52), 1)"),0.965)</f>
        <v>0.965</v>
      </c>
      <c r="X52" s="20">
        <f>IFERROR(__xludf.DUMMYFUNCTION("iferror(PERCENTRANK.INC(FILTER($R$3:$R$432, $Q$3:$Q$432&gt;=4.1), $R52), 0.01)"),0.333)</f>
        <v>0.333</v>
      </c>
    </row>
    <row r="53" ht="14.25" customHeight="1">
      <c r="A53" s="16" t="s">
        <v>1417</v>
      </c>
      <c r="B53" s="16" t="s">
        <v>1418</v>
      </c>
      <c r="C53" s="16">
        <v>54.0</v>
      </c>
      <c r="D53" s="16" t="s">
        <v>1330</v>
      </c>
      <c r="E53" s="16" t="s">
        <v>135</v>
      </c>
      <c r="F53" s="16">
        <v>0.95</v>
      </c>
      <c r="G53" s="16">
        <v>0.11</v>
      </c>
      <c r="H53" s="16">
        <v>-0.4</v>
      </c>
      <c r="I53" s="16">
        <v>0.29</v>
      </c>
      <c r="J53" s="20">
        <f t="shared" si="1"/>
        <v>0.014</v>
      </c>
      <c r="K53" s="20">
        <f t="shared" si="2"/>
        <v>-2.109618878</v>
      </c>
      <c r="L53" s="20">
        <f t="shared" si="3"/>
        <v>0.3820754561</v>
      </c>
      <c r="M53" s="20">
        <f t="shared" si="4"/>
        <v>-1.112941145</v>
      </c>
      <c r="N53" s="20">
        <f t="shared" si="5"/>
        <v>32.66642169</v>
      </c>
      <c r="Q53" s="16">
        <v>5.0</v>
      </c>
      <c r="R53" s="20">
        <f t="shared" si="6"/>
        <v>1.943529428</v>
      </c>
      <c r="S53" s="20">
        <f t="shared" si="7"/>
        <v>48.74897389</v>
      </c>
      <c r="T53" s="20">
        <f t="shared" si="8"/>
        <v>16.0825522</v>
      </c>
      <c r="V53" s="20">
        <f>IFERROR(__xludf.DUMMYFUNCTION("iferror(PERCENTRANK.INC(FILTER($R$2:$R$432, $Q$2:$Q$432&lt;3.75), $R53), 1)"),0.72)</f>
        <v>0.72</v>
      </c>
      <c r="W53" s="20">
        <f>IFERROR(__xludf.DUMMYFUNCTION("iferror(PERCENTRANK.INC(FILTER($R$2:$R$432, $Q$2:$Q$432&lt;4.25), $R53), 1)"),0.515)</f>
        <v>0.515</v>
      </c>
      <c r="X53" s="20">
        <f>IFERROR(__xludf.DUMMYFUNCTION("iferror(PERCENTRANK.INC(FILTER($R$3:$R$432, $Q$3:$Q$432&gt;=4.1), $R53), 0.01)"),0.03)</f>
        <v>0.03</v>
      </c>
    </row>
    <row r="54" ht="14.25" customHeight="1">
      <c r="A54" s="14" t="s">
        <v>1419</v>
      </c>
      <c r="B54" s="14" t="s">
        <v>1420</v>
      </c>
      <c r="C54" s="14">
        <v>74.0</v>
      </c>
      <c r="D54" s="14" t="s">
        <v>1330</v>
      </c>
      <c r="E54" s="14" t="s">
        <v>99</v>
      </c>
      <c r="F54" s="20">
        <v>0.981</v>
      </c>
      <c r="G54" s="14">
        <v>-0.15</v>
      </c>
      <c r="H54" s="14">
        <v>0.2</v>
      </c>
      <c r="I54" s="14">
        <v>-0.21</v>
      </c>
      <c r="J54" s="20">
        <f t="shared" si="1"/>
        <v>-0.046</v>
      </c>
      <c r="K54" s="20">
        <f t="shared" si="2"/>
        <v>0.6983605992</v>
      </c>
      <c r="L54" s="20">
        <f t="shared" si="3"/>
        <v>0.05818103491</v>
      </c>
      <c r="M54" s="20">
        <f t="shared" si="4"/>
        <v>0.4422887735</v>
      </c>
      <c r="N54" s="20">
        <f t="shared" si="5"/>
        <v>65.6470767</v>
      </c>
      <c r="Q54" s="14">
        <v>5.04</v>
      </c>
      <c r="R54" s="20">
        <f t="shared" si="6"/>
        <v>2.741144387</v>
      </c>
      <c r="S54" s="20">
        <f t="shared" si="7"/>
        <v>76.32147819</v>
      </c>
      <c r="T54" s="20">
        <f t="shared" si="8"/>
        <v>10.67440149</v>
      </c>
      <c r="V54" s="20">
        <f>IFERROR(__xludf.DUMMYFUNCTION("iferror(PERCENTRANK.INC(FILTER($R$2:$R$432, $Q$2:$Q$432&lt;3.75), $R54), 1)"),1.0)</f>
        <v>1</v>
      </c>
      <c r="W54" s="20">
        <f>IFERROR(__xludf.DUMMYFUNCTION("iferror(PERCENTRANK.INC(FILTER($R$2:$R$432, $Q$2:$Q$432&lt;4.25), $R54), 1)"),1.0)</f>
        <v>1</v>
      </c>
      <c r="X54" s="20">
        <f>IFERROR(__xludf.DUMMYFUNCTION("iferror(PERCENTRANK.INC(FILTER($R$3:$R$432, $Q$3:$Q$432&gt;=4.1), $R54), 0.01)"),0.97)</f>
        <v>0.97</v>
      </c>
    </row>
    <row r="55" ht="14.25" customHeight="1">
      <c r="A55" s="14" t="s">
        <v>1421</v>
      </c>
      <c r="B55" s="14" t="s">
        <v>1286</v>
      </c>
      <c r="C55" s="14">
        <v>76.0</v>
      </c>
      <c r="D55" s="14" t="s">
        <v>1330</v>
      </c>
      <c r="E55" s="14" t="s">
        <v>132</v>
      </c>
      <c r="F55" s="20">
        <v>0.978</v>
      </c>
      <c r="G55" s="14">
        <v>-0.08</v>
      </c>
      <c r="H55" s="14">
        <v>-0.14</v>
      </c>
      <c r="I55" s="14">
        <v>-0.07</v>
      </c>
      <c r="J55" s="20">
        <f t="shared" si="1"/>
        <v>-0.098</v>
      </c>
      <c r="K55" s="20">
        <f t="shared" si="2"/>
        <v>0.4266206497</v>
      </c>
      <c r="L55" s="20">
        <f t="shared" si="3"/>
        <v>-0.2225274634</v>
      </c>
      <c r="M55" s="20">
        <f t="shared" si="4"/>
        <v>0.1669614045</v>
      </c>
      <c r="N55" s="20">
        <f t="shared" si="5"/>
        <v>59.80840496</v>
      </c>
      <c r="Q55" s="14">
        <v>5.04</v>
      </c>
      <c r="R55" s="20">
        <f t="shared" si="6"/>
        <v>2.603480702</v>
      </c>
      <c r="S55" s="20">
        <f t="shared" si="7"/>
        <v>71.56262495</v>
      </c>
      <c r="T55" s="20">
        <f t="shared" si="8"/>
        <v>11.75421999</v>
      </c>
      <c r="V55" s="20">
        <f>IFERROR(__xludf.DUMMYFUNCTION("iferror(PERCENTRANK.INC(FILTER($R$2:$R$432, $Q$2:$Q$432&lt;3.75), $R55), 1)"),1.0)</f>
        <v>1</v>
      </c>
      <c r="W55" s="20">
        <f>IFERROR(__xludf.DUMMYFUNCTION("iferror(PERCENTRANK.INC(FILTER($R$2:$R$432, $Q$2:$Q$432&lt;4.25), $R55), 1)"),1.0)</f>
        <v>1</v>
      </c>
      <c r="X55" s="20">
        <f>IFERROR(__xludf.DUMMYFUNCTION("iferror(PERCENTRANK.INC(FILTER($R$3:$R$432, $Q$3:$Q$432&gt;=4.1), $R55), 0.01)"),0.818)</f>
        <v>0.818</v>
      </c>
    </row>
    <row r="56" ht="14.25" customHeight="1">
      <c r="A56" s="14" t="s">
        <v>1422</v>
      </c>
      <c r="B56" s="14" t="s">
        <v>157</v>
      </c>
      <c r="C56" s="14">
        <v>70.0</v>
      </c>
      <c r="D56" s="14" t="s">
        <v>1330</v>
      </c>
      <c r="E56" s="14" t="s">
        <v>158</v>
      </c>
      <c r="F56" s="20">
        <v>0.975</v>
      </c>
      <c r="G56" s="14">
        <v>-0.09</v>
      </c>
      <c r="H56" s="14">
        <v>-0.1</v>
      </c>
      <c r="I56" s="14">
        <v>-0.08</v>
      </c>
      <c r="J56" s="20">
        <f t="shared" si="1"/>
        <v>-0.088</v>
      </c>
      <c r="K56" s="20">
        <f t="shared" si="2"/>
        <v>0.1548807003</v>
      </c>
      <c r="L56" s="20">
        <f t="shared" si="3"/>
        <v>-0.1685450599</v>
      </c>
      <c r="M56" s="20">
        <f t="shared" si="4"/>
        <v>0.02551039622</v>
      </c>
      <c r="N56" s="20">
        <f t="shared" si="5"/>
        <v>56.80875401</v>
      </c>
      <c r="Q56" s="14">
        <v>5.25</v>
      </c>
      <c r="R56" s="20">
        <f t="shared" si="6"/>
        <v>2.637755198</v>
      </c>
      <c r="S56" s="20">
        <f t="shared" si="7"/>
        <v>72.74744937</v>
      </c>
      <c r="T56" s="20">
        <f t="shared" si="8"/>
        <v>15.93869537</v>
      </c>
      <c r="V56" s="20">
        <f>IFERROR(__xludf.DUMMYFUNCTION("iferror(PERCENTRANK.INC(FILTER($R$2:$R$432, $Q$2:$Q$432&lt;3.75), $R56), 1)"),1.0)</f>
        <v>1</v>
      </c>
      <c r="W56" s="20">
        <f>IFERROR(__xludf.DUMMYFUNCTION("iferror(PERCENTRANK.INC(FILTER($R$2:$R$432, $Q$2:$Q$432&lt;4.25), $R56), 1)"),1.0)</f>
        <v>1</v>
      </c>
      <c r="X56" s="20">
        <f>IFERROR(__xludf.DUMMYFUNCTION("iferror(PERCENTRANK.INC(FILTER($R$3:$R$432, $Q$3:$Q$432&gt;=4.1), $R56), 0.01)"),0.848)</f>
        <v>0.848</v>
      </c>
    </row>
    <row r="57" ht="14.25" customHeight="1">
      <c r="F57" s="20"/>
      <c r="J57" s="20"/>
      <c r="K57" s="20"/>
      <c r="L57" s="20"/>
      <c r="M57" s="20"/>
      <c r="N57" s="20"/>
      <c r="R57" s="20"/>
      <c r="S57" s="20"/>
      <c r="T57" s="20"/>
      <c r="V57" s="20"/>
      <c r="W57" s="20"/>
      <c r="X57" s="20"/>
    </row>
    <row r="58" ht="14.25" customHeight="1">
      <c r="F58" s="20"/>
      <c r="J58" s="20"/>
      <c r="K58" s="20"/>
      <c r="L58" s="20"/>
      <c r="M58" s="20"/>
      <c r="N58" s="20"/>
      <c r="R58" s="20"/>
      <c r="S58" s="20"/>
      <c r="T58" s="20"/>
      <c r="V58" s="20"/>
      <c r="W58" s="20"/>
      <c r="X58" s="20"/>
    </row>
    <row r="59" ht="14.25" customHeight="1">
      <c r="F59" s="20"/>
      <c r="J59" s="20"/>
      <c r="K59" s="20"/>
      <c r="L59" s="20"/>
      <c r="M59" s="20"/>
      <c r="N59" s="20"/>
      <c r="R59" s="20"/>
      <c r="S59" s="20"/>
      <c r="T59" s="20"/>
      <c r="V59" s="20"/>
      <c r="W59" s="20"/>
      <c r="X59" s="20"/>
    </row>
    <row r="60" ht="14.25" customHeight="1">
      <c r="F60" s="20"/>
      <c r="J60" s="20"/>
      <c r="K60" s="20"/>
      <c r="L60" s="20"/>
      <c r="M60" s="20"/>
      <c r="N60" s="20"/>
      <c r="R60" s="20"/>
      <c r="S60" s="20"/>
      <c r="T60" s="20"/>
      <c r="V60" s="20"/>
      <c r="W60" s="20"/>
      <c r="X60" s="20"/>
    </row>
    <row r="61" ht="14.25" customHeight="1">
      <c r="F61" s="20"/>
      <c r="J61" s="20"/>
      <c r="K61" s="20"/>
      <c r="L61" s="20"/>
      <c r="M61" s="20"/>
      <c r="N61" s="20"/>
      <c r="R61" s="20"/>
      <c r="S61" s="20"/>
      <c r="T61" s="20"/>
      <c r="V61" s="20"/>
      <c r="W61" s="20"/>
      <c r="X61" s="20"/>
    </row>
    <row r="62" ht="14.25" customHeight="1">
      <c r="F62" s="20"/>
      <c r="J62" s="20"/>
      <c r="K62" s="20"/>
      <c r="L62" s="20"/>
      <c r="M62" s="20"/>
      <c r="N62" s="20"/>
      <c r="R62" s="20"/>
      <c r="S62" s="20"/>
      <c r="T62" s="20"/>
      <c r="V62" s="20"/>
      <c r="W62" s="20"/>
      <c r="X62" s="20"/>
    </row>
    <row r="63" ht="14.25" customHeight="1">
      <c r="F63" s="20"/>
      <c r="J63" s="20"/>
      <c r="K63" s="20"/>
      <c r="L63" s="20"/>
      <c r="M63" s="20"/>
      <c r="N63" s="20"/>
      <c r="R63" s="20"/>
      <c r="S63" s="20"/>
      <c r="T63" s="20"/>
      <c r="V63" s="20"/>
      <c r="W63" s="20"/>
      <c r="X63" s="20"/>
    </row>
    <row r="64" ht="14.25" customHeight="1">
      <c r="F64" s="20"/>
      <c r="J64" s="20"/>
      <c r="K64" s="20"/>
      <c r="L64" s="20"/>
      <c r="M64" s="20"/>
      <c r="N64" s="20"/>
      <c r="R64" s="20"/>
      <c r="S64" s="20"/>
      <c r="T64" s="20"/>
      <c r="V64" s="20"/>
      <c r="W64" s="20"/>
      <c r="X64" s="20"/>
    </row>
    <row r="65" ht="14.25" customHeight="1">
      <c r="F65" s="20"/>
      <c r="J65" s="20"/>
      <c r="K65" s="20"/>
      <c r="L65" s="20"/>
      <c r="M65" s="20"/>
      <c r="N65" s="20"/>
      <c r="R65" s="20"/>
      <c r="S65" s="20"/>
      <c r="T65" s="20"/>
      <c r="V65" s="20"/>
      <c r="W65" s="20"/>
      <c r="X65" s="20"/>
    </row>
    <row r="66" ht="14.25" customHeight="1">
      <c r="F66" s="20"/>
      <c r="J66" s="20"/>
      <c r="K66" s="20"/>
      <c r="L66" s="20"/>
      <c r="M66" s="20"/>
      <c r="N66" s="20"/>
      <c r="R66" s="20"/>
      <c r="S66" s="20"/>
      <c r="T66" s="20"/>
      <c r="V66" s="20"/>
      <c r="W66" s="20"/>
      <c r="X66" s="20"/>
    </row>
    <row r="67" ht="14.25" customHeight="1">
      <c r="F67" s="20"/>
      <c r="J67" s="20"/>
      <c r="K67" s="20"/>
      <c r="L67" s="20"/>
      <c r="M67" s="20"/>
      <c r="N67" s="20"/>
      <c r="R67" s="20"/>
      <c r="S67" s="20"/>
      <c r="T67" s="20"/>
      <c r="V67" s="20"/>
      <c r="W67" s="20"/>
      <c r="X67" s="20"/>
    </row>
    <row r="68" ht="14.25" customHeight="1">
      <c r="F68" s="20"/>
      <c r="J68" s="20"/>
      <c r="K68" s="20"/>
      <c r="L68" s="20"/>
      <c r="M68" s="20"/>
      <c r="N68" s="20"/>
      <c r="R68" s="20"/>
      <c r="S68" s="20"/>
      <c r="T68" s="20"/>
      <c r="V68" s="20"/>
      <c r="W68" s="20"/>
      <c r="X68" s="20"/>
    </row>
    <row r="69" ht="14.25" customHeight="1">
      <c r="F69" s="20"/>
      <c r="J69" s="20"/>
      <c r="K69" s="20"/>
      <c r="L69" s="20"/>
      <c r="M69" s="20"/>
      <c r="N69" s="20"/>
      <c r="R69" s="20"/>
      <c r="S69" s="20"/>
      <c r="T69" s="20"/>
      <c r="V69" s="20"/>
      <c r="W69" s="20"/>
      <c r="X69" s="20"/>
    </row>
    <row r="70" ht="14.25" customHeight="1">
      <c r="F70" s="20"/>
      <c r="J70" s="20"/>
      <c r="K70" s="20"/>
      <c r="L70" s="20"/>
      <c r="M70" s="20"/>
      <c r="N70" s="20"/>
      <c r="R70" s="20"/>
      <c r="S70" s="20"/>
      <c r="T70" s="20"/>
      <c r="V70" s="20"/>
      <c r="W70" s="20"/>
      <c r="X70" s="20"/>
    </row>
    <row r="71" ht="14.25" customHeight="1">
      <c r="F71" s="20"/>
      <c r="J71" s="20"/>
      <c r="K71" s="20"/>
      <c r="L71" s="20"/>
      <c r="M71" s="20"/>
      <c r="N71" s="20"/>
      <c r="R71" s="20"/>
      <c r="S71" s="20"/>
      <c r="T71" s="20"/>
      <c r="V71" s="20"/>
      <c r="W71" s="20"/>
      <c r="X71" s="20"/>
    </row>
    <row r="72" ht="14.25" customHeight="1">
      <c r="F72" s="20"/>
      <c r="J72" s="20"/>
      <c r="K72" s="20"/>
      <c r="L72" s="20"/>
      <c r="M72" s="20"/>
      <c r="N72" s="20"/>
      <c r="R72" s="20"/>
      <c r="S72" s="20"/>
      <c r="T72" s="20"/>
      <c r="V72" s="20"/>
      <c r="W72" s="20"/>
      <c r="X72" s="20"/>
    </row>
    <row r="73" ht="14.25" customHeight="1">
      <c r="F73" s="20"/>
      <c r="J73" s="20"/>
      <c r="K73" s="20"/>
      <c r="L73" s="20"/>
      <c r="M73" s="20"/>
      <c r="N73" s="20"/>
      <c r="R73" s="20"/>
      <c r="S73" s="20"/>
      <c r="T73" s="20"/>
      <c r="V73" s="20"/>
      <c r="W73" s="20"/>
      <c r="X73" s="20"/>
    </row>
    <row r="74" ht="14.25" customHeight="1">
      <c r="F74" s="20"/>
      <c r="J74" s="20"/>
      <c r="K74" s="20"/>
      <c r="L74" s="20"/>
      <c r="M74" s="20"/>
      <c r="N74" s="20"/>
      <c r="R74" s="20"/>
      <c r="S74" s="20"/>
      <c r="T74" s="20"/>
      <c r="V74" s="20"/>
      <c r="W74" s="20"/>
      <c r="X74" s="20"/>
    </row>
    <row r="75" ht="14.25" customHeight="1">
      <c r="F75" s="20"/>
      <c r="J75" s="20"/>
      <c r="K75" s="20"/>
      <c r="L75" s="20"/>
      <c r="M75" s="20"/>
      <c r="N75" s="20"/>
      <c r="R75" s="20"/>
      <c r="S75" s="20"/>
      <c r="T75" s="20"/>
      <c r="V75" s="20"/>
      <c r="W75" s="20"/>
      <c r="X75" s="20"/>
    </row>
    <row r="76" ht="14.25" customHeight="1">
      <c r="F76" s="20"/>
      <c r="J76" s="20"/>
      <c r="K76" s="20"/>
      <c r="L76" s="20"/>
      <c r="M76" s="20"/>
      <c r="N76" s="20"/>
      <c r="R76" s="20"/>
      <c r="S76" s="20"/>
      <c r="T76" s="20"/>
      <c r="V76" s="20"/>
      <c r="W76" s="20"/>
      <c r="X76" s="20"/>
    </row>
    <row r="77" ht="14.25" customHeight="1">
      <c r="A77" s="16"/>
      <c r="B77" s="16"/>
      <c r="C77" s="16"/>
      <c r="D77" s="16"/>
      <c r="E77" s="16"/>
      <c r="F77" s="38"/>
      <c r="G77" s="16"/>
      <c r="H77" s="16"/>
      <c r="I77" s="16"/>
      <c r="J77" s="20"/>
      <c r="K77" s="20"/>
      <c r="L77" s="20"/>
      <c r="M77" s="20"/>
      <c r="N77" s="20"/>
      <c r="R77" s="20"/>
      <c r="S77" s="20"/>
      <c r="T77" s="20"/>
      <c r="V77" s="20"/>
      <c r="W77" s="20"/>
      <c r="X77" s="20"/>
    </row>
    <row r="78" ht="14.25" customHeight="1"/>
    <row r="79" ht="14.25" customHeight="1">
      <c r="N79" s="20"/>
    </row>
    <row r="80" ht="14.25" customHeight="1">
      <c r="N80" s="20"/>
    </row>
    <row r="81" ht="14.25" customHeight="1">
      <c r="N81" s="20"/>
    </row>
    <row r="82" ht="14.25" customHeight="1">
      <c r="N82" s="20"/>
    </row>
    <row r="83" ht="14.25" customHeight="1">
      <c r="N83" s="20"/>
    </row>
    <row r="84" ht="14.25" customHeight="1">
      <c r="N84" s="20"/>
    </row>
    <row r="85" ht="14.25" customHeight="1">
      <c r="N85" s="20"/>
    </row>
    <row r="86" ht="14.25" customHeight="1">
      <c r="N86" s="20"/>
    </row>
    <row r="87" ht="14.25" customHeight="1">
      <c r="N87" s="20"/>
    </row>
    <row r="88" ht="14.25" customHeight="1">
      <c r="N88" s="20"/>
    </row>
    <row r="89" ht="14.25" customHeight="1">
      <c r="N89" s="20"/>
    </row>
    <row r="90" ht="14.25" customHeight="1">
      <c r="N90" s="20"/>
    </row>
    <row r="91" ht="14.25" customHeight="1">
      <c r="N91" s="20"/>
    </row>
    <row r="92" ht="14.25" customHeight="1">
      <c r="N92" s="20"/>
    </row>
    <row r="93" ht="14.25" customHeight="1">
      <c r="N93" s="20"/>
    </row>
    <row r="94" ht="14.25" customHeight="1">
      <c r="N94" s="20"/>
    </row>
    <row r="95" ht="14.25" customHeight="1">
      <c r="N95" s="20"/>
    </row>
    <row r="96" ht="14.25" customHeight="1">
      <c r="N96" s="20"/>
    </row>
    <row r="97" ht="14.25" customHeight="1">
      <c r="N97" s="20"/>
    </row>
    <row r="98" ht="14.25" customHeight="1">
      <c r="N98" s="20"/>
    </row>
    <row r="99" ht="14.25" customHeight="1">
      <c r="N99" s="20"/>
    </row>
    <row r="100" ht="14.25" customHeight="1">
      <c r="N100" s="20"/>
    </row>
    <row r="101" ht="14.25" customHeight="1">
      <c r="N101" s="20"/>
    </row>
    <row r="102" ht="14.25" customHeight="1">
      <c r="N102" s="20"/>
    </row>
    <row r="103" ht="14.25" customHeight="1">
      <c r="N103" s="20"/>
    </row>
    <row r="104" ht="14.25" customHeight="1">
      <c r="N104" s="20"/>
    </row>
    <row r="105" ht="14.25" customHeight="1">
      <c r="N105" s="20"/>
    </row>
    <row r="106" ht="14.25" customHeight="1">
      <c r="N106" s="20"/>
    </row>
    <row r="107" ht="14.25" customHeight="1">
      <c r="N107" s="20"/>
    </row>
    <row r="108" ht="14.25" customHeight="1">
      <c r="N108" s="20"/>
    </row>
    <row r="109" ht="14.25" customHeight="1">
      <c r="N109" s="20"/>
    </row>
    <row r="110" ht="14.25" customHeight="1">
      <c r="N110" s="20"/>
    </row>
    <row r="111" ht="14.25" customHeight="1">
      <c r="N111" s="20"/>
    </row>
    <row r="112" ht="14.25" customHeight="1">
      <c r="N112" s="20"/>
    </row>
    <row r="113" ht="14.25" customHeight="1">
      <c r="N113" s="20"/>
    </row>
    <row r="114" ht="14.25" customHeight="1">
      <c r="N114" s="20"/>
    </row>
    <row r="115" ht="14.25" customHeight="1">
      <c r="N115" s="20"/>
    </row>
    <row r="116" ht="14.25" customHeight="1">
      <c r="N116" s="20"/>
    </row>
    <row r="117" ht="14.25" customHeight="1">
      <c r="N117" s="20"/>
    </row>
    <row r="118" ht="14.25" customHeight="1">
      <c r="N118" s="20"/>
    </row>
    <row r="119" ht="14.25" customHeight="1">
      <c r="N119" s="20"/>
    </row>
    <row r="120" ht="14.25" customHeight="1">
      <c r="N120" s="20"/>
    </row>
    <row r="121" ht="14.25" customHeight="1">
      <c r="N121" s="20"/>
    </row>
    <row r="122" ht="14.25" customHeight="1">
      <c r="N122" s="20"/>
    </row>
    <row r="123" ht="14.25" customHeight="1">
      <c r="N123" s="20"/>
    </row>
    <row r="124" ht="14.25" customHeight="1">
      <c r="N124" s="20"/>
    </row>
    <row r="125" ht="14.25" customHeight="1">
      <c r="N125" s="20"/>
    </row>
    <row r="126" ht="14.25" customHeight="1">
      <c r="N126" s="20"/>
    </row>
    <row r="127" ht="14.25" customHeight="1">
      <c r="N127" s="20"/>
    </row>
    <row r="128" ht="14.25" customHeight="1">
      <c r="N128" s="20"/>
    </row>
    <row r="129" ht="14.25" customHeight="1">
      <c r="N129" s="20"/>
    </row>
    <row r="130" ht="14.25" customHeight="1">
      <c r="N130" s="20"/>
    </row>
    <row r="131" ht="14.25" customHeight="1">
      <c r="N131" s="20"/>
    </row>
    <row r="132" ht="14.25" customHeight="1">
      <c r="N132" s="20"/>
    </row>
    <row r="133" ht="14.25" customHeight="1">
      <c r="N133" s="20"/>
    </row>
    <row r="134" ht="14.25" customHeight="1">
      <c r="N134" s="20"/>
    </row>
    <row r="135" ht="14.25" customHeight="1">
      <c r="N135" s="20"/>
    </row>
    <row r="136" ht="14.25" customHeight="1">
      <c r="N136" s="20"/>
    </row>
    <row r="137" ht="14.25" customHeight="1">
      <c r="N137" s="20"/>
    </row>
    <row r="138" ht="14.25" customHeight="1">
      <c r="N138" s="20"/>
    </row>
    <row r="139" ht="14.25" customHeight="1">
      <c r="N139" s="20"/>
    </row>
    <row r="140" ht="14.25" customHeight="1">
      <c r="N140" s="20"/>
    </row>
    <row r="141" ht="14.25" customHeight="1">
      <c r="N141" s="20"/>
    </row>
    <row r="142" ht="14.25" customHeight="1">
      <c r="N142" s="20"/>
    </row>
    <row r="143" ht="14.25" customHeight="1">
      <c r="N143" s="20"/>
    </row>
    <row r="144" ht="14.25" customHeight="1">
      <c r="N144" s="20"/>
    </row>
    <row r="145" ht="14.25" customHeight="1">
      <c r="N145" s="20"/>
    </row>
    <row r="146" ht="14.25" customHeight="1">
      <c r="N146" s="20"/>
    </row>
    <row r="147" ht="14.25" customHeight="1">
      <c r="N147" s="20"/>
    </row>
    <row r="148" ht="14.25" customHeight="1">
      <c r="N148" s="20"/>
    </row>
    <row r="149" ht="14.25" customHeight="1">
      <c r="N149" s="20"/>
    </row>
    <row r="150" ht="14.25" customHeight="1">
      <c r="N150" s="20"/>
    </row>
    <row r="151" ht="14.25" customHeight="1">
      <c r="N151" s="20"/>
    </row>
    <row r="152" ht="14.25" customHeight="1">
      <c r="N152" s="20"/>
    </row>
    <row r="153" ht="14.25" customHeight="1">
      <c r="N153" s="20"/>
    </row>
    <row r="154" ht="14.25" customHeight="1">
      <c r="N154" s="20"/>
    </row>
    <row r="155" ht="14.25" customHeight="1">
      <c r="N155" s="20"/>
    </row>
    <row r="156" ht="14.25" customHeight="1">
      <c r="N156" s="20"/>
    </row>
    <row r="157" ht="14.25" customHeight="1">
      <c r="N157" s="20"/>
    </row>
    <row r="158" ht="14.25" customHeight="1">
      <c r="N158" s="20"/>
    </row>
    <row r="159" ht="14.25" customHeight="1">
      <c r="N159" s="20"/>
    </row>
    <row r="160" ht="14.25" customHeight="1">
      <c r="N160" s="20"/>
    </row>
    <row r="161" ht="14.25" customHeight="1">
      <c r="N161" s="20"/>
    </row>
    <row r="162" ht="14.25" customHeight="1">
      <c r="N162" s="20"/>
    </row>
    <row r="163" ht="14.25" customHeight="1">
      <c r="N163" s="20"/>
    </row>
    <row r="164" ht="14.25" customHeight="1">
      <c r="N164" s="20"/>
    </row>
    <row r="165" ht="14.25" customHeight="1">
      <c r="N165" s="20"/>
    </row>
    <row r="166" ht="14.25" customHeight="1">
      <c r="N166" s="20"/>
    </row>
    <row r="167" ht="14.25" customHeight="1">
      <c r="N167" s="20"/>
    </row>
    <row r="168" ht="14.25" customHeight="1">
      <c r="N168" s="20"/>
    </row>
    <row r="169" ht="14.25" customHeight="1">
      <c r="N169" s="20"/>
    </row>
    <row r="170" ht="14.25" customHeight="1">
      <c r="N170" s="20"/>
    </row>
    <row r="171" ht="14.25" customHeight="1">
      <c r="N171" s="20"/>
    </row>
    <row r="172" ht="14.25" customHeight="1">
      <c r="N172" s="20"/>
    </row>
    <row r="173" ht="14.25" customHeight="1">
      <c r="N173" s="20"/>
    </row>
    <row r="174" ht="14.25" customHeight="1">
      <c r="N174" s="20"/>
    </row>
    <row r="175" ht="14.25" customHeight="1">
      <c r="N175" s="20"/>
    </row>
    <row r="176" ht="14.25" customHeight="1">
      <c r="N176" s="20"/>
    </row>
    <row r="177" ht="14.25" customHeight="1">
      <c r="N177" s="20"/>
    </row>
    <row r="178" ht="14.25" customHeight="1">
      <c r="N178" s="20"/>
    </row>
    <row r="179" ht="14.25" customHeight="1">
      <c r="N179" s="20"/>
    </row>
    <row r="180" ht="14.25" customHeight="1">
      <c r="N180" s="20"/>
    </row>
    <row r="181" ht="14.25" customHeight="1">
      <c r="N181" s="20"/>
    </row>
    <row r="182" ht="14.25" customHeight="1">
      <c r="N182" s="20"/>
    </row>
    <row r="183" ht="14.25" customHeight="1">
      <c r="N183" s="20"/>
    </row>
    <row r="184" ht="14.25" customHeight="1">
      <c r="N184" s="20"/>
    </row>
    <row r="185" ht="14.25" customHeight="1">
      <c r="N185" s="20"/>
    </row>
    <row r="186" ht="14.25" customHeight="1">
      <c r="N186" s="20"/>
    </row>
    <row r="187" ht="14.25" customHeight="1">
      <c r="N187" s="20"/>
    </row>
    <row r="188" ht="14.25" customHeight="1">
      <c r="N188" s="20"/>
    </row>
    <row r="189" ht="14.25" customHeight="1">
      <c r="N189" s="20"/>
    </row>
    <row r="190" ht="14.25" customHeight="1">
      <c r="N190" s="20"/>
    </row>
    <row r="191" ht="14.25" customHeight="1">
      <c r="N191" s="20"/>
    </row>
    <row r="192" ht="14.25" customHeight="1">
      <c r="N192" s="20"/>
    </row>
    <row r="193" ht="14.25" customHeight="1">
      <c r="N193" s="20"/>
    </row>
    <row r="194" ht="14.25" customHeight="1">
      <c r="N194" s="20"/>
    </row>
    <row r="195" ht="14.25" customHeight="1">
      <c r="N195" s="20"/>
    </row>
    <row r="196" ht="14.25" customHeight="1">
      <c r="N196" s="20"/>
    </row>
    <row r="197" ht="14.25" customHeight="1">
      <c r="N197" s="20"/>
    </row>
    <row r="198" ht="14.25" customHeight="1">
      <c r="N198" s="20"/>
    </row>
    <row r="199" ht="14.25" customHeight="1">
      <c r="N199" s="20"/>
    </row>
    <row r="200" ht="14.25" customHeight="1">
      <c r="N200" s="20"/>
    </row>
    <row r="201" ht="14.25" customHeight="1">
      <c r="N201" s="20"/>
    </row>
    <row r="202" ht="14.25" customHeight="1">
      <c r="N202" s="20"/>
    </row>
    <row r="203" ht="14.25" customHeight="1">
      <c r="N203" s="20"/>
    </row>
    <row r="204" ht="14.25" customHeight="1">
      <c r="N204" s="20"/>
    </row>
    <row r="205" ht="14.25" customHeight="1">
      <c r="N205" s="20"/>
    </row>
    <row r="206" ht="14.25" customHeight="1">
      <c r="N206" s="20"/>
    </row>
    <row r="207" ht="14.25" customHeight="1">
      <c r="N207" s="20"/>
    </row>
    <row r="208" ht="14.25" customHeight="1">
      <c r="N208" s="20"/>
    </row>
    <row r="209" ht="14.25" customHeight="1">
      <c r="N209" s="20"/>
    </row>
    <row r="210" ht="14.25" customHeight="1">
      <c r="N210" s="20"/>
    </row>
    <row r="211" ht="14.25" customHeight="1">
      <c r="N211" s="20"/>
    </row>
    <row r="212" ht="14.25" customHeight="1">
      <c r="N212" s="20"/>
    </row>
    <row r="213" ht="14.25" customHeight="1">
      <c r="N213" s="20"/>
    </row>
    <row r="214" ht="14.25" customHeight="1">
      <c r="N214" s="20"/>
    </row>
    <row r="215" ht="14.25" customHeight="1">
      <c r="N215" s="20"/>
    </row>
    <row r="216" ht="14.25" customHeight="1">
      <c r="N216" s="20"/>
    </row>
    <row r="217" ht="14.25" customHeight="1">
      <c r="N217" s="20"/>
    </row>
    <row r="218" ht="14.25" customHeight="1">
      <c r="N218" s="20"/>
    </row>
    <row r="219" ht="14.25" customHeight="1">
      <c r="N219" s="20"/>
    </row>
    <row r="220" ht="14.25" customHeight="1">
      <c r="N220" s="20"/>
    </row>
    <row r="221" ht="14.25" customHeight="1">
      <c r="N221" s="20"/>
    </row>
    <row r="222" ht="14.25" customHeight="1">
      <c r="N222" s="20"/>
    </row>
    <row r="223" ht="14.25" customHeight="1">
      <c r="N223" s="20"/>
    </row>
    <row r="224" ht="14.25" customHeight="1">
      <c r="N224" s="20"/>
    </row>
    <row r="225" ht="14.25" customHeight="1">
      <c r="N225" s="20"/>
    </row>
    <row r="226" ht="14.25" customHeight="1">
      <c r="N226" s="20"/>
    </row>
    <row r="227" ht="14.25" customHeight="1">
      <c r="N227" s="20"/>
    </row>
    <row r="228" ht="14.25" customHeight="1">
      <c r="N228" s="20"/>
    </row>
    <row r="229" ht="14.25" customHeight="1">
      <c r="N229" s="20"/>
    </row>
    <row r="230" ht="14.25" customHeight="1">
      <c r="N230" s="20"/>
    </row>
    <row r="231" ht="14.25" customHeight="1">
      <c r="N231" s="20"/>
    </row>
    <row r="232" ht="14.25" customHeight="1">
      <c r="N232" s="20"/>
    </row>
    <row r="233" ht="14.25" customHeight="1">
      <c r="N233" s="20"/>
    </row>
    <row r="234" ht="14.25" customHeight="1">
      <c r="N234" s="20"/>
    </row>
    <row r="235" ht="14.25" customHeight="1">
      <c r="N235" s="20"/>
    </row>
    <row r="236" ht="14.25" customHeight="1">
      <c r="N236" s="20"/>
    </row>
    <row r="237" ht="14.25" customHeight="1">
      <c r="N237" s="20"/>
    </row>
    <row r="238" ht="14.25" customHeight="1">
      <c r="N238" s="20"/>
    </row>
    <row r="239" ht="14.25" customHeight="1">
      <c r="N239" s="20"/>
    </row>
    <row r="240" ht="14.25" customHeight="1">
      <c r="N240" s="20"/>
    </row>
    <row r="241" ht="14.25" customHeight="1">
      <c r="N241" s="20"/>
    </row>
    <row r="242" ht="14.25" customHeight="1">
      <c r="N242" s="20"/>
    </row>
    <row r="243" ht="14.25" customHeight="1">
      <c r="N243" s="20"/>
    </row>
    <row r="244" ht="14.25" customHeight="1">
      <c r="N244" s="20"/>
    </row>
    <row r="245" ht="14.25" customHeight="1">
      <c r="N245" s="20"/>
    </row>
    <row r="246" ht="14.25" customHeight="1">
      <c r="N246" s="20"/>
    </row>
    <row r="247" ht="14.25" customHeight="1">
      <c r="N247" s="20"/>
    </row>
    <row r="248" ht="14.25" customHeight="1">
      <c r="N248" s="20"/>
    </row>
    <row r="249" ht="14.25" customHeight="1">
      <c r="N249" s="20"/>
    </row>
    <row r="250" ht="14.25" customHeight="1">
      <c r="N250" s="20"/>
    </row>
    <row r="251" ht="14.25" customHeight="1">
      <c r="N251" s="20"/>
    </row>
    <row r="252" ht="14.25" customHeight="1">
      <c r="N252" s="20"/>
    </row>
    <row r="253" ht="14.25" customHeight="1">
      <c r="N253" s="20"/>
    </row>
    <row r="254" ht="14.25" customHeight="1">
      <c r="N254" s="20"/>
    </row>
    <row r="255" ht="14.25" customHeight="1">
      <c r="N255" s="20"/>
    </row>
    <row r="256" ht="14.25" customHeight="1">
      <c r="N256" s="20"/>
    </row>
    <row r="257" ht="14.25" customHeight="1">
      <c r="N257" s="20"/>
    </row>
    <row r="258" ht="14.25" customHeight="1">
      <c r="N258" s="20"/>
    </row>
    <row r="259" ht="14.25" customHeight="1">
      <c r="N259" s="20"/>
    </row>
    <row r="260" ht="14.25" customHeight="1">
      <c r="N260" s="20"/>
    </row>
    <row r="261" ht="14.25" customHeight="1">
      <c r="N261" s="20"/>
    </row>
    <row r="262" ht="14.25" customHeight="1">
      <c r="N262" s="20"/>
    </row>
    <row r="263" ht="14.25" customHeight="1">
      <c r="N263" s="20"/>
    </row>
    <row r="264" ht="14.25" customHeight="1">
      <c r="N264" s="20"/>
    </row>
    <row r="265" ht="14.25" customHeight="1">
      <c r="N265" s="20"/>
    </row>
    <row r="266" ht="14.25" customHeight="1">
      <c r="N266" s="20"/>
    </row>
    <row r="267" ht="14.25" customHeight="1">
      <c r="N267" s="20"/>
    </row>
    <row r="268" ht="14.25" customHeight="1">
      <c r="N268" s="20"/>
    </row>
    <row r="269" ht="14.25" customHeight="1">
      <c r="N269" s="20"/>
    </row>
    <row r="270" ht="14.25" customHeight="1">
      <c r="N270" s="20"/>
    </row>
    <row r="271" ht="14.25" customHeight="1">
      <c r="N271" s="20"/>
    </row>
    <row r="272" ht="14.25" customHeight="1">
      <c r="N272" s="20"/>
    </row>
    <row r="273" ht="14.25" customHeight="1">
      <c r="N273" s="20"/>
    </row>
    <row r="274" ht="14.25" customHeight="1">
      <c r="N274" s="20"/>
    </row>
    <row r="275" ht="14.25" customHeight="1">
      <c r="N275" s="20"/>
    </row>
    <row r="276" ht="14.25" customHeight="1">
      <c r="N276" s="20"/>
    </row>
    <row r="277" ht="14.25" customHeight="1">
      <c r="N277" s="20"/>
    </row>
    <row r="278" ht="14.25" customHeight="1">
      <c r="N278" s="20"/>
    </row>
    <row r="279" ht="14.25" customHeight="1">
      <c r="N279" s="20"/>
    </row>
    <row r="280" ht="14.25" customHeight="1">
      <c r="N280" s="20"/>
    </row>
    <row r="281" ht="14.25" customHeight="1">
      <c r="N281" s="20"/>
    </row>
    <row r="282" ht="14.25" customHeight="1">
      <c r="N282" s="20"/>
    </row>
    <row r="283" ht="14.25" customHeight="1">
      <c r="N283" s="20"/>
    </row>
    <row r="284" ht="14.25" customHeight="1">
      <c r="N284" s="20"/>
    </row>
    <row r="285" ht="14.25" customHeight="1">
      <c r="N285" s="20"/>
    </row>
    <row r="286" ht="14.25" customHeight="1">
      <c r="N286" s="20"/>
    </row>
    <row r="287" ht="14.25" customHeight="1">
      <c r="N287" s="20"/>
    </row>
    <row r="288" ht="14.25" customHeight="1">
      <c r="N288" s="20"/>
    </row>
    <row r="289" ht="14.25" customHeight="1">
      <c r="N289" s="20"/>
    </row>
    <row r="290" ht="14.25" customHeight="1">
      <c r="N290" s="20"/>
    </row>
    <row r="291" ht="14.25" customHeight="1">
      <c r="N291" s="20"/>
    </row>
    <row r="292" ht="14.25" customHeight="1">
      <c r="N292" s="20"/>
    </row>
    <row r="293" ht="14.25" customHeight="1">
      <c r="N293" s="20"/>
    </row>
    <row r="294" ht="14.25" customHeight="1">
      <c r="N294" s="20"/>
    </row>
    <row r="295" ht="14.25" customHeight="1">
      <c r="N295" s="20"/>
    </row>
    <row r="296" ht="14.25" customHeight="1">
      <c r="N296" s="20"/>
    </row>
    <row r="297" ht="14.25" customHeight="1">
      <c r="N297" s="20"/>
    </row>
    <row r="298" ht="14.25" customHeight="1">
      <c r="N298" s="20"/>
    </row>
    <row r="299" ht="14.25" customHeight="1">
      <c r="N299" s="20"/>
    </row>
    <row r="300" ht="14.25" customHeight="1">
      <c r="N300" s="20"/>
    </row>
    <row r="301" ht="14.25" customHeight="1">
      <c r="N301" s="20"/>
    </row>
    <row r="302" ht="14.25" customHeight="1">
      <c r="N302" s="20"/>
    </row>
    <row r="303" ht="14.25" customHeight="1">
      <c r="N303" s="20"/>
    </row>
    <row r="304" ht="14.25" customHeight="1">
      <c r="N304" s="20"/>
    </row>
    <row r="305" ht="14.25" customHeight="1">
      <c r="N305" s="20"/>
    </row>
    <row r="306" ht="14.25" customHeight="1">
      <c r="N306" s="20"/>
    </row>
    <row r="307" ht="14.25" customHeight="1">
      <c r="N307" s="20"/>
    </row>
    <row r="308" ht="14.25" customHeight="1">
      <c r="N308" s="20"/>
    </row>
    <row r="309" ht="14.25" customHeight="1">
      <c r="N309" s="20"/>
    </row>
    <row r="310" ht="14.25" customHeight="1">
      <c r="N310" s="20"/>
    </row>
    <row r="311" ht="14.25" customHeight="1">
      <c r="N311" s="20"/>
    </row>
    <row r="312" ht="14.25" customHeight="1">
      <c r="N312" s="20"/>
    </row>
    <row r="313" ht="14.25" customHeight="1">
      <c r="N313" s="20"/>
    </row>
    <row r="314" ht="14.25" customHeight="1">
      <c r="N314" s="20"/>
    </row>
    <row r="315" ht="14.25" customHeight="1">
      <c r="N315" s="20"/>
    </row>
    <row r="316" ht="14.25" customHeight="1">
      <c r="N316" s="20"/>
    </row>
    <row r="317" ht="14.25" customHeight="1">
      <c r="N317" s="20"/>
    </row>
    <row r="318" ht="14.25" customHeight="1">
      <c r="N318" s="20"/>
    </row>
    <row r="319" ht="14.25" customHeight="1">
      <c r="N319" s="20"/>
    </row>
    <row r="320" ht="14.25" customHeight="1">
      <c r="N320" s="20"/>
    </row>
    <row r="321" ht="14.25" customHeight="1">
      <c r="N321" s="20"/>
    </row>
    <row r="322" ht="14.25" customHeight="1">
      <c r="N322" s="20"/>
    </row>
    <row r="323" ht="14.25" customHeight="1">
      <c r="N323" s="20"/>
    </row>
    <row r="324" ht="14.25" customHeight="1">
      <c r="N324" s="20"/>
    </row>
    <row r="325" ht="14.25" customHeight="1">
      <c r="N325" s="20"/>
    </row>
    <row r="326" ht="14.25" customHeight="1">
      <c r="N326" s="20"/>
    </row>
    <row r="327" ht="14.25" customHeight="1">
      <c r="N327" s="20"/>
    </row>
    <row r="328" ht="14.25" customHeight="1">
      <c r="N328" s="20"/>
    </row>
    <row r="329" ht="14.25" customHeight="1">
      <c r="N329" s="20"/>
    </row>
    <row r="330" ht="14.25" customHeight="1">
      <c r="N330" s="20"/>
    </row>
    <row r="331" ht="14.25" customHeight="1">
      <c r="N331" s="20"/>
    </row>
    <row r="332" ht="14.25" customHeight="1">
      <c r="N332" s="20"/>
    </row>
    <row r="333" ht="14.25" customHeight="1">
      <c r="N333" s="20"/>
    </row>
    <row r="334" ht="14.25" customHeight="1">
      <c r="N334" s="20"/>
    </row>
    <row r="335" ht="14.25" customHeight="1">
      <c r="N335" s="20"/>
    </row>
    <row r="336" ht="14.25" customHeight="1">
      <c r="N336" s="20"/>
    </row>
    <row r="337" ht="14.25" customHeight="1">
      <c r="N337" s="20"/>
    </row>
    <row r="338" ht="14.25" customHeight="1">
      <c r="N338" s="20"/>
    </row>
    <row r="339" ht="14.25" customHeight="1">
      <c r="N339" s="20"/>
    </row>
    <row r="340" ht="14.25" customHeight="1">
      <c r="N340" s="20"/>
    </row>
    <row r="341" ht="14.25" customHeight="1">
      <c r="N341" s="20"/>
    </row>
    <row r="342" ht="14.25" customHeight="1">
      <c r="N342" s="20"/>
    </row>
    <row r="343" ht="14.25" customHeight="1">
      <c r="N343" s="20"/>
    </row>
    <row r="344" ht="14.25" customHeight="1">
      <c r="N344" s="20"/>
    </row>
    <row r="345" ht="14.25" customHeight="1">
      <c r="N345" s="20"/>
    </row>
    <row r="346" ht="14.25" customHeight="1">
      <c r="N346" s="20"/>
    </row>
    <row r="347" ht="14.25" customHeight="1">
      <c r="N347" s="20"/>
    </row>
    <row r="348" ht="14.25" customHeight="1">
      <c r="N348" s="20"/>
    </row>
    <row r="349" ht="14.25" customHeight="1">
      <c r="N349" s="20"/>
    </row>
    <row r="350" ht="14.25" customHeight="1">
      <c r="N350" s="20"/>
    </row>
    <row r="351" ht="14.25" customHeight="1">
      <c r="N351" s="20"/>
    </row>
    <row r="352" ht="14.25" customHeight="1">
      <c r="N352" s="20"/>
    </row>
    <row r="353" ht="14.25" customHeight="1">
      <c r="N353" s="20"/>
    </row>
    <row r="354" ht="14.25" customHeight="1">
      <c r="N354" s="20"/>
    </row>
    <row r="355" ht="14.25" customHeight="1">
      <c r="N355" s="20"/>
    </row>
    <row r="356" ht="14.25" customHeight="1">
      <c r="N356" s="20"/>
    </row>
    <row r="357" ht="14.25" customHeight="1">
      <c r="N357" s="20"/>
    </row>
    <row r="358" ht="14.25" customHeight="1">
      <c r="N358" s="20"/>
    </row>
    <row r="359" ht="14.25" customHeight="1">
      <c r="N359" s="20"/>
    </row>
    <row r="360" ht="14.25" customHeight="1">
      <c r="N360" s="20"/>
    </row>
    <row r="361" ht="14.25" customHeight="1">
      <c r="N361" s="20"/>
    </row>
    <row r="362" ht="14.25" customHeight="1">
      <c r="N362" s="20"/>
    </row>
    <row r="363" ht="14.25" customHeight="1">
      <c r="N363" s="20"/>
    </row>
    <row r="364" ht="14.25" customHeight="1">
      <c r="N364" s="20"/>
    </row>
    <row r="365" ht="14.25" customHeight="1">
      <c r="N365" s="20"/>
    </row>
    <row r="366" ht="14.25" customHeight="1">
      <c r="N366" s="20"/>
    </row>
    <row r="367" ht="14.25" customHeight="1">
      <c r="N367" s="20"/>
    </row>
    <row r="368" ht="14.25" customHeight="1">
      <c r="N368" s="20"/>
    </row>
    <row r="369" ht="14.25" customHeight="1">
      <c r="N369" s="20"/>
    </row>
    <row r="370" ht="14.25" customHeight="1">
      <c r="N370" s="20"/>
    </row>
    <row r="371" ht="14.25" customHeight="1">
      <c r="N371" s="20"/>
    </row>
    <row r="372" ht="14.25" customHeight="1">
      <c r="N372" s="20"/>
    </row>
    <row r="373" ht="14.25" customHeight="1">
      <c r="N373" s="20"/>
    </row>
    <row r="374" ht="14.25" customHeight="1">
      <c r="N374" s="20"/>
    </row>
    <row r="375" ht="14.25" customHeight="1">
      <c r="N375" s="20"/>
    </row>
    <row r="376" ht="14.25" customHeight="1">
      <c r="N376" s="20"/>
    </row>
    <row r="377" ht="14.25" customHeight="1">
      <c r="N377" s="20"/>
    </row>
    <row r="378" ht="14.25" customHeight="1">
      <c r="N378" s="20"/>
    </row>
    <row r="379" ht="14.25" customHeight="1">
      <c r="N379" s="20"/>
    </row>
    <row r="380" ht="14.25" customHeight="1">
      <c r="N380" s="20"/>
    </row>
    <row r="381" ht="14.25" customHeight="1">
      <c r="N381" s="20"/>
    </row>
    <row r="382" ht="14.25" customHeight="1">
      <c r="N382" s="20"/>
    </row>
    <row r="383" ht="14.25" customHeight="1">
      <c r="N383" s="20"/>
    </row>
    <row r="384" ht="14.25" customHeight="1">
      <c r="N384" s="20"/>
    </row>
    <row r="385" ht="14.25" customHeight="1">
      <c r="N385" s="20"/>
    </row>
    <row r="386" ht="14.25" customHeight="1">
      <c r="N386" s="20"/>
    </row>
    <row r="387" ht="14.25" customHeight="1">
      <c r="N387" s="20"/>
    </row>
    <row r="388" ht="14.25" customHeight="1">
      <c r="N388" s="20"/>
    </row>
    <row r="389" ht="14.25" customHeight="1">
      <c r="N389" s="20"/>
    </row>
    <row r="390" ht="14.25" customHeight="1">
      <c r="N390" s="20"/>
    </row>
    <row r="391" ht="14.25" customHeight="1">
      <c r="N391" s="20"/>
    </row>
    <row r="392" ht="14.25" customHeight="1">
      <c r="N392" s="20"/>
    </row>
    <row r="393" ht="14.25" customHeight="1">
      <c r="N393" s="20"/>
    </row>
    <row r="394" ht="14.25" customHeight="1">
      <c r="N394" s="20"/>
    </row>
    <row r="395" ht="14.25" customHeight="1">
      <c r="N395" s="20"/>
    </row>
    <row r="396" ht="14.25" customHeight="1">
      <c r="N396" s="20"/>
    </row>
    <row r="397" ht="14.25" customHeight="1">
      <c r="N397" s="20"/>
    </row>
    <row r="398" ht="14.25" customHeight="1">
      <c r="N398" s="20"/>
    </row>
    <row r="399" ht="14.25" customHeight="1">
      <c r="N399" s="20"/>
    </row>
    <row r="400" ht="14.25" customHeight="1">
      <c r="N400" s="20"/>
    </row>
    <row r="401" ht="14.25" customHeight="1">
      <c r="N401" s="20"/>
    </row>
    <row r="402" ht="14.25" customHeight="1">
      <c r="N402" s="20"/>
    </row>
    <row r="403" ht="14.25" customHeight="1">
      <c r="N403" s="20"/>
    </row>
    <row r="404" ht="14.25" customHeight="1">
      <c r="N404" s="20"/>
    </row>
    <row r="405" ht="14.25" customHeight="1">
      <c r="N405" s="20"/>
    </row>
    <row r="406" ht="14.25" customHeight="1">
      <c r="N406" s="20"/>
    </row>
    <row r="407" ht="14.25" customHeight="1">
      <c r="N407" s="20"/>
    </row>
    <row r="408" ht="14.25" customHeight="1">
      <c r="N408" s="20"/>
    </row>
    <row r="409" ht="14.25" customHeight="1">
      <c r="N409" s="20"/>
    </row>
    <row r="410" ht="14.25" customHeight="1">
      <c r="N410" s="20"/>
    </row>
    <row r="411" ht="14.25" customHeight="1">
      <c r="N411" s="20"/>
    </row>
    <row r="412" ht="14.25" customHeight="1">
      <c r="N412" s="20"/>
    </row>
    <row r="413" ht="14.25" customHeight="1">
      <c r="N413" s="20"/>
    </row>
    <row r="414" ht="14.25" customHeight="1">
      <c r="N414" s="20"/>
    </row>
    <row r="415" ht="14.25" customHeight="1">
      <c r="N415" s="20"/>
    </row>
    <row r="416" ht="14.25" customHeight="1">
      <c r="N416" s="20"/>
    </row>
    <row r="417" ht="14.25" customHeight="1">
      <c r="N417" s="20"/>
    </row>
    <row r="418" ht="14.25" customHeight="1">
      <c r="N418" s="20"/>
    </row>
    <row r="419" ht="14.25" customHeight="1">
      <c r="N419" s="20"/>
    </row>
    <row r="420" ht="14.25" customHeight="1">
      <c r="N420" s="20"/>
    </row>
    <row r="421" ht="14.25" customHeight="1">
      <c r="N421" s="20"/>
    </row>
    <row r="422" ht="14.25" customHeight="1">
      <c r="N422" s="20"/>
    </row>
    <row r="423" ht="14.25" customHeight="1">
      <c r="N423" s="20"/>
    </row>
    <row r="424" ht="14.25" customHeight="1">
      <c r="N424" s="20"/>
    </row>
    <row r="425" ht="14.25" customHeight="1">
      <c r="N425" s="20"/>
    </row>
    <row r="426" ht="14.25" customHeight="1">
      <c r="N426" s="20"/>
    </row>
    <row r="427" ht="14.25" customHeight="1">
      <c r="N427" s="20"/>
    </row>
    <row r="428" ht="14.25" customHeight="1">
      <c r="N428" s="20"/>
    </row>
    <row r="429" ht="14.25" customHeight="1">
      <c r="N429" s="20"/>
    </row>
    <row r="430" ht="14.25" customHeight="1">
      <c r="N430" s="20"/>
    </row>
    <row r="431" ht="14.25" customHeight="1">
      <c r="N431" s="20"/>
    </row>
    <row r="432" ht="14.25" customHeight="1">
      <c r="N432" s="20"/>
    </row>
    <row r="433" ht="14.25" customHeight="1">
      <c r="N433" s="20"/>
    </row>
    <row r="434" ht="14.25" customHeight="1">
      <c r="N434" s="20"/>
    </row>
    <row r="435" ht="14.25" customHeight="1">
      <c r="N435" s="20"/>
    </row>
    <row r="436" ht="14.25" customHeight="1">
      <c r="N436" s="20"/>
    </row>
    <row r="437" ht="14.25" customHeight="1">
      <c r="N437" s="20"/>
    </row>
    <row r="438" ht="14.25" customHeight="1">
      <c r="N438" s="20"/>
    </row>
    <row r="439" ht="14.25" customHeight="1">
      <c r="N439" s="20"/>
    </row>
    <row r="440" ht="14.25" customHeight="1">
      <c r="N440" s="20"/>
    </row>
    <row r="441" ht="14.25" customHeight="1">
      <c r="N441" s="20"/>
    </row>
    <row r="442" ht="14.25" customHeight="1">
      <c r="N442" s="20"/>
    </row>
    <row r="443" ht="14.25" customHeight="1">
      <c r="N443" s="20"/>
    </row>
    <row r="444" ht="14.25" customHeight="1">
      <c r="N444" s="20"/>
    </row>
    <row r="445" ht="14.25" customHeight="1">
      <c r="N445" s="20"/>
    </row>
    <row r="446" ht="14.25" customHeight="1">
      <c r="N446" s="20"/>
    </row>
    <row r="447" ht="14.25" customHeight="1">
      <c r="N447" s="20"/>
    </row>
    <row r="448" ht="14.25" customHeight="1">
      <c r="N448" s="20"/>
    </row>
    <row r="449" ht="14.25" customHeight="1">
      <c r="N449" s="20"/>
    </row>
    <row r="450" ht="14.25" customHeight="1">
      <c r="N450" s="20"/>
    </row>
    <row r="451" ht="14.25" customHeight="1">
      <c r="N451" s="20"/>
    </row>
    <row r="452" ht="14.25" customHeight="1">
      <c r="N452" s="20"/>
    </row>
    <row r="453" ht="14.25" customHeight="1">
      <c r="N453" s="20"/>
    </row>
    <row r="454" ht="14.25" customHeight="1">
      <c r="N454" s="20"/>
    </row>
    <row r="455" ht="14.25" customHeight="1">
      <c r="N455" s="20"/>
    </row>
    <row r="456" ht="14.25" customHeight="1">
      <c r="N456" s="20"/>
    </row>
    <row r="457" ht="14.25" customHeight="1">
      <c r="N457" s="20"/>
    </row>
    <row r="458" ht="14.25" customHeight="1">
      <c r="N458" s="20"/>
    </row>
    <row r="459" ht="14.25" customHeight="1">
      <c r="N459" s="20"/>
    </row>
    <row r="460" ht="14.25" customHeight="1">
      <c r="N460" s="20"/>
    </row>
    <row r="461" ht="14.25" customHeight="1">
      <c r="N461" s="20"/>
    </row>
    <row r="462" ht="14.25" customHeight="1">
      <c r="N462" s="20"/>
    </row>
    <row r="463" ht="14.25" customHeight="1">
      <c r="N463" s="20"/>
    </row>
    <row r="464" ht="14.25" customHeight="1">
      <c r="N464" s="20"/>
    </row>
    <row r="465" ht="14.25" customHeight="1">
      <c r="N465" s="20"/>
    </row>
    <row r="466" ht="14.25" customHeight="1">
      <c r="N466" s="20"/>
    </row>
    <row r="467" ht="14.25" customHeight="1">
      <c r="N467" s="20"/>
    </row>
    <row r="468" ht="14.25" customHeight="1">
      <c r="N468" s="20"/>
    </row>
    <row r="469" ht="14.25" customHeight="1">
      <c r="N469" s="20"/>
    </row>
    <row r="470" ht="14.25" customHeight="1">
      <c r="N470" s="20"/>
    </row>
    <row r="471" ht="14.25" customHeight="1">
      <c r="N471" s="20"/>
    </row>
    <row r="472" ht="14.25" customHeight="1">
      <c r="N472" s="20"/>
    </row>
    <row r="473" ht="14.25" customHeight="1">
      <c r="N473" s="20"/>
    </row>
    <row r="474" ht="14.25" customHeight="1">
      <c r="N474" s="20"/>
    </row>
    <row r="475" ht="14.25" customHeight="1">
      <c r="N475" s="20"/>
    </row>
    <row r="476" ht="14.25" customHeight="1">
      <c r="N476" s="20"/>
    </row>
    <row r="477" ht="14.25" customHeight="1">
      <c r="N477" s="20"/>
    </row>
    <row r="478" ht="14.25" customHeight="1">
      <c r="N478" s="20"/>
    </row>
    <row r="479" ht="14.25" customHeight="1">
      <c r="N479" s="20"/>
    </row>
    <row r="480" ht="14.25" customHeight="1">
      <c r="N480" s="20"/>
    </row>
    <row r="481" ht="14.25" customHeight="1">
      <c r="N481" s="20"/>
    </row>
    <row r="482" ht="14.25" customHeight="1">
      <c r="N482" s="20"/>
    </row>
    <row r="483" ht="14.25" customHeight="1">
      <c r="N483" s="20"/>
    </row>
    <row r="484" ht="14.25" customHeight="1">
      <c r="N484" s="20"/>
    </row>
    <row r="485" ht="14.25" customHeight="1">
      <c r="N485" s="20"/>
    </row>
    <row r="486" ht="14.25" customHeight="1">
      <c r="N486" s="20"/>
    </row>
    <row r="487" ht="14.25" customHeight="1">
      <c r="N487" s="20"/>
    </row>
    <row r="488" ht="14.25" customHeight="1">
      <c r="N488" s="20"/>
    </row>
    <row r="489" ht="14.25" customHeight="1">
      <c r="N489" s="20"/>
    </row>
    <row r="490" ht="14.25" customHeight="1">
      <c r="N490" s="20"/>
    </row>
    <row r="491" ht="14.25" customHeight="1">
      <c r="N491" s="20"/>
    </row>
    <row r="492" ht="14.25" customHeight="1">
      <c r="N492" s="20"/>
    </row>
    <row r="493" ht="14.25" customHeight="1">
      <c r="N493" s="20"/>
    </row>
    <row r="494" ht="14.25" customHeight="1">
      <c r="N494" s="20"/>
    </row>
    <row r="495" ht="14.25" customHeight="1">
      <c r="N495" s="20"/>
    </row>
    <row r="496" ht="14.25" customHeight="1">
      <c r="N496" s="20"/>
    </row>
    <row r="497" ht="14.25" customHeight="1">
      <c r="N497" s="20"/>
    </row>
    <row r="498" ht="14.25" customHeight="1">
      <c r="N498" s="20"/>
    </row>
    <row r="499" ht="14.25" customHeight="1">
      <c r="N499" s="20"/>
    </row>
    <row r="500" ht="14.25" customHeight="1">
      <c r="N500" s="20"/>
    </row>
    <row r="501" ht="14.25" customHeight="1">
      <c r="N501" s="20"/>
    </row>
    <row r="502" ht="14.25" customHeight="1">
      <c r="N502" s="20"/>
    </row>
    <row r="503" ht="14.25" customHeight="1">
      <c r="N503" s="20"/>
    </row>
    <row r="504" ht="14.25" customHeight="1">
      <c r="N504" s="20"/>
    </row>
    <row r="505" ht="14.25" customHeight="1">
      <c r="N505" s="20"/>
    </row>
    <row r="506" ht="14.25" customHeight="1">
      <c r="N506" s="20"/>
    </row>
    <row r="507" ht="14.25" customHeight="1">
      <c r="N507" s="20"/>
    </row>
    <row r="508" ht="14.25" customHeight="1">
      <c r="N508" s="20"/>
    </row>
    <row r="509" ht="14.25" customHeight="1">
      <c r="N509" s="20"/>
    </row>
    <row r="510" ht="14.25" customHeight="1">
      <c r="N510" s="20"/>
    </row>
    <row r="511" ht="14.25" customHeight="1">
      <c r="N511" s="20"/>
    </row>
    <row r="512" ht="14.25" customHeight="1">
      <c r="N512" s="20"/>
    </row>
    <row r="513" ht="14.25" customHeight="1">
      <c r="N513" s="20"/>
    </row>
    <row r="514" ht="14.25" customHeight="1">
      <c r="N514" s="20"/>
    </row>
    <row r="515" ht="14.25" customHeight="1">
      <c r="N515" s="20"/>
    </row>
    <row r="516" ht="14.25" customHeight="1">
      <c r="N516" s="20"/>
    </row>
    <row r="517" ht="14.25" customHeight="1">
      <c r="N517" s="20"/>
    </row>
    <row r="518" ht="14.25" customHeight="1">
      <c r="N518" s="20"/>
    </row>
    <row r="519" ht="14.25" customHeight="1">
      <c r="N519" s="20"/>
    </row>
    <row r="520" ht="14.25" customHeight="1">
      <c r="N520" s="20"/>
    </row>
    <row r="521" ht="14.25" customHeight="1">
      <c r="N521" s="20"/>
    </row>
    <row r="522" ht="14.25" customHeight="1">
      <c r="N522" s="20"/>
    </row>
    <row r="523" ht="14.25" customHeight="1">
      <c r="N523" s="20"/>
    </row>
    <row r="524" ht="14.25" customHeight="1">
      <c r="N524" s="20"/>
    </row>
    <row r="525" ht="14.25" customHeight="1">
      <c r="N525" s="20"/>
    </row>
    <row r="526" ht="14.25" customHeight="1">
      <c r="N526" s="20"/>
    </row>
    <row r="527" ht="14.25" customHeight="1">
      <c r="N527" s="20"/>
    </row>
    <row r="528" ht="14.25" customHeight="1">
      <c r="N528" s="20"/>
    </row>
    <row r="529" ht="14.25" customHeight="1">
      <c r="N529" s="20"/>
    </row>
    <row r="530" ht="14.25" customHeight="1">
      <c r="N530" s="20"/>
    </row>
    <row r="531" ht="14.25" customHeight="1">
      <c r="N531" s="20"/>
    </row>
    <row r="532" ht="14.25" customHeight="1">
      <c r="N532" s="20"/>
    </row>
    <row r="533" ht="14.25" customHeight="1">
      <c r="N533" s="20"/>
    </row>
    <row r="534" ht="14.25" customHeight="1">
      <c r="N534" s="20"/>
    </row>
    <row r="535" ht="14.25" customHeight="1">
      <c r="N535" s="20"/>
    </row>
    <row r="536" ht="14.25" customHeight="1">
      <c r="N536" s="20"/>
    </row>
    <row r="537" ht="14.25" customHeight="1">
      <c r="N537" s="20"/>
    </row>
    <row r="538" ht="14.25" customHeight="1">
      <c r="N538" s="20"/>
    </row>
    <row r="539" ht="14.25" customHeight="1">
      <c r="N539" s="20"/>
    </row>
    <row r="540" ht="14.25" customHeight="1">
      <c r="N540" s="20"/>
    </row>
    <row r="541" ht="14.25" customHeight="1">
      <c r="N541" s="20"/>
    </row>
    <row r="542" ht="14.25" customHeight="1">
      <c r="N542" s="20"/>
    </row>
    <row r="543" ht="14.25" customHeight="1">
      <c r="N543" s="20"/>
    </row>
    <row r="544" ht="14.25" customHeight="1">
      <c r="N544" s="20"/>
    </row>
    <row r="545" ht="14.25" customHeight="1">
      <c r="N545" s="20"/>
    </row>
    <row r="546" ht="14.25" customHeight="1">
      <c r="N546" s="20"/>
    </row>
    <row r="547" ht="14.25" customHeight="1">
      <c r="N547" s="20"/>
    </row>
    <row r="548" ht="14.25" customHeight="1">
      <c r="N548" s="20"/>
    </row>
    <row r="549" ht="14.25" customHeight="1">
      <c r="N549" s="20"/>
    </row>
    <row r="550" ht="14.25" customHeight="1">
      <c r="N550" s="20"/>
    </row>
    <row r="551" ht="14.25" customHeight="1">
      <c r="N551" s="20"/>
    </row>
    <row r="552" ht="14.25" customHeight="1">
      <c r="N552" s="20"/>
    </row>
    <row r="553" ht="14.25" customHeight="1">
      <c r="N553" s="20"/>
    </row>
    <row r="554" ht="14.25" customHeight="1">
      <c r="N554" s="20"/>
    </row>
    <row r="555" ht="14.25" customHeight="1">
      <c r="N555" s="20"/>
    </row>
    <row r="556" ht="14.25" customHeight="1">
      <c r="N556" s="20"/>
    </row>
    <row r="557" ht="14.25" customHeight="1">
      <c r="N557" s="20"/>
    </row>
    <row r="558" ht="14.25" customHeight="1">
      <c r="N558" s="20"/>
    </row>
    <row r="559" ht="14.25" customHeight="1">
      <c r="N559" s="20"/>
    </row>
    <row r="560" ht="14.25" customHeight="1">
      <c r="N560" s="20"/>
    </row>
    <row r="561" ht="14.25" customHeight="1">
      <c r="N561" s="20"/>
    </row>
    <row r="562" ht="14.25" customHeight="1">
      <c r="N562" s="20"/>
    </row>
    <row r="563" ht="14.25" customHeight="1">
      <c r="N563" s="20"/>
    </row>
    <row r="564" ht="14.25" customHeight="1">
      <c r="N564" s="20"/>
    </row>
    <row r="565" ht="14.25" customHeight="1">
      <c r="N565" s="20"/>
    </row>
    <row r="566" ht="14.25" customHeight="1">
      <c r="N566" s="20"/>
    </row>
    <row r="567" ht="14.25" customHeight="1">
      <c r="N567" s="20"/>
    </row>
    <row r="568" ht="14.25" customHeight="1">
      <c r="N568" s="20"/>
    </row>
    <row r="569" ht="14.25" customHeight="1">
      <c r="N569" s="20"/>
    </row>
    <row r="570" ht="14.25" customHeight="1">
      <c r="N570" s="20"/>
    </row>
    <row r="571" ht="14.25" customHeight="1">
      <c r="N571" s="20"/>
    </row>
    <row r="572" ht="14.25" customHeight="1">
      <c r="N572" s="20"/>
    </row>
    <row r="573" ht="14.25" customHeight="1">
      <c r="N573" s="20"/>
    </row>
    <row r="574" ht="14.25" customHeight="1">
      <c r="N574" s="20"/>
    </row>
    <row r="575" ht="14.25" customHeight="1">
      <c r="N575" s="20"/>
    </row>
    <row r="576" ht="14.25" customHeight="1">
      <c r="N576" s="20"/>
    </row>
    <row r="577" ht="14.25" customHeight="1">
      <c r="N577" s="20"/>
    </row>
    <row r="578" ht="14.25" customHeight="1">
      <c r="N578" s="20"/>
    </row>
    <row r="579" ht="14.25" customHeight="1">
      <c r="N579" s="20"/>
    </row>
    <row r="580" ht="14.25" customHeight="1">
      <c r="N580" s="20"/>
    </row>
    <row r="581" ht="14.25" customHeight="1">
      <c r="N581" s="20"/>
    </row>
    <row r="582" ht="14.25" customHeight="1">
      <c r="N582" s="20"/>
    </row>
    <row r="583" ht="14.25" customHeight="1">
      <c r="N583" s="20"/>
    </row>
    <row r="584" ht="14.25" customHeight="1">
      <c r="N584" s="20"/>
    </row>
    <row r="585" ht="14.25" customHeight="1">
      <c r="N585" s="20"/>
    </row>
    <row r="586" ht="14.25" customHeight="1">
      <c r="N586" s="20"/>
    </row>
    <row r="587" ht="14.25" customHeight="1">
      <c r="N587" s="20"/>
    </row>
    <row r="588" ht="14.25" customHeight="1">
      <c r="N588" s="20"/>
    </row>
    <row r="589" ht="14.25" customHeight="1">
      <c r="N589" s="20"/>
    </row>
    <row r="590" ht="14.25" customHeight="1">
      <c r="N590" s="20"/>
    </row>
    <row r="591" ht="14.25" customHeight="1">
      <c r="N591" s="20"/>
    </row>
    <row r="592" ht="14.25" customHeight="1">
      <c r="N592" s="20"/>
    </row>
    <row r="593" ht="14.25" customHeight="1">
      <c r="N593" s="20"/>
    </row>
    <row r="594" ht="14.25" customHeight="1">
      <c r="N594" s="20"/>
    </row>
    <row r="595" ht="14.25" customHeight="1">
      <c r="N595" s="20"/>
    </row>
    <row r="596" ht="14.25" customHeight="1">
      <c r="N596" s="20"/>
    </row>
    <row r="597" ht="14.25" customHeight="1">
      <c r="N597" s="20"/>
    </row>
    <row r="598" ht="14.25" customHeight="1">
      <c r="N598" s="20"/>
    </row>
    <row r="599" ht="14.25" customHeight="1">
      <c r="N599" s="20"/>
    </row>
    <row r="600" ht="14.25" customHeight="1">
      <c r="N600" s="20"/>
    </row>
    <row r="601" ht="14.25" customHeight="1">
      <c r="N601" s="20"/>
    </row>
    <row r="602" ht="14.25" customHeight="1">
      <c r="N602" s="20"/>
    </row>
    <row r="603" ht="14.25" customHeight="1">
      <c r="N603" s="20"/>
    </row>
    <row r="604" ht="14.25" customHeight="1">
      <c r="N604" s="20"/>
    </row>
    <row r="605" ht="14.25" customHeight="1">
      <c r="N605" s="20"/>
    </row>
    <row r="606" ht="14.25" customHeight="1">
      <c r="N606" s="20"/>
    </row>
    <row r="607" ht="14.25" customHeight="1">
      <c r="N607" s="20"/>
    </row>
    <row r="608" ht="14.25" customHeight="1">
      <c r="N608" s="20"/>
    </row>
    <row r="609" ht="14.25" customHeight="1">
      <c r="N609" s="20"/>
    </row>
    <row r="610" ht="14.25" customHeight="1">
      <c r="N610" s="20"/>
    </row>
    <row r="611" ht="14.25" customHeight="1">
      <c r="N611" s="20"/>
    </row>
    <row r="612" ht="14.25" customHeight="1">
      <c r="N612" s="20"/>
    </row>
    <row r="613" ht="14.25" customHeight="1">
      <c r="N613" s="20"/>
    </row>
    <row r="614" ht="14.25" customHeight="1">
      <c r="N614" s="20"/>
    </row>
    <row r="615" ht="14.25" customHeight="1">
      <c r="N615" s="20"/>
    </row>
    <row r="616" ht="14.25" customHeight="1">
      <c r="N616" s="20"/>
    </row>
    <row r="617" ht="14.25" customHeight="1">
      <c r="N617" s="20"/>
    </row>
    <row r="618" ht="14.25" customHeight="1">
      <c r="N618" s="20"/>
    </row>
    <row r="619" ht="14.25" customHeight="1">
      <c r="N619" s="20"/>
    </row>
    <row r="620" ht="14.25" customHeight="1">
      <c r="N620" s="20"/>
    </row>
    <row r="621" ht="14.25" customHeight="1">
      <c r="N621" s="20"/>
    </row>
    <row r="622" ht="14.25" customHeight="1">
      <c r="N622" s="20"/>
    </row>
    <row r="623" ht="14.25" customHeight="1">
      <c r="N623" s="20"/>
    </row>
    <row r="624" ht="14.25" customHeight="1">
      <c r="N624" s="20"/>
    </row>
    <row r="625" ht="14.25" customHeight="1">
      <c r="N625" s="20"/>
    </row>
    <row r="626" ht="14.25" customHeight="1">
      <c r="N626" s="20"/>
    </row>
    <row r="627" ht="14.25" customHeight="1">
      <c r="N627" s="20"/>
    </row>
    <row r="628" ht="14.25" customHeight="1">
      <c r="N628" s="20"/>
    </row>
    <row r="629" ht="14.25" customHeight="1">
      <c r="N629" s="20"/>
    </row>
    <row r="630" ht="14.25" customHeight="1">
      <c r="N630" s="20"/>
    </row>
    <row r="631" ht="14.25" customHeight="1">
      <c r="N631" s="20"/>
    </row>
    <row r="632" ht="14.25" customHeight="1">
      <c r="N632" s="20"/>
    </row>
    <row r="633" ht="14.25" customHeight="1">
      <c r="N633" s="20"/>
    </row>
    <row r="634" ht="14.25" customHeight="1">
      <c r="N634" s="20"/>
    </row>
    <row r="635" ht="14.25" customHeight="1">
      <c r="N635" s="20"/>
    </row>
    <row r="636" ht="14.25" customHeight="1">
      <c r="N636" s="20"/>
    </row>
    <row r="637" ht="14.25" customHeight="1">
      <c r="N637" s="20"/>
    </row>
    <row r="638" ht="14.25" customHeight="1">
      <c r="N638" s="20"/>
    </row>
    <row r="639" ht="14.25" customHeight="1">
      <c r="N639" s="20"/>
    </row>
    <row r="640" ht="14.25" customHeight="1">
      <c r="N640" s="20"/>
    </row>
    <row r="641" ht="14.25" customHeight="1">
      <c r="N641" s="20"/>
    </row>
    <row r="642" ht="14.25" customHeight="1">
      <c r="N642" s="20"/>
    </row>
    <row r="643" ht="14.25" customHeight="1">
      <c r="N643" s="20"/>
    </row>
    <row r="644" ht="14.25" customHeight="1">
      <c r="N644" s="20"/>
    </row>
    <row r="645" ht="14.25" customHeight="1">
      <c r="N645" s="20"/>
    </row>
    <row r="646" ht="14.25" customHeight="1">
      <c r="N646" s="20"/>
    </row>
    <row r="647" ht="14.25" customHeight="1">
      <c r="N647" s="20"/>
    </row>
    <row r="648" ht="14.25" customHeight="1">
      <c r="N648" s="20"/>
    </row>
    <row r="649" ht="14.25" customHeight="1">
      <c r="N649" s="20"/>
    </row>
    <row r="650" ht="14.25" customHeight="1">
      <c r="N650" s="20"/>
    </row>
    <row r="651" ht="14.25" customHeight="1">
      <c r="N651" s="20"/>
    </row>
    <row r="652" ht="14.25" customHeight="1">
      <c r="N652" s="20"/>
    </row>
    <row r="653" ht="14.25" customHeight="1">
      <c r="N653" s="20"/>
    </row>
    <row r="654" ht="14.25" customHeight="1">
      <c r="N654" s="20"/>
    </row>
    <row r="655" ht="14.25" customHeight="1">
      <c r="N655" s="20"/>
    </row>
    <row r="656" ht="14.25" customHeight="1">
      <c r="N656" s="20"/>
    </row>
    <row r="657" ht="14.25" customHeight="1">
      <c r="N657" s="20"/>
    </row>
    <row r="658" ht="14.25" customHeight="1">
      <c r="N658" s="20"/>
    </row>
    <row r="659" ht="14.25" customHeight="1">
      <c r="N659" s="20"/>
    </row>
    <row r="660" ht="14.25" customHeight="1">
      <c r="N660" s="20"/>
    </row>
    <row r="661" ht="14.25" customHeight="1">
      <c r="N661" s="20"/>
    </row>
    <row r="662" ht="14.25" customHeight="1">
      <c r="N662" s="20"/>
    </row>
    <row r="663" ht="14.25" customHeight="1">
      <c r="N663" s="20"/>
    </row>
    <row r="664" ht="14.25" customHeight="1">
      <c r="N664" s="20"/>
    </row>
    <row r="665" ht="14.25" customHeight="1">
      <c r="N665" s="20"/>
    </row>
    <row r="666" ht="14.25" customHeight="1">
      <c r="N666" s="20"/>
    </row>
    <row r="667" ht="14.25" customHeight="1">
      <c r="N667" s="20"/>
    </row>
    <row r="668" ht="14.25" customHeight="1">
      <c r="N668" s="20"/>
    </row>
    <row r="669" ht="14.25" customHeight="1">
      <c r="N669" s="20"/>
    </row>
    <row r="670" ht="14.25" customHeight="1">
      <c r="N670" s="20"/>
    </row>
    <row r="671" ht="14.25" customHeight="1">
      <c r="N671" s="20"/>
    </row>
    <row r="672" ht="14.25" customHeight="1">
      <c r="N672" s="20"/>
    </row>
    <row r="673" ht="14.25" customHeight="1">
      <c r="N673" s="20"/>
    </row>
    <row r="674" ht="14.25" customHeight="1">
      <c r="N674" s="20"/>
    </row>
    <row r="675" ht="14.25" customHeight="1">
      <c r="N675" s="20"/>
    </row>
    <row r="676" ht="14.25" customHeight="1">
      <c r="N676" s="20"/>
    </row>
    <row r="677" ht="14.25" customHeight="1">
      <c r="N677" s="20"/>
    </row>
    <row r="678" ht="14.25" customHeight="1">
      <c r="N678" s="20"/>
    </row>
    <row r="679" ht="14.25" customHeight="1">
      <c r="N679" s="20"/>
    </row>
    <row r="680" ht="14.25" customHeight="1">
      <c r="N680" s="20"/>
    </row>
    <row r="681" ht="14.25" customHeight="1">
      <c r="N681" s="20"/>
    </row>
    <row r="682" ht="14.25" customHeight="1">
      <c r="N682" s="20"/>
    </row>
    <row r="683" ht="14.25" customHeight="1">
      <c r="N683" s="20"/>
    </row>
    <row r="684" ht="14.25" customHeight="1">
      <c r="N684" s="20"/>
    </row>
    <row r="685" ht="14.25" customHeight="1">
      <c r="N685" s="20"/>
    </row>
    <row r="686" ht="14.25" customHeight="1">
      <c r="N686" s="20"/>
    </row>
    <row r="687" ht="14.25" customHeight="1">
      <c r="N687" s="20"/>
    </row>
    <row r="688" ht="14.25" customHeight="1">
      <c r="N688" s="20"/>
    </row>
    <row r="689" ht="14.25" customHeight="1">
      <c r="N689" s="20"/>
    </row>
    <row r="690" ht="14.25" customHeight="1">
      <c r="N690" s="20"/>
    </row>
    <row r="691" ht="14.25" customHeight="1">
      <c r="N691" s="20"/>
    </row>
    <row r="692" ht="14.25" customHeight="1">
      <c r="N692" s="20"/>
    </row>
    <row r="693" ht="14.25" customHeight="1">
      <c r="N693" s="20"/>
    </row>
    <row r="694" ht="14.25" customHeight="1">
      <c r="N694" s="20"/>
    </row>
    <row r="695" ht="14.25" customHeight="1">
      <c r="N695" s="20"/>
    </row>
    <row r="696" ht="14.25" customHeight="1">
      <c r="N696" s="20"/>
    </row>
    <row r="697" ht="14.25" customHeight="1">
      <c r="N697" s="20"/>
    </row>
    <row r="698" ht="14.25" customHeight="1">
      <c r="N698" s="20"/>
    </row>
    <row r="699" ht="14.25" customHeight="1">
      <c r="N699" s="20"/>
    </row>
    <row r="700" ht="14.25" customHeight="1">
      <c r="N700" s="20"/>
    </row>
    <row r="701" ht="14.25" customHeight="1">
      <c r="N701" s="20"/>
    </row>
    <row r="702" ht="14.25" customHeight="1">
      <c r="N702" s="20"/>
    </row>
    <row r="703" ht="14.25" customHeight="1">
      <c r="N703" s="20"/>
    </row>
    <row r="704" ht="14.25" customHeight="1">
      <c r="N704" s="20"/>
    </row>
    <row r="705" ht="14.25" customHeight="1">
      <c r="N705" s="20"/>
    </row>
    <row r="706" ht="14.25" customHeight="1">
      <c r="N706" s="20"/>
    </row>
    <row r="707" ht="14.25" customHeight="1">
      <c r="N707" s="20"/>
    </row>
    <row r="708" ht="14.25" customHeight="1">
      <c r="N708" s="20"/>
    </row>
    <row r="709" ht="14.25" customHeight="1">
      <c r="N709" s="20"/>
    </row>
    <row r="710" ht="14.25" customHeight="1">
      <c r="N710" s="20"/>
    </row>
    <row r="711" ht="14.25" customHeight="1">
      <c r="N711" s="20"/>
    </row>
    <row r="712" ht="14.25" customHeight="1">
      <c r="N712" s="20"/>
    </row>
    <row r="713" ht="14.25" customHeight="1">
      <c r="N713" s="20"/>
    </row>
    <row r="714" ht="14.25" customHeight="1">
      <c r="N714" s="20"/>
    </row>
    <row r="715" ht="14.25" customHeight="1">
      <c r="N715" s="20"/>
    </row>
    <row r="716" ht="14.25" customHeight="1">
      <c r="N716" s="20"/>
    </row>
    <row r="717" ht="14.25" customHeight="1">
      <c r="N717" s="20"/>
    </row>
    <row r="718" ht="14.25" customHeight="1">
      <c r="N718" s="20"/>
    </row>
    <row r="719" ht="14.25" customHeight="1">
      <c r="N719" s="20"/>
    </row>
    <row r="720" ht="14.25" customHeight="1">
      <c r="N720" s="20"/>
    </row>
    <row r="721" ht="14.25" customHeight="1">
      <c r="N721" s="20"/>
    </row>
    <row r="722" ht="14.25" customHeight="1">
      <c r="N722" s="20"/>
    </row>
    <row r="723" ht="14.25" customHeight="1">
      <c r="N723" s="20"/>
    </row>
    <row r="724" ht="14.25" customHeight="1">
      <c r="N724" s="20"/>
    </row>
    <row r="725" ht="14.25" customHeight="1">
      <c r="N725" s="20"/>
    </row>
    <row r="726" ht="14.25" customHeight="1">
      <c r="N726" s="20"/>
    </row>
    <row r="727" ht="14.25" customHeight="1">
      <c r="N727" s="20"/>
    </row>
    <row r="728" ht="14.25" customHeight="1">
      <c r="N728" s="20"/>
    </row>
    <row r="729" ht="14.25" customHeight="1">
      <c r="N729" s="20"/>
    </row>
    <row r="730" ht="14.25" customHeight="1">
      <c r="N730" s="20"/>
    </row>
    <row r="731" ht="14.25" customHeight="1">
      <c r="N731" s="20"/>
    </row>
    <row r="732" ht="14.25" customHeight="1">
      <c r="N732" s="20"/>
    </row>
    <row r="733" ht="14.25" customHeight="1">
      <c r="N733" s="20"/>
    </row>
    <row r="734" ht="14.25" customHeight="1">
      <c r="N734" s="20"/>
    </row>
    <row r="735" ht="14.25" customHeight="1">
      <c r="N735" s="20"/>
    </row>
    <row r="736" ht="14.25" customHeight="1">
      <c r="N736" s="20"/>
    </row>
    <row r="737" ht="14.25" customHeight="1">
      <c r="N737" s="20"/>
    </row>
    <row r="738" ht="14.25" customHeight="1">
      <c r="N738" s="20"/>
    </row>
    <row r="739" ht="14.25" customHeight="1">
      <c r="N739" s="20"/>
    </row>
    <row r="740" ht="14.25" customHeight="1">
      <c r="N740" s="20"/>
    </row>
    <row r="741" ht="14.25" customHeight="1">
      <c r="N741" s="20"/>
    </row>
    <row r="742" ht="14.25" customHeight="1">
      <c r="N742" s="20"/>
    </row>
    <row r="743" ht="14.25" customHeight="1">
      <c r="N743" s="20"/>
    </row>
    <row r="744" ht="14.25" customHeight="1">
      <c r="N744" s="20"/>
    </row>
    <row r="745" ht="14.25" customHeight="1">
      <c r="N745" s="20"/>
    </row>
    <row r="746" ht="14.25" customHeight="1">
      <c r="N746" s="20"/>
    </row>
    <row r="747" ht="14.25" customHeight="1">
      <c r="N747" s="20"/>
    </row>
    <row r="748" ht="14.25" customHeight="1">
      <c r="N748" s="20"/>
    </row>
    <row r="749" ht="14.25" customHeight="1">
      <c r="N749" s="20"/>
    </row>
    <row r="750" ht="14.25" customHeight="1">
      <c r="N750" s="20"/>
    </row>
    <row r="751" ht="14.25" customHeight="1">
      <c r="N751" s="20"/>
    </row>
    <row r="752" ht="14.25" customHeight="1">
      <c r="N752" s="20"/>
    </row>
    <row r="753" ht="14.25" customHeight="1">
      <c r="N753" s="20"/>
    </row>
    <row r="754" ht="14.25" customHeight="1">
      <c r="N754" s="20"/>
    </row>
    <row r="755" ht="14.25" customHeight="1">
      <c r="N755" s="20"/>
    </row>
    <row r="756" ht="14.25" customHeight="1">
      <c r="N756" s="20"/>
    </row>
    <row r="757" ht="14.25" customHeight="1">
      <c r="N757" s="20"/>
    </row>
    <row r="758" ht="14.25" customHeight="1">
      <c r="N758" s="20"/>
    </row>
    <row r="759" ht="14.25" customHeight="1">
      <c r="N759" s="20"/>
    </row>
    <row r="760" ht="14.25" customHeight="1">
      <c r="N760" s="20"/>
    </row>
    <row r="761" ht="14.25" customHeight="1">
      <c r="N761" s="20"/>
    </row>
    <row r="762" ht="14.25" customHeight="1">
      <c r="N762" s="20"/>
    </row>
    <row r="763" ht="14.25" customHeight="1">
      <c r="N763" s="20"/>
    </row>
    <row r="764" ht="14.25" customHeight="1">
      <c r="N764" s="20"/>
    </row>
    <row r="765" ht="14.25" customHeight="1">
      <c r="N765" s="20"/>
    </row>
    <row r="766" ht="14.25" customHeight="1">
      <c r="N766" s="20"/>
    </row>
    <row r="767" ht="14.25" customHeight="1">
      <c r="N767" s="20"/>
    </row>
    <row r="768" ht="14.25" customHeight="1">
      <c r="N768" s="20"/>
    </row>
    <row r="769" ht="14.25" customHeight="1">
      <c r="N769" s="20"/>
    </row>
    <row r="770" ht="14.25" customHeight="1">
      <c r="N770" s="20"/>
    </row>
    <row r="771" ht="14.25" customHeight="1">
      <c r="N771" s="20"/>
    </row>
    <row r="772" ht="14.25" customHeight="1">
      <c r="N772" s="20"/>
    </row>
    <row r="773" ht="14.25" customHeight="1">
      <c r="N773" s="20"/>
    </row>
    <row r="774" ht="14.25" customHeight="1">
      <c r="N774" s="20"/>
    </row>
    <row r="775" ht="14.25" customHeight="1">
      <c r="N775" s="20"/>
    </row>
    <row r="776" ht="14.25" customHeight="1">
      <c r="N776" s="20"/>
    </row>
    <row r="777" ht="14.25" customHeight="1">
      <c r="N777" s="20"/>
    </row>
    <row r="778" ht="14.25" customHeight="1">
      <c r="N778" s="20"/>
    </row>
    <row r="779" ht="14.25" customHeight="1">
      <c r="N779" s="20"/>
    </row>
    <row r="780" ht="14.25" customHeight="1">
      <c r="N780" s="20"/>
    </row>
    <row r="781" ht="14.25" customHeight="1">
      <c r="N781" s="20"/>
    </row>
    <row r="782" ht="14.25" customHeight="1">
      <c r="N782" s="20"/>
    </row>
    <row r="783" ht="14.25" customHeight="1">
      <c r="N783" s="20"/>
    </row>
    <row r="784" ht="14.25" customHeight="1">
      <c r="N784" s="20"/>
    </row>
    <row r="785" ht="14.25" customHeight="1">
      <c r="N785" s="20"/>
    </row>
    <row r="786" ht="14.25" customHeight="1">
      <c r="N786" s="20"/>
    </row>
    <row r="787" ht="14.25" customHeight="1">
      <c r="N787" s="20"/>
    </row>
    <row r="788" ht="14.25" customHeight="1">
      <c r="N788" s="20"/>
    </row>
    <row r="789" ht="14.25" customHeight="1">
      <c r="N789" s="20"/>
    </row>
    <row r="790" ht="14.25" customHeight="1">
      <c r="N790" s="20"/>
    </row>
    <row r="791" ht="14.25" customHeight="1">
      <c r="N791" s="20"/>
    </row>
    <row r="792" ht="14.25" customHeight="1">
      <c r="N792" s="20"/>
    </row>
    <row r="793" ht="14.25" customHeight="1">
      <c r="N793" s="20"/>
    </row>
    <row r="794" ht="14.25" customHeight="1">
      <c r="N794" s="20"/>
    </row>
    <row r="795" ht="14.25" customHeight="1">
      <c r="N795" s="20"/>
    </row>
    <row r="796" ht="14.25" customHeight="1">
      <c r="N796" s="20"/>
    </row>
    <row r="797" ht="14.25" customHeight="1">
      <c r="N797" s="20"/>
    </row>
    <row r="798" ht="14.25" customHeight="1">
      <c r="N798" s="20"/>
    </row>
    <row r="799" ht="14.25" customHeight="1">
      <c r="N799" s="20"/>
    </row>
    <row r="800" ht="14.25" customHeight="1">
      <c r="N800" s="20"/>
    </row>
    <row r="801" ht="14.25" customHeight="1">
      <c r="N801" s="20"/>
    </row>
    <row r="802" ht="14.25" customHeight="1">
      <c r="N802" s="20"/>
    </row>
    <row r="803" ht="14.25" customHeight="1">
      <c r="N803" s="20"/>
    </row>
    <row r="804" ht="14.25" customHeight="1">
      <c r="N804" s="20"/>
    </row>
    <row r="805" ht="14.25" customHeight="1">
      <c r="N805" s="20"/>
    </row>
    <row r="806" ht="14.25" customHeight="1">
      <c r="N806" s="20"/>
    </row>
    <row r="807" ht="14.25" customHeight="1">
      <c r="N807" s="20"/>
    </row>
    <row r="808" ht="14.25" customHeight="1">
      <c r="N808" s="20"/>
    </row>
    <row r="809" ht="14.25" customHeight="1">
      <c r="N809" s="20"/>
    </row>
    <row r="810" ht="14.25" customHeight="1">
      <c r="N810" s="20"/>
    </row>
    <row r="811" ht="14.25" customHeight="1">
      <c r="N811" s="20"/>
    </row>
    <row r="812" ht="14.25" customHeight="1">
      <c r="N812" s="20"/>
    </row>
    <row r="813" ht="14.25" customHeight="1">
      <c r="N813" s="20"/>
    </row>
    <row r="814" ht="14.25" customHeight="1">
      <c r="N814" s="20"/>
    </row>
    <row r="815" ht="14.25" customHeight="1">
      <c r="N815" s="20"/>
    </row>
    <row r="816" ht="14.25" customHeight="1">
      <c r="N816" s="20"/>
    </row>
    <row r="817" ht="14.25" customHeight="1">
      <c r="N817" s="20"/>
    </row>
    <row r="818" ht="14.25" customHeight="1">
      <c r="N818" s="20"/>
    </row>
    <row r="819" ht="14.25" customHeight="1">
      <c r="N819" s="20"/>
    </row>
    <row r="820" ht="14.25" customHeight="1">
      <c r="N820" s="20"/>
    </row>
    <row r="821" ht="14.25" customHeight="1">
      <c r="N821" s="20"/>
    </row>
    <row r="822" ht="14.25" customHeight="1">
      <c r="N822" s="20"/>
    </row>
    <row r="823" ht="14.25" customHeight="1">
      <c r="N823" s="20"/>
    </row>
    <row r="824" ht="14.25" customHeight="1">
      <c r="N824" s="20"/>
    </row>
    <row r="825" ht="14.25" customHeight="1">
      <c r="N825" s="20"/>
    </row>
    <row r="826" ht="14.25" customHeight="1">
      <c r="N826" s="20"/>
    </row>
    <row r="827" ht="14.25" customHeight="1">
      <c r="N827" s="20"/>
    </row>
    <row r="828" ht="14.25" customHeight="1">
      <c r="N828" s="20"/>
    </row>
    <row r="829" ht="14.25" customHeight="1">
      <c r="N829" s="20"/>
    </row>
    <row r="830" ht="14.25" customHeight="1">
      <c r="N830" s="20"/>
    </row>
    <row r="831" ht="14.25" customHeight="1">
      <c r="N831" s="20"/>
    </row>
    <row r="832" ht="14.25" customHeight="1">
      <c r="N832" s="20"/>
    </row>
    <row r="833" ht="14.25" customHeight="1">
      <c r="N833" s="20"/>
    </row>
    <row r="834" ht="14.25" customHeight="1">
      <c r="N834" s="20"/>
    </row>
    <row r="835" ht="14.25" customHeight="1">
      <c r="N835" s="20"/>
    </row>
    <row r="836" ht="14.25" customHeight="1">
      <c r="N836" s="20"/>
    </row>
    <row r="837" ht="14.25" customHeight="1">
      <c r="N837" s="20"/>
    </row>
    <row r="838" ht="14.25" customHeight="1">
      <c r="N838" s="20"/>
    </row>
    <row r="839" ht="14.25" customHeight="1">
      <c r="N839" s="20"/>
    </row>
    <row r="840" ht="14.25" customHeight="1">
      <c r="N840" s="20"/>
    </row>
    <row r="841" ht="14.25" customHeight="1">
      <c r="N841" s="20"/>
    </row>
    <row r="842" ht="14.25" customHeight="1">
      <c r="N842" s="20"/>
    </row>
    <row r="843" ht="14.25" customHeight="1">
      <c r="N843" s="20"/>
    </row>
    <row r="844" ht="14.25" customHeight="1">
      <c r="N844" s="20"/>
    </row>
    <row r="845" ht="14.25" customHeight="1">
      <c r="N845" s="20"/>
    </row>
    <row r="846" ht="14.25" customHeight="1">
      <c r="N846" s="20"/>
    </row>
    <row r="847" ht="14.25" customHeight="1">
      <c r="N847" s="20"/>
    </row>
    <row r="848" ht="14.25" customHeight="1">
      <c r="N848" s="20"/>
    </row>
    <row r="849" ht="14.25" customHeight="1">
      <c r="N849" s="20"/>
    </row>
    <row r="850" ht="14.25" customHeight="1">
      <c r="N850" s="20"/>
    </row>
    <row r="851" ht="14.25" customHeight="1">
      <c r="N851" s="20"/>
    </row>
    <row r="852" ht="14.25" customHeight="1">
      <c r="N852" s="20"/>
    </row>
    <row r="853" ht="14.25" customHeight="1">
      <c r="N853" s="20"/>
    </row>
    <row r="854" ht="14.25" customHeight="1">
      <c r="N854" s="20"/>
    </row>
    <row r="855" ht="14.25" customHeight="1">
      <c r="N855" s="20"/>
    </row>
    <row r="856" ht="14.25" customHeight="1">
      <c r="N856" s="20"/>
    </row>
    <row r="857" ht="14.25" customHeight="1">
      <c r="N857" s="20"/>
    </row>
    <row r="858" ht="14.25" customHeight="1">
      <c r="N858" s="20"/>
    </row>
    <row r="859" ht="14.25" customHeight="1">
      <c r="N859" s="20"/>
    </row>
    <row r="860" ht="14.25" customHeight="1">
      <c r="N860" s="20"/>
    </row>
    <row r="861" ht="14.25" customHeight="1">
      <c r="N861" s="20"/>
    </row>
    <row r="862" ht="14.25" customHeight="1">
      <c r="N862" s="20"/>
    </row>
    <row r="863" ht="14.25" customHeight="1">
      <c r="N863" s="20"/>
    </row>
    <row r="864" ht="14.25" customHeight="1">
      <c r="N864" s="20"/>
    </row>
    <row r="865" ht="14.25" customHeight="1">
      <c r="N865" s="20"/>
    </row>
    <row r="866" ht="14.25" customHeight="1">
      <c r="N866" s="20"/>
    </row>
    <row r="867" ht="14.25" customHeight="1">
      <c r="N867" s="20"/>
    </row>
    <row r="868" ht="14.25" customHeight="1">
      <c r="N868" s="20"/>
    </row>
    <row r="869" ht="14.25" customHeight="1">
      <c r="N869" s="20"/>
    </row>
    <row r="870" ht="14.25" customHeight="1">
      <c r="N870" s="20"/>
    </row>
    <row r="871" ht="14.25" customHeight="1">
      <c r="N871" s="20"/>
    </row>
    <row r="872" ht="14.25" customHeight="1">
      <c r="N872" s="20"/>
    </row>
    <row r="873" ht="14.25" customHeight="1">
      <c r="N873" s="20"/>
    </row>
    <row r="874" ht="14.25" customHeight="1">
      <c r="N874" s="20"/>
    </row>
    <row r="875" ht="14.25" customHeight="1">
      <c r="N875" s="20"/>
    </row>
    <row r="876" ht="14.25" customHeight="1">
      <c r="N876" s="20"/>
    </row>
    <row r="877" ht="14.25" customHeight="1">
      <c r="N877" s="20"/>
    </row>
    <row r="878" ht="14.25" customHeight="1">
      <c r="N878" s="20"/>
    </row>
    <row r="879" ht="14.25" customHeight="1">
      <c r="N879" s="20"/>
    </row>
    <row r="880" ht="14.25" customHeight="1">
      <c r="N880" s="20"/>
    </row>
    <row r="881" ht="14.25" customHeight="1">
      <c r="N881" s="20"/>
    </row>
    <row r="882" ht="14.25" customHeight="1">
      <c r="N882" s="20"/>
    </row>
    <row r="883" ht="14.25" customHeight="1">
      <c r="N883" s="20"/>
    </row>
    <row r="884" ht="14.25" customHeight="1">
      <c r="N884" s="20"/>
    </row>
    <row r="885" ht="14.25" customHeight="1">
      <c r="N885" s="20"/>
    </row>
    <row r="886" ht="14.25" customHeight="1">
      <c r="N886" s="20"/>
    </row>
    <row r="887" ht="14.25" customHeight="1">
      <c r="N887" s="20"/>
    </row>
    <row r="888" ht="14.25" customHeight="1">
      <c r="N888" s="20"/>
    </row>
    <row r="889" ht="14.25" customHeight="1">
      <c r="N889" s="20"/>
    </row>
    <row r="890" ht="14.25" customHeight="1">
      <c r="N890" s="20"/>
    </row>
    <row r="891" ht="14.25" customHeight="1">
      <c r="N891" s="20"/>
    </row>
    <row r="892" ht="14.25" customHeight="1">
      <c r="N892" s="20"/>
    </row>
    <row r="893" ht="14.25" customHeight="1">
      <c r="N893" s="20"/>
    </row>
    <row r="894" ht="14.25" customHeight="1">
      <c r="N894" s="20"/>
    </row>
    <row r="895" ht="14.25" customHeight="1">
      <c r="N895" s="20"/>
    </row>
    <row r="896" ht="14.25" customHeight="1">
      <c r="N896" s="20"/>
    </row>
    <row r="897" ht="14.25" customHeight="1">
      <c r="N897" s="20"/>
    </row>
    <row r="898" ht="14.25" customHeight="1">
      <c r="N898" s="20"/>
    </row>
    <row r="899" ht="14.25" customHeight="1">
      <c r="N899" s="20"/>
    </row>
    <row r="900" ht="14.25" customHeight="1">
      <c r="N900" s="20"/>
    </row>
    <row r="901" ht="14.25" customHeight="1">
      <c r="N901" s="20"/>
    </row>
    <row r="902" ht="14.25" customHeight="1">
      <c r="N902" s="20"/>
    </row>
    <row r="903" ht="14.25" customHeight="1">
      <c r="N903" s="20"/>
    </row>
    <row r="904" ht="14.25" customHeight="1">
      <c r="N904" s="20"/>
    </row>
    <row r="905" ht="14.25" customHeight="1">
      <c r="N905" s="20"/>
    </row>
    <row r="906" ht="14.25" customHeight="1">
      <c r="N906" s="20"/>
    </row>
    <row r="907" ht="14.25" customHeight="1">
      <c r="N907" s="20"/>
    </row>
    <row r="908" ht="14.25" customHeight="1">
      <c r="N908" s="20"/>
    </row>
    <row r="909" ht="14.25" customHeight="1">
      <c r="N909" s="20"/>
    </row>
    <row r="910" ht="14.25" customHeight="1">
      <c r="N910" s="20"/>
    </row>
    <row r="911" ht="14.25" customHeight="1">
      <c r="N911" s="20"/>
    </row>
    <row r="912" ht="14.25" customHeight="1">
      <c r="N912" s="20"/>
    </row>
    <row r="913" ht="14.25" customHeight="1">
      <c r="N913" s="20"/>
    </row>
    <row r="914" ht="14.25" customHeight="1">
      <c r="N914" s="20"/>
    </row>
    <row r="915" ht="14.25" customHeight="1">
      <c r="N915" s="20"/>
    </row>
    <row r="916" ht="14.25" customHeight="1">
      <c r="N916" s="20"/>
    </row>
    <row r="917" ht="14.25" customHeight="1">
      <c r="N917" s="20"/>
    </row>
    <row r="918" ht="14.25" customHeight="1">
      <c r="N918" s="20"/>
    </row>
    <row r="919" ht="14.25" customHeight="1">
      <c r="N919" s="20"/>
    </row>
    <row r="920" ht="14.25" customHeight="1">
      <c r="N920" s="20"/>
    </row>
    <row r="921" ht="14.25" customHeight="1">
      <c r="N921" s="20"/>
    </row>
    <row r="922" ht="14.25" customHeight="1">
      <c r="N922" s="20"/>
    </row>
    <row r="923" ht="14.25" customHeight="1">
      <c r="N923" s="20"/>
    </row>
    <row r="924" ht="14.25" customHeight="1">
      <c r="N924" s="20"/>
    </row>
    <row r="925" ht="14.25" customHeight="1">
      <c r="N925" s="20"/>
    </row>
    <row r="926" ht="14.25" customHeight="1">
      <c r="N926" s="20"/>
    </row>
    <row r="927" ht="14.25" customHeight="1">
      <c r="N927" s="20"/>
    </row>
    <row r="928" ht="14.25" customHeight="1">
      <c r="N928" s="20"/>
    </row>
    <row r="929" ht="14.25" customHeight="1">
      <c r="N929" s="20"/>
    </row>
    <row r="930" ht="14.25" customHeight="1">
      <c r="N930" s="20"/>
    </row>
    <row r="931" ht="14.25" customHeight="1">
      <c r="N931" s="20"/>
    </row>
    <row r="932" ht="14.25" customHeight="1">
      <c r="N932" s="20"/>
    </row>
    <row r="933" ht="14.25" customHeight="1">
      <c r="N933" s="20"/>
    </row>
    <row r="934" ht="14.25" customHeight="1">
      <c r="N934" s="20"/>
    </row>
    <row r="935" ht="14.25" customHeight="1">
      <c r="N935" s="20"/>
    </row>
    <row r="936" ht="14.25" customHeight="1">
      <c r="N936" s="20"/>
    </row>
    <row r="937" ht="14.25" customHeight="1">
      <c r="N937" s="20"/>
    </row>
    <row r="938" ht="14.25" customHeight="1">
      <c r="N938" s="20"/>
    </row>
    <row r="939" ht="14.25" customHeight="1">
      <c r="N939" s="20"/>
    </row>
    <row r="940" ht="14.25" customHeight="1">
      <c r="N940" s="20"/>
    </row>
    <row r="941" ht="14.25" customHeight="1">
      <c r="N941" s="20"/>
    </row>
    <row r="942" ht="14.25" customHeight="1">
      <c r="N942" s="20"/>
    </row>
    <row r="943" ht="14.25" customHeight="1">
      <c r="N943" s="20"/>
    </row>
    <row r="944" ht="14.25" customHeight="1">
      <c r="N944" s="20"/>
    </row>
    <row r="945" ht="14.25" customHeight="1">
      <c r="N945" s="20"/>
    </row>
    <row r="946" ht="14.25" customHeight="1">
      <c r="N946" s="20"/>
    </row>
    <row r="947" ht="14.25" customHeight="1">
      <c r="N947" s="20"/>
    </row>
    <row r="948" ht="14.25" customHeight="1">
      <c r="N948" s="20"/>
    </row>
    <row r="949" ht="14.25" customHeight="1">
      <c r="N949" s="20"/>
    </row>
    <row r="950" ht="14.25" customHeight="1">
      <c r="N950" s="20"/>
    </row>
    <row r="951" ht="14.25" customHeight="1">
      <c r="N951" s="20"/>
    </row>
    <row r="952" ht="14.25" customHeight="1">
      <c r="N952" s="20"/>
    </row>
    <row r="953" ht="14.25" customHeight="1">
      <c r="N953" s="20"/>
    </row>
    <row r="954" ht="14.25" customHeight="1">
      <c r="N954" s="20"/>
    </row>
    <row r="955" ht="14.25" customHeight="1">
      <c r="N955" s="20"/>
    </row>
    <row r="956" ht="14.25" customHeight="1">
      <c r="N956" s="20"/>
    </row>
    <row r="957" ht="14.25" customHeight="1">
      <c r="N957" s="20"/>
    </row>
    <row r="958" ht="14.25" customHeight="1">
      <c r="N958" s="20"/>
    </row>
    <row r="959" ht="14.25" customHeight="1">
      <c r="N959" s="20"/>
    </row>
    <row r="960" ht="14.25" customHeight="1">
      <c r="N960" s="20"/>
    </row>
    <row r="961" ht="14.25" customHeight="1">
      <c r="N961" s="20"/>
    </row>
    <row r="962" ht="14.25" customHeight="1">
      <c r="N962" s="20"/>
    </row>
    <row r="963" ht="14.25" customHeight="1">
      <c r="N963" s="20"/>
    </row>
    <row r="964" ht="14.25" customHeight="1">
      <c r="N964" s="20"/>
    </row>
    <row r="965" ht="14.25" customHeight="1">
      <c r="N965" s="20"/>
    </row>
    <row r="966" ht="14.25" customHeight="1">
      <c r="N966" s="20"/>
    </row>
    <row r="967" ht="14.25" customHeight="1">
      <c r="N967" s="20"/>
    </row>
    <row r="968" ht="14.25" customHeight="1">
      <c r="N968" s="20"/>
    </row>
    <row r="969" ht="14.25" customHeight="1">
      <c r="N969" s="20"/>
    </row>
    <row r="970" ht="14.25" customHeight="1">
      <c r="N970" s="20"/>
    </row>
    <row r="971" ht="14.25" customHeight="1">
      <c r="N971" s="20"/>
    </row>
    <row r="972" ht="14.25" customHeight="1">
      <c r="N972" s="20"/>
    </row>
    <row r="973" ht="14.25" customHeight="1">
      <c r="N973" s="20"/>
    </row>
    <row r="974" ht="14.25" customHeight="1">
      <c r="N974" s="20"/>
    </row>
    <row r="975" ht="14.25" customHeight="1">
      <c r="N975" s="20"/>
    </row>
    <row r="976" ht="14.25" customHeight="1">
      <c r="N976" s="20"/>
    </row>
    <row r="977" ht="14.25" customHeight="1">
      <c r="N977" s="20"/>
    </row>
    <row r="978" ht="14.25" customHeight="1">
      <c r="N978" s="20"/>
    </row>
    <row r="979" ht="14.25" customHeight="1">
      <c r="N979" s="20"/>
    </row>
    <row r="980" ht="14.25" customHeight="1">
      <c r="N980" s="20"/>
    </row>
    <row r="981" ht="14.25" customHeight="1">
      <c r="N981" s="20"/>
    </row>
    <row r="982" ht="14.25" customHeight="1">
      <c r="N982" s="20"/>
    </row>
    <row r="983" ht="14.25" customHeight="1">
      <c r="N983" s="20"/>
    </row>
    <row r="984" ht="14.25" customHeight="1">
      <c r="N984" s="20"/>
    </row>
    <row r="985" ht="14.25" customHeight="1">
      <c r="N985" s="20"/>
    </row>
    <row r="986" ht="14.25" customHeight="1">
      <c r="N986" s="20"/>
    </row>
    <row r="987" ht="14.25" customHeight="1">
      <c r="N987" s="20"/>
    </row>
    <row r="988" ht="14.25" customHeight="1">
      <c r="N988" s="20"/>
    </row>
    <row r="989" ht="14.25" customHeight="1">
      <c r="N989" s="20"/>
    </row>
    <row r="990" ht="14.25" customHeight="1">
      <c r="N990" s="20"/>
    </row>
    <row r="991" ht="14.25" customHeight="1">
      <c r="N991" s="20"/>
    </row>
    <row r="992" ht="14.25" customHeight="1">
      <c r="N992" s="20"/>
    </row>
    <row r="993" ht="14.25" customHeight="1">
      <c r="N993" s="20"/>
    </row>
    <row r="994" ht="14.25" customHeight="1">
      <c r="N994" s="20"/>
    </row>
    <row r="995" ht="14.25" customHeight="1">
      <c r="N995" s="20"/>
    </row>
    <row r="996" ht="14.25" customHeight="1">
      <c r="N996" s="20"/>
    </row>
    <row r="997" ht="14.25" customHeight="1">
      <c r="N997" s="20"/>
    </row>
    <row r="998" ht="14.25" customHeight="1">
      <c r="N998" s="20"/>
    </row>
    <row r="999" ht="14.25" customHeight="1">
      <c r="N999" s="20"/>
    </row>
    <row r="1000" ht="14.25" customHeight="1">
      <c r="N1000" s="20"/>
    </row>
    <row r="1001" ht="14.25" customHeight="1">
      <c r="N1001" s="20"/>
    </row>
    <row r="1002" ht="14.25" customHeight="1">
      <c r="N1002" s="20"/>
    </row>
    <row r="1003" ht="14.25" customHeight="1">
      <c r="N1003" s="20"/>
    </row>
    <row r="1004" ht="14.25" customHeight="1">
      <c r="N1004" s="20"/>
    </row>
    <row r="1005" ht="14.25" customHeight="1">
      <c r="N1005" s="20"/>
    </row>
    <row r="1006" ht="14.25" customHeight="1">
      <c r="N1006" s="20"/>
    </row>
    <row r="1007" ht="14.25" customHeight="1">
      <c r="N1007" s="20"/>
    </row>
  </sheetData>
  <autoFilter ref="$A$2:$X$77">
    <sortState ref="A2:X77">
      <sortCondition ref="Q2:Q77"/>
    </sortState>
  </autoFilter>
  <mergeCells count="1">
    <mergeCell ref="A1:O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16.88"/>
    <col customWidth="1" min="3" max="3" width="8.63"/>
    <col customWidth="1" min="4" max="4" width="10.5"/>
    <col customWidth="1" min="5" max="5" width="13.13"/>
    <col customWidth="1" min="6" max="26" width="8.63"/>
  </cols>
  <sheetData>
    <row r="1" ht="14.25" customHeight="1">
      <c r="A1" s="1" t="s">
        <v>1423</v>
      </c>
    </row>
    <row r="2" ht="14.25" customHeight="1">
      <c r="A2" s="14" t="s">
        <v>71</v>
      </c>
      <c r="B2" s="14" t="s">
        <v>1314</v>
      </c>
      <c r="C2" s="14" t="s">
        <v>1315</v>
      </c>
      <c r="D2" s="14" t="s">
        <v>1316</v>
      </c>
      <c r="E2" s="14" t="s">
        <v>1226</v>
      </c>
      <c r="F2" s="14" t="s">
        <v>1317</v>
      </c>
      <c r="G2" s="14" t="s">
        <v>1318</v>
      </c>
      <c r="H2" s="14" t="s">
        <v>1319</v>
      </c>
      <c r="I2" s="14" t="s">
        <v>1320</v>
      </c>
      <c r="J2" s="14" t="s">
        <v>1321</v>
      </c>
      <c r="K2" s="14" t="s">
        <v>1322</v>
      </c>
      <c r="L2" s="14" t="s">
        <v>1323</v>
      </c>
      <c r="M2" s="14" t="s">
        <v>1324</v>
      </c>
      <c r="N2" s="20" t="s">
        <v>1325</v>
      </c>
      <c r="P2" s="14" t="s">
        <v>89</v>
      </c>
      <c r="Q2" s="14" t="s">
        <v>1326</v>
      </c>
      <c r="R2" s="20" t="s">
        <v>1327</v>
      </c>
      <c r="S2" s="14" t="s">
        <v>90</v>
      </c>
      <c r="U2" s="16" t="s">
        <v>94</v>
      </c>
      <c r="V2" s="16" t="s">
        <v>95</v>
      </c>
      <c r="W2" s="16" t="s">
        <v>96</v>
      </c>
    </row>
    <row r="3" ht="14.25" customHeight="1">
      <c r="A3" s="14" t="s">
        <v>1424</v>
      </c>
      <c r="B3" s="14" t="s">
        <v>608</v>
      </c>
      <c r="C3" s="14">
        <v>68.0</v>
      </c>
      <c r="D3" s="14" t="s">
        <v>1425</v>
      </c>
      <c r="E3" s="14" t="s">
        <v>158</v>
      </c>
      <c r="F3" s="20">
        <v>0.983</v>
      </c>
      <c r="G3" s="14">
        <v>0.13</v>
      </c>
      <c r="H3" s="14">
        <v>0.0</v>
      </c>
      <c r="I3" s="14">
        <v>0.13</v>
      </c>
      <c r="J3" s="20">
        <f t="shared" ref="J3:J43" si="1">I3*0.6+H3*0.4</f>
        <v>0.078</v>
      </c>
      <c r="K3" s="20">
        <f t="shared" ref="K3:K37" si="2">(F3 - AVERAGE($F$3:$F$89))/_xlfn.STDEV.P($F$3:$F$89)</f>
        <v>-0.2893280272</v>
      </c>
      <c r="L3" s="20">
        <f t="shared" ref="L3:L37" si="3">(J3 - AVERAGE($J$3:$J$89))/_xlfn.STDEV.P($J$3:$J$89)</f>
        <v>1.132579231</v>
      </c>
      <c r="M3" s="20">
        <f t="shared" ref="M3:M37" si="4">K3*0.4+L3*0.6</f>
        <v>0.5638163275</v>
      </c>
      <c r="N3" s="20">
        <f t="shared" ref="N3:N8" si="5">100*(M3-MIN($M$3:$M$89))/(MAX($M$3:$M$89) - MIN($M$3:$M$89))</f>
        <v>63.8240414</v>
      </c>
      <c r="P3" s="14">
        <v>2.93</v>
      </c>
      <c r="Q3" s="20">
        <f t="shared" ref="Q3:Q43" si="6">P3*0.5+K3*0.3+L3*0.2</f>
        <v>1.604717438</v>
      </c>
      <c r="R3" s="20">
        <f t="shared" ref="R3:R8" si="7">100*(Q3-MIN($Q$3:$Q$482))/(MAX($Q$3:$Q$482) - MIN($Q$3:$Q$482))</f>
        <v>18.8717345</v>
      </c>
      <c r="S3" s="20">
        <f t="shared" ref="S3:S43" si="8">R3-N3</f>
        <v>-44.9523069</v>
      </c>
      <c r="U3" s="20">
        <f>IFERROR(__xludf.DUMMYFUNCTION("iferror(PERCENTRANK.INC(FILTER($Q$3:$Q$434, $P$3:$P$434&lt;3.75), $Q3), 1)"),0.333)</f>
        <v>0.333</v>
      </c>
      <c r="V3" s="20">
        <f>IFERROR(__xludf.DUMMYFUNCTION("iferror(PERCENTRANK.INC(FILTER($Q$3:$Q$434, $P$3:$P$434&lt;4.25), $Q3), 1)"),0.2)</f>
        <v>0.2</v>
      </c>
      <c r="W3" s="20">
        <f>IFERROR(__xludf.DUMMYFUNCTION("iferror(PERCENTRANK.INC(FILTER($Q$3:$Q$434, $P$3:$P$434&gt;=4.1), $Q3), 0)"),0.049)</f>
        <v>0.049</v>
      </c>
    </row>
    <row r="4" ht="14.25" customHeight="1">
      <c r="A4" s="14" t="s">
        <v>1426</v>
      </c>
      <c r="B4" s="14" t="s">
        <v>1427</v>
      </c>
      <c r="C4" s="14">
        <v>50.0</v>
      </c>
      <c r="D4" s="14" t="s">
        <v>1425</v>
      </c>
      <c r="E4" s="14" t="s">
        <v>158</v>
      </c>
      <c r="F4" s="20">
        <v>0.988</v>
      </c>
      <c r="G4" s="14">
        <v>-0.1</v>
      </c>
      <c r="H4" s="14">
        <v>0.07</v>
      </c>
      <c r="I4" s="14">
        <v>-0.12</v>
      </c>
      <c r="J4" s="20">
        <f t="shared" si="1"/>
        <v>-0.044</v>
      </c>
      <c r="K4" s="20">
        <f t="shared" si="2"/>
        <v>0.3416533087</v>
      </c>
      <c r="L4" s="20">
        <f t="shared" si="3"/>
        <v>0.2170715849</v>
      </c>
      <c r="M4" s="20">
        <f t="shared" si="4"/>
        <v>0.2669042744</v>
      </c>
      <c r="N4" s="20">
        <f t="shared" si="5"/>
        <v>55.86088549</v>
      </c>
      <c r="P4" s="14">
        <v>3.18</v>
      </c>
      <c r="Q4" s="20">
        <f t="shared" si="6"/>
        <v>1.73591031</v>
      </c>
      <c r="R4" s="20">
        <f t="shared" si="7"/>
        <v>24.0558198</v>
      </c>
      <c r="S4" s="20">
        <f t="shared" si="8"/>
        <v>-31.80506569</v>
      </c>
      <c r="U4" s="20">
        <f>IFERROR(__xludf.DUMMYFUNCTION("iferror(PERCENTRANK.INC(FILTER($Q$3:$Q$434, $P$3:$P$434&lt;3.75), $Q4), 1)"),0.444)</f>
        <v>0.444</v>
      </c>
      <c r="V4" s="20">
        <f>IFERROR(__xludf.DUMMYFUNCTION("iferror(PERCENTRANK.INC(FILTER($Q$3:$Q$434, $P$3:$P$434&lt;4.25), $Q4), 1)"),0.25)</f>
        <v>0.25</v>
      </c>
      <c r="W4" s="20">
        <f>IFERROR(__xludf.DUMMYFUNCTION("iferror(PERCENTRANK.INC(FILTER($Q$3:$Q$434, $P$3:$P$434&gt;=4.1), $Q4), 0)"),0.107)</f>
        <v>0.107</v>
      </c>
    </row>
    <row r="5" ht="14.25" customHeight="1">
      <c r="A5" s="14" t="s">
        <v>1428</v>
      </c>
      <c r="B5" s="14" t="s">
        <v>1390</v>
      </c>
      <c r="C5" s="14">
        <v>79.0</v>
      </c>
      <c r="D5" s="14" t="s">
        <v>1425</v>
      </c>
      <c r="E5" s="14" t="s">
        <v>132</v>
      </c>
      <c r="F5" s="20">
        <v>0.975</v>
      </c>
      <c r="G5" s="14">
        <v>0.11</v>
      </c>
      <c r="H5" s="14">
        <v>0.0</v>
      </c>
      <c r="I5" s="14">
        <v>0.11</v>
      </c>
      <c r="J5" s="20">
        <f t="shared" si="1"/>
        <v>0.066</v>
      </c>
      <c r="K5" s="20">
        <f t="shared" si="2"/>
        <v>-1.298898165</v>
      </c>
      <c r="L5" s="20">
        <f t="shared" si="3"/>
        <v>1.042529298</v>
      </c>
      <c r="M5" s="20">
        <f t="shared" si="4"/>
        <v>0.1059583131</v>
      </c>
      <c r="N5" s="20">
        <f t="shared" si="5"/>
        <v>51.54432855</v>
      </c>
      <c r="P5" s="14">
        <v>3.24</v>
      </c>
      <c r="Q5" s="20">
        <f t="shared" si="6"/>
        <v>1.43883641</v>
      </c>
      <c r="R5" s="20">
        <f t="shared" si="7"/>
        <v>12.31694698</v>
      </c>
      <c r="S5" s="20">
        <f t="shared" si="8"/>
        <v>-39.22738157</v>
      </c>
      <c r="U5" s="20">
        <f>IFERROR(__xludf.DUMMYFUNCTION("iferror(PERCENTRANK.INC(FILTER($Q$3:$Q$434, $P$3:$P$434&lt;3.75), $Q5), 1)"),0.222)</f>
        <v>0.222</v>
      </c>
      <c r="V5" s="20">
        <f>IFERROR(__xludf.DUMMYFUNCTION("iferror(PERCENTRANK.INC(FILTER($Q$3:$Q$434, $P$3:$P$434&lt;4.25), $Q5), 1)"),0.15)</f>
        <v>0.15</v>
      </c>
      <c r="W5" s="20">
        <f>IFERROR(__xludf.DUMMYFUNCTION("iferror(PERCENTRANK.INC(FILTER($Q$3:$Q$434, $P$3:$P$434&gt;=4.1), $Q5), 0)"),0.025)</f>
        <v>0.025</v>
      </c>
    </row>
    <row r="6" ht="14.25" customHeight="1">
      <c r="A6" s="16" t="s">
        <v>1429</v>
      </c>
      <c r="B6" s="16" t="s">
        <v>1269</v>
      </c>
      <c r="C6" s="16">
        <v>72.0</v>
      </c>
      <c r="D6" s="16" t="s">
        <v>1425</v>
      </c>
      <c r="E6" s="16" t="s">
        <v>179</v>
      </c>
      <c r="F6" s="56">
        <v>0.972</v>
      </c>
      <c r="G6" s="16">
        <v>-0.09</v>
      </c>
      <c r="H6" s="16">
        <v>-0.08</v>
      </c>
      <c r="I6" s="16">
        <v>-0.09</v>
      </c>
      <c r="J6" s="20">
        <f t="shared" si="1"/>
        <v>-0.086</v>
      </c>
      <c r="K6" s="20">
        <f t="shared" si="2"/>
        <v>-1.677486966</v>
      </c>
      <c r="L6" s="20">
        <f t="shared" si="3"/>
        <v>-0.09810317835</v>
      </c>
      <c r="M6" s="20">
        <f t="shared" si="4"/>
        <v>-0.7298566935</v>
      </c>
      <c r="N6" s="20">
        <f t="shared" si="5"/>
        <v>29.12784145</v>
      </c>
      <c r="P6" s="16">
        <v>3.3</v>
      </c>
      <c r="Q6" s="20">
        <f t="shared" si="6"/>
        <v>1.127133274</v>
      </c>
      <c r="R6" s="20">
        <f t="shared" si="7"/>
        <v>0</v>
      </c>
      <c r="S6" s="20">
        <f t="shared" si="8"/>
        <v>-29.12784145</v>
      </c>
      <c r="U6" s="20">
        <f>IFERROR(__xludf.DUMMYFUNCTION("iferror(PERCENTRANK.INC(FILTER($Q$3:$Q$434, $P$3:$P$434&lt;3.75), $Q6), 1)"),0.0)</f>
        <v>0</v>
      </c>
      <c r="V6" s="20">
        <f>IFERROR(__xludf.DUMMYFUNCTION("iferror(PERCENTRANK.INC(FILTER($Q$3:$Q$434, $P$3:$P$434&lt;4.25), $Q6), 1)"),0.0)</f>
        <v>0</v>
      </c>
      <c r="W6" s="20">
        <f>IFERROR(__xludf.DUMMYFUNCTION("iferror(PERCENTRANK.INC(FILTER($Q$3:$Q$434, $P$3:$P$434&gt;=4.1), $Q6), 0)"),0.0)</f>
        <v>0</v>
      </c>
    </row>
    <row r="7" ht="14.25" customHeight="1">
      <c r="A7" s="14" t="s">
        <v>1430</v>
      </c>
      <c r="B7" s="14" t="s">
        <v>1382</v>
      </c>
      <c r="C7" s="14">
        <v>68.0</v>
      </c>
      <c r="D7" s="14" t="s">
        <v>1425</v>
      </c>
      <c r="E7" s="14" t="s">
        <v>117</v>
      </c>
      <c r="F7" s="20">
        <v>0.993</v>
      </c>
      <c r="G7" s="14">
        <v>-0.13</v>
      </c>
      <c r="H7" s="14">
        <v>-0.11</v>
      </c>
      <c r="I7" s="14">
        <v>-0.15</v>
      </c>
      <c r="J7" s="20">
        <f t="shared" si="1"/>
        <v>-0.134</v>
      </c>
      <c r="K7" s="20">
        <f t="shared" si="2"/>
        <v>0.9726346446</v>
      </c>
      <c r="L7" s="20">
        <f t="shared" si="3"/>
        <v>-0.4583029078</v>
      </c>
      <c r="M7" s="20">
        <f t="shared" si="4"/>
        <v>0.1140721132</v>
      </c>
      <c r="N7" s="20">
        <f t="shared" si="5"/>
        <v>51.76193998</v>
      </c>
      <c r="P7" s="14">
        <v>3.39</v>
      </c>
      <c r="Q7" s="20">
        <f t="shared" si="6"/>
        <v>1.895129812</v>
      </c>
      <c r="R7" s="20">
        <f t="shared" si="7"/>
        <v>30.3473772</v>
      </c>
      <c r="S7" s="20">
        <f t="shared" si="8"/>
        <v>-21.41456278</v>
      </c>
      <c r="U7" s="20">
        <f>IFERROR(__xludf.DUMMYFUNCTION("iferror(PERCENTRANK.INC(FILTER($Q$3:$Q$434, $P$3:$P$434&lt;3.75), $Q7), 1)"),0.889)</f>
        <v>0.889</v>
      </c>
      <c r="V7" s="20">
        <f>IFERROR(__xludf.DUMMYFUNCTION("iferror(PERCENTRANK.INC(FILTER($Q$3:$Q$434, $P$3:$P$434&lt;4.25), $Q7), 1)"),0.55)</f>
        <v>0.55</v>
      </c>
      <c r="W7" s="20">
        <f>IFERROR(__xludf.DUMMYFUNCTION("iferror(PERCENTRANK.INC(FILTER($Q$3:$Q$434, $P$3:$P$434&gt;=4.1), $Q7), 0)"),0.184)</f>
        <v>0.184</v>
      </c>
    </row>
    <row r="8" ht="14.25" customHeight="1">
      <c r="A8" s="14" t="s">
        <v>1431</v>
      </c>
      <c r="B8" s="14" t="s">
        <v>1292</v>
      </c>
      <c r="C8" s="14">
        <v>75.0</v>
      </c>
      <c r="D8" s="14" t="s">
        <v>1425</v>
      </c>
      <c r="E8" s="14" t="s">
        <v>132</v>
      </c>
      <c r="F8" s="20">
        <v>0.987</v>
      </c>
      <c r="G8" s="14">
        <v>-0.2</v>
      </c>
      <c r="H8" s="14">
        <v>0.0</v>
      </c>
      <c r="I8" s="14">
        <v>-0.2</v>
      </c>
      <c r="J8" s="20">
        <f t="shared" si="1"/>
        <v>-0.12</v>
      </c>
      <c r="K8" s="20">
        <f t="shared" si="2"/>
        <v>0.2154570415</v>
      </c>
      <c r="L8" s="20">
        <f t="shared" si="3"/>
        <v>-0.3532446534</v>
      </c>
      <c r="M8" s="20">
        <f t="shared" si="4"/>
        <v>-0.1257639754</v>
      </c>
      <c r="N8" s="20">
        <f t="shared" si="5"/>
        <v>45.32955656</v>
      </c>
      <c r="P8" s="14">
        <v>3.51</v>
      </c>
      <c r="Q8" s="20">
        <f t="shared" si="6"/>
        <v>1.748988182</v>
      </c>
      <c r="R8" s="20">
        <f t="shared" si="7"/>
        <v>24.57259182</v>
      </c>
      <c r="S8" s="20">
        <f t="shared" si="8"/>
        <v>-20.75696474</v>
      </c>
      <c r="U8" s="20">
        <f>IFERROR(__xludf.DUMMYFUNCTION("iferror(PERCENTRANK.INC(FILTER($Q$3:$Q$434, $P$3:$P$434&lt;3.75), $Q8), 1)"),0.556)</f>
        <v>0.556</v>
      </c>
      <c r="V8" s="20">
        <f>IFERROR(__xludf.DUMMYFUNCTION("iferror(PERCENTRANK.INC(FILTER($Q$3:$Q$434, $P$3:$P$434&lt;4.25), $Q8), 1)"),0.35)</f>
        <v>0.35</v>
      </c>
      <c r="W8" s="20">
        <f>IFERROR(__xludf.DUMMYFUNCTION("iferror(PERCENTRANK.INC(FILTER($Q$3:$Q$434, $P$3:$P$434&gt;=4.1), $Q8), 0)"),0.117)</f>
        <v>0.117</v>
      </c>
    </row>
    <row r="9" ht="14.25" customHeight="1">
      <c r="A9" s="16" t="s">
        <v>1432</v>
      </c>
      <c r="B9" s="16" t="s">
        <v>1433</v>
      </c>
      <c r="C9" s="16">
        <v>59.0</v>
      </c>
      <c r="D9" s="16" t="s">
        <v>1425</v>
      </c>
      <c r="E9" s="16" t="s">
        <v>127</v>
      </c>
      <c r="F9" s="38">
        <v>0.98</v>
      </c>
      <c r="G9" s="16">
        <v>-0.21</v>
      </c>
      <c r="H9" s="16">
        <v>-0.21</v>
      </c>
      <c r="I9" s="16">
        <v>-0.21</v>
      </c>
      <c r="J9" s="55">
        <f t="shared" si="1"/>
        <v>-0.21</v>
      </c>
      <c r="K9" s="55">
        <f t="shared" si="2"/>
        <v>-0.6679168287</v>
      </c>
      <c r="L9" s="55">
        <f t="shared" si="3"/>
        <v>-1.028619146</v>
      </c>
      <c r="M9" s="55">
        <f t="shared" si="4"/>
        <v>-0.8843382191</v>
      </c>
      <c r="N9" s="55">
        <f>100*(M9-MIN($M$3:$M$89))/(MAX($M$3:$M$89) - MIN($M$3:$M$89))</f>
        <v>24.98466012</v>
      </c>
      <c r="P9" s="57">
        <v>3.51</v>
      </c>
      <c r="Q9" s="55">
        <f t="shared" si="6"/>
        <v>1.348901122</v>
      </c>
      <c r="R9" s="55">
        <f>100*(Q9-MIN($Q$3:$Q$482))/(MAX($Q$3:$Q$482) - MIN($Q$3:$Q$482))</f>
        <v>8.763154775</v>
      </c>
      <c r="S9" s="55">
        <f t="shared" si="8"/>
        <v>-16.22150535</v>
      </c>
      <c r="T9" s="52"/>
      <c r="U9" s="55">
        <f>IFERROR(__xludf.DUMMYFUNCTION("iferror(PERCENTRANK.INC(FILTER($Q$3:$Q$434, $P$3:$P$434&lt;3.75), $Q9), 1)"),0.111)</f>
        <v>0.111</v>
      </c>
      <c r="V9" s="55">
        <f>IFERROR(__xludf.DUMMYFUNCTION("iferror(PERCENTRANK.INC(FILTER($Q$3:$Q$434, $P$3:$P$434&lt;4.25), $Q9), 1)"),0.1)</f>
        <v>0.1</v>
      </c>
      <c r="W9" s="55">
        <f>IFERROR(__xludf.DUMMYFUNCTION("iferror(PERCENTRANK.INC(FILTER($Q$3:$Q$434, $P$3:$P$434&gt;=4.1), $Q9), 0)"),0.016)</f>
        <v>0.016</v>
      </c>
    </row>
    <row r="10" ht="14.25" customHeight="1">
      <c r="A10" s="14" t="s">
        <v>1434</v>
      </c>
      <c r="B10" s="14" t="s">
        <v>1427</v>
      </c>
      <c r="C10" s="14">
        <v>56.0</v>
      </c>
      <c r="D10" s="14" t="s">
        <v>1425</v>
      </c>
      <c r="E10" s="14" t="s">
        <v>158</v>
      </c>
      <c r="F10" s="20">
        <v>0.995</v>
      </c>
      <c r="G10" s="14">
        <v>-0.15</v>
      </c>
      <c r="H10" s="14">
        <v>0.0</v>
      </c>
      <c r="I10" s="14">
        <v>-0.15</v>
      </c>
      <c r="J10" s="20">
        <f t="shared" si="1"/>
        <v>-0.09</v>
      </c>
      <c r="K10" s="20">
        <f t="shared" si="2"/>
        <v>1.225027179</v>
      </c>
      <c r="L10" s="20">
        <f t="shared" si="3"/>
        <v>-0.1281198225</v>
      </c>
      <c r="M10" s="20">
        <f t="shared" si="4"/>
        <v>0.4131389781</v>
      </c>
      <c r="N10" s="20">
        <f t="shared" ref="N10:N23" si="9">100*(M10-MIN($M$3:$M$89))/(MAX($M$3:$M$89) - MIN($M$3:$M$89))</f>
        <v>59.78288776</v>
      </c>
      <c r="P10" s="14">
        <v>3.6</v>
      </c>
      <c r="Q10" s="20">
        <f t="shared" si="6"/>
        <v>2.141884189</v>
      </c>
      <c r="R10" s="20">
        <f t="shared" ref="R10:R23" si="10">100*(Q10-MIN($Q$3:$Q$482))/(MAX($Q$3:$Q$482) - MIN($Q$3:$Q$482))</f>
        <v>40.0978745</v>
      </c>
      <c r="S10" s="20">
        <f t="shared" si="8"/>
        <v>-19.68501326</v>
      </c>
      <c r="U10" s="20">
        <f>IFERROR(__xludf.DUMMYFUNCTION("iferror(PERCENTRANK.INC(FILTER($Q$3:$Q$434, $P$3:$P$434&lt;3.75), $Q10), 1)"),1.0)</f>
        <v>1</v>
      </c>
      <c r="V10" s="20">
        <f>IFERROR(__xludf.DUMMYFUNCTION("iferror(PERCENTRANK.INC(FILTER($Q$3:$Q$434, $P$3:$P$434&lt;4.25), $Q10), 1)"),0.65)</f>
        <v>0.65</v>
      </c>
      <c r="W10" s="20">
        <f>IFERROR(__xludf.DUMMYFUNCTION("iferror(PERCENTRANK.INC(FILTER($Q$3:$Q$434, $P$3:$P$434&gt;=4.1), $Q10), 0)"),0.338)</f>
        <v>0.338</v>
      </c>
    </row>
    <row r="11" ht="14.25" customHeight="1">
      <c r="A11" s="14" t="s">
        <v>1435</v>
      </c>
      <c r="B11" s="14" t="s">
        <v>1240</v>
      </c>
      <c r="C11" s="14">
        <v>52.0</v>
      </c>
      <c r="D11" s="14" t="s">
        <v>1425</v>
      </c>
      <c r="E11" s="14" t="s">
        <v>117</v>
      </c>
      <c r="F11" s="20">
        <v>0.991</v>
      </c>
      <c r="G11" s="14">
        <v>-0.05</v>
      </c>
      <c r="H11" s="14">
        <v>-0.42</v>
      </c>
      <c r="I11" s="14">
        <v>0.01</v>
      </c>
      <c r="J11" s="20">
        <f t="shared" si="1"/>
        <v>-0.162</v>
      </c>
      <c r="K11" s="20">
        <f t="shared" si="2"/>
        <v>0.7202421102</v>
      </c>
      <c r="L11" s="20">
        <f t="shared" si="3"/>
        <v>-0.6684194166</v>
      </c>
      <c r="M11" s="20">
        <f t="shared" si="4"/>
        <v>-0.1129548059</v>
      </c>
      <c r="N11" s="20">
        <f t="shared" si="9"/>
        <v>45.67309739</v>
      </c>
      <c r="P11" s="14">
        <v>3.61</v>
      </c>
      <c r="Q11" s="20">
        <f t="shared" si="6"/>
        <v>1.88738875</v>
      </c>
      <c r="R11" s="20">
        <f t="shared" si="10"/>
        <v>30.04148919</v>
      </c>
      <c r="S11" s="20">
        <f t="shared" si="8"/>
        <v>-15.63160821</v>
      </c>
      <c r="U11" s="20">
        <f>IFERROR(__xludf.DUMMYFUNCTION("iferror(PERCENTRANK.INC(FILTER($Q$3:$Q$434, $P$3:$P$434&lt;3.75), $Q11), 1)"),0.778)</f>
        <v>0.778</v>
      </c>
      <c r="V11" s="20">
        <f>IFERROR(__xludf.DUMMYFUNCTION("iferror(PERCENTRANK.INC(FILTER($Q$3:$Q$434, $P$3:$P$434&lt;4.25), $Q11), 1)"),0.5)</f>
        <v>0.5</v>
      </c>
      <c r="W11" s="20">
        <f>IFERROR(__xludf.DUMMYFUNCTION("iferror(PERCENTRANK.INC(FILTER($Q$3:$Q$434, $P$3:$P$434&gt;=4.1), $Q11), 0)"),0.181)</f>
        <v>0.181</v>
      </c>
    </row>
    <row r="12" ht="14.25" customHeight="1">
      <c r="A12" s="14" t="s">
        <v>1436</v>
      </c>
      <c r="B12" s="14" t="s">
        <v>1339</v>
      </c>
      <c r="C12" s="14">
        <v>78.0</v>
      </c>
      <c r="D12" s="14" t="s">
        <v>1425</v>
      </c>
      <c r="E12" s="14" t="s">
        <v>1340</v>
      </c>
      <c r="F12" s="20">
        <v>0.983</v>
      </c>
      <c r="G12" s="14">
        <v>-0.13</v>
      </c>
      <c r="H12" s="14">
        <v>0.12</v>
      </c>
      <c r="I12" s="14">
        <v>-0.2</v>
      </c>
      <c r="J12" s="20">
        <f t="shared" si="1"/>
        <v>-0.072</v>
      </c>
      <c r="K12" s="20">
        <f t="shared" si="2"/>
        <v>-0.2893280272</v>
      </c>
      <c r="L12" s="20">
        <f t="shared" si="3"/>
        <v>0.006955076077</v>
      </c>
      <c r="M12" s="20">
        <f t="shared" si="4"/>
        <v>-0.1115581652</v>
      </c>
      <c r="N12" s="20">
        <f t="shared" si="9"/>
        <v>45.71055518</v>
      </c>
      <c r="P12" s="14">
        <v>3.72</v>
      </c>
      <c r="Q12" s="20">
        <f t="shared" si="6"/>
        <v>1.774592607</v>
      </c>
      <c r="R12" s="20">
        <f t="shared" si="10"/>
        <v>25.58435049</v>
      </c>
      <c r="S12" s="20">
        <f t="shared" si="8"/>
        <v>-20.12620469</v>
      </c>
      <c r="U12" s="20">
        <f>IFERROR(__xludf.DUMMYFUNCTION("iferror(PERCENTRANK.INC(FILTER($Q$3:$Q$434, $P$3:$P$434&lt;3.75), $Q12), 1)"),0.667)</f>
        <v>0.667</v>
      </c>
      <c r="V12" s="20">
        <f>IFERROR(__xludf.DUMMYFUNCTION("iferror(PERCENTRANK.INC(FILTER($Q$3:$Q$434, $P$3:$P$434&lt;4.25), $Q12), 1)"),0.4)</f>
        <v>0.4</v>
      </c>
      <c r="W12" s="20">
        <f>IFERROR(__xludf.DUMMYFUNCTION("iferror(PERCENTRANK.INC(FILTER($Q$3:$Q$434, $P$3:$P$434&gt;=4.1), $Q12), 0)"),0.138)</f>
        <v>0.138</v>
      </c>
    </row>
    <row r="13" ht="14.25" customHeight="1">
      <c r="A13" s="14" t="s">
        <v>1437</v>
      </c>
      <c r="B13" s="14" t="s">
        <v>1394</v>
      </c>
      <c r="C13" s="14">
        <v>61.0</v>
      </c>
      <c r="D13" s="14" t="s">
        <v>1425</v>
      </c>
      <c r="E13" s="14" t="s">
        <v>144</v>
      </c>
      <c r="F13" s="20">
        <v>0.986</v>
      </c>
      <c r="G13" s="14">
        <v>0.06</v>
      </c>
      <c r="H13" s="14">
        <v>0.0</v>
      </c>
      <c r="I13" s="14">
        <v>0.06</v>
      </c>
      <c r="J13" s="20">
        <f t="shared" si="1"/>
        <v>0.036</v>
      </c>
      <c r="K13" s="20">
        <f t="shared" si="2"/>
        <v>0.08926077434</v>
      </c>
      <c r="L13" s="20">
        <f t="shared" si="3"/>
        <v>0.8174044673</v>
      </c>
      <c r="M13" s="20">
        <f t="shared" si="4"/>
        <v>0.5261469901</v>
      </c>
      <c r="N13" s="20">
        <f t="shared" si="9"/>
        <v>62.81375299</v>
      </c>
      <c r="P13" s="14">
        <v>3.95</v>
      </c>
      <c r="Q13" s="20">
        <f t="shared" si="6"/>
        <v>2.165259126</v>
      </c>
      <c r="R13" s="20">
        <f t="shared" si="10"/>
        <v>41.02153493</v>
      </c>
      <c r="S13" s="20">
        <f t="shared" si="8"/>
        <v>-21.79221805</v>
      </c>
      <c r="U13" s="20">
        <f>IFERROR(__xludf.DUMMYFUNCTION("iferror(PERCENTRANK.INC(FILTER($Q$3:$Q$434, $P$3:$P$434&lt;3.75), $Q13), 1)"),1.0)</f>
        <v>1</v>
      </c>
      <c r="V13" s="20">
        <f>IFERROR(__xludf.DUMMYFUNCTION("iferror(PERCENTRANK.INC(FILTER($Q$3:$Q$434, $P$3:$P$434&lt;4.25), $Q13), 1)"),0.7)</f>
        <v>0.7</v>
      </c>
      <c r="W13" s="20">
        <f>IFERROR(__xludf.DUMMYFUNCTION("iferror(PERCENTRANK.INC(FILTER($Q$3:$Q$434, $P$3:$P$434&gt;=4.1), $Q13), 0)"),0.343)</f>
        <v>0.343</v>
      </c>
    </row>
    <row r="14" ht="14.25" customHeight="1">
      <c r="A14" s="14" t="s">
        <v>1438</v>
      </c>
      <c r="B14" s="14" t="s">
        <v>1402</v>
      </c>
      <c r="C14" s="14">
        <v>55.0</v>
      </c>
      <c r="D14" s="14" t="s">
        <v>1425</v>
      </c>
      <c r="E14" s="14" t="s">
        <v>117</v>
      </c>
      <c r="F14" s="20">
        <v>0.977</v>
      </c>
      <c r="G14" s="14">
        <v>0.0</v>
      </c>
      <c r="H14" s="14">
        <v>0.0</v>
      </c>
      <c r="I14" s="14">
        <v>0.0</v>
      </c>
      <c r="J14" s="20">
        <f t="shared" si="1"/>
        <v>0</v>
      </c>
      <c r="K14" s="20">
        <f t="shared" si="2"/>
        <v>-1.04650563</v>
      </c>
      <c r="L14" s="20">
        <f t="shared" si="3"/>
        <v>0.5472546702</v>
      </c>
      <c r="M14" s="20">
        <f t="shared" si="4"/>
        <v>-0.09024944995</v>
      </c>
      <c r="N14" s="20">
        <f t="shared" si="9"/>
        <v>46.2820531</v>
      </c>
      <c r="P14" s="14">
        <v>3.98</v>
      </c>
      <c r="Q14" s="20">
        <f t="shared" si="6"/>
        <v>1.785499245</v>
      </c>
      <c r="R14" s="20">
        <f t="shared" si="10"/>
        <v>26.0153262</v>
      </c>
      <c r="S14" s="20">
        <f t="shared" si="8"/>
        <v>-20.2667269</v>
      </c>
      <c r="U14" s="20">
        <f>IFERROR(__xludf.DUMMYFUNCTION("iferror(PERCENTRANK.INC(FILTER($Q$3:$Q$434, $P$3:$P$434&lt;3.75), $Q14), 1)"),0.677)</f>
        <v>0.677</v>
      </c>
      <c r="V14" s="20">
        <f>IFERROR(__xludf.DUMMYFUNCTION("iferror(PERCENTRANK.INC(FILTER($Q$3:$Q$434, $P$3:$P$434&lt;4.25), $Q14), 1)"),0.45)</f>
        <v>0.45</v>
      </c>
      <c r="W14" s="20">
        <f>IFERROR(__xludf.DUMMYFUNCTION("iferror(PERCENTRANK.INC(FILTER($Q$3:$Q$434, $P$3:$P$434&gt;=4.1), $Q14), 0)"),0.147)</f>
        <v>0.147</v>
      </c>
    </row>
    <row r="15" ht="14.25" customHeight="1">
      <c r="A15" s="16" t="s">
        <v>1439</v>
      </c>
      <c r="B15" s="16" t="s">
        <v>1350</v>
      </c>
      <c r="C15" s="16">
        <v>74.0</v>
      </c>
      <c r="D15" s="16" t="s">
        <v>1425</v>
      </c>
      <c r="E15" s="16" t="s">
        <v>1440</v>
      </c>
      <c r="F15" s="38">
        <v>1.0</v>
      </c>
      <c r="G15" s="16">
        <v>-0.2</v>
      </c>
      <c r="H15" s="16">
        <v>0.0</v>
      </c>
      <c r="I15" s="16">
        <v>-0.25</v>
      </c>
      <c r="J15" s="20">
        <f t="shared" si="1"/>
        <v>-0.15</v>
      </c>
      <c r="K15" s="20">
        <f t="shared" si="2"/>
        <v>1.856008515</v>
      </c>
      <c r="L15" s="20">
        <f t="shared" si="3"/>
        <v>-0.5783694843</v>
      </c>
      <c r="M15" s="20">
        <f t="shared" si="4"/>
        <v>0.3953817154</v>
      </c>
      <c r="N15" s="20">
        <f t="shared" si="9"/>
        <v>59.30663949</v>
      </c>
      <c r="P15" s="16">
        <v>3.98</v>
      </c>
      <c r="Q15" s="20">
        <f t="shared" si="6"/>
        <v>2.431128658</v>
      </c>
      <c r="R15" s="20">
        <f t="shared" si="10"/>
        <v>51.52736742</v>
      </c>
      <c r="S15" s="20">
        <f t="shared" si="8"/>
        <v>-7.77927207</v>
      </c>
      <c r="U15" s="20">
        <f>IFERROR(__xludf.DUMMYFUNCTION("iferror(PERCENTRANK.INC(FILTER($Q$3:$Q$434, $P$3:$P$434&lt;3.75), $Q15), 1)"),1.0)</f>
        <v>1</v>
      </c>
      <c r="V15" s="20">
        <f>IFERROR(__xludf.DUMMYFUNCTION("iferror(PERCENTRANK.INC(FILTER($Q$3:$Q$434, $P$3:$P$434&lt;4.25), $Q15), 1)"),1.0)</f>
        <v>1</v>
      </c>
      <c r="W15" s="20">
        <f>IFERROR(__xludf.DUMMYFUNCTION("iferror(PERCENTRANK.INC(FILTER($Q$3:$Q$434, $P$3:$P$434&gt;=4.1), $Q15), 0)"),0.647)</f>
        <v>0.647</v>
      </c>
    </row>
    <row r="16" ht="14.25" customHeight="1">
      <c r="A16" s="14" t="s">
        <v>1441</v>
      </c>
      <c r="B16" s="14" t="s">
        <v>1442</v>
      </c>
      <c r="C16" s="14">
        <v>74.0</v>
      </c>
      <c r="D16" s="14" t="s">
        <v>1425</v>
      </c>
      <c r="E16" s="14" t="s">
        <v>117</v>
      </c>
      <c r="F16" s="20">
        <v>1.0</v>
      </c>
      <c r="G16" s="14">
        <v>-0.17</v>
      </c>
      <c r="H16" s="14">
        <v>-0.36</v>
      </c>
      <c r="I16" s="14">
        <v>-0.13</v>
      </c>
      <c r="J16" s="20">
        <f t="shared" si="1"/>
        <v>-0.222</v>
      </c>
      <c r="K16" s="20">
        <f t="shared" si="2"/>
        <v>1.856008515</v>
      </c>
      <c r="L16" s="20">
        <f t="shared" si="3"/>
        <v>-1.118669078</v>
      </c>
      <c r="M16" s="20">
        <f t="shared" si="4"/>
        <v>0.07120195886</v>
      </c>
      <c r="N16" s="20">
        <f t="shared" si="9"/>
        <v>50.6121661</v>
      </c>
      <c r="P16" s="14">
        <v>4.02</v>
      </c>
      <c r="Q16" s="20">
        <f t="shared" si="6"/>
        <v>2.343068739</v>
      </c>
      <c r="R16" s="20">
        <f t="shared" si="10"/>
        <v>48.04768041</v>
      </c>
      <c r="S16" s="20">
        <f t="shared" si="8"/>
        <v>-2.564485691</v>
      </c>
      <c r="U16" s="20">
        <f>IFERROR(__xludf.DUMMYFUNCTION("iferror(PERCENTRANK.INC(FILTER($Q$3:$Q$434, $P$3:$P$434&lt;3.75), $Q16), 1)"),1.0)</f>
        <v>1</v>
      </c>
      <c r="V16" s="20">
        <f>IFERROR(__xludf.DUMMYFUNCTION("iferror(PERCENTRANK.INC(FILTER($Q$3:$Q$434, $P$3:$P$434&lt;4.25), $Q16), 1)"),0.85)</f>
        <v>0.85</v>
      </c>
      <c r="W16" s="20">
        <f>IFERROR(__xludf.DUMMYFUNCTION("iferror(PERCENTRANK.INC(FILTER($Q$3:$Q$434, $P$3:$P$434&gt;=4.1), $Q16), 0)"),0.514)</f>
        <v>0.514</v>
      </c>
    </row>
    <row r="17" ht="14.25" customHeight="1">
      <c r="A17" s="14" t="s">
        <v>1443</v>
      </c>
      <c r="B17" s="14" t="s">
        <v>1240</v>
      </c>
      <c r="C17" s="14">
        <v>68.0</v>
      </c>
      <c r="D17" s="14" t="s">
        <v>1425</v>
      </c>
      <c r="E17" s="14" t="s">
        <v>117</v>
      </c>
      <c r="F17" s="20">
        <v>0.99</v>
      </c>
      <c r="G17" s="14">
        <v>0.05</v>
      </c>
      <c r="H17" s="14">
        <v>-0.13</v>
      </c>
      <c r="I17" s="14">
        <v>0.1</v>
      </c>
      <c r="J17" s="20">
        <f t="shared" si="1"/>
        <v>0.008</v>
      </c>
      <c r="K17" s="20">
        <f t="shared" si="2"/>
        <v>0.5940458431</v>
      </c>
      <c r="L17" s="20">
        <f t="shared" si="3"/>
        <v>0.6072879585</v>
      </c>
      <c r="M17" s="20">
        <f t="shared" si="4"/>
        <v>0.6019911123</v>
      </c>
      <c r="N17" s="20">
        <f t="shared" si="9"/>
        <v>64.84788587</v>
      </c>
      <c r="P17" s="14">
        <v>4.14</v>
      </c>
      <c r="Q17" s="20">
        <f t="shared" si="6"/>
        <v>2.369671345</v>
      </c>
      <c r="R17" s="20">
        <f t="shared" si="10"/>
        <v>49.09888217</v>
      </c>
      <c r="S17" s="20">
        <f t="shared" si="8"/>
        <v>-15.7490037</v>
      </c>
      <c r="U17" s="20">
        <f>IFERROR(__xludf.DUMMYFUNCTION("iferror(PERCENTRANK.INC(FILTER($Q$3:$Q$434, $P$3:$P$434&lt;3.75), $Q17), 1)"),1.0)</f>
        <v>1</v>
      </c>
      <c r="V17" s="20">
        <f>IFERROR(__xludf.DUMMYFUNCTION("iferror(PERCENTRANK.INC(FILTER($Q$3:$Q$434, $P$3:$P$434&lt;4.25), $Q17), 1)"),0.9)</f>
        <v>0.9</v>
      </c>
      <c r="W17" s="20">
        <f>IFERROR(__xludf.DUMMYFUNCTION("iferror(PERCENTRANK.INC(FILTER($Q$3:$Q$434, $P$3:$P$434&gt;=4.1), $Q17), 0)"),0.538)</f>
        <v>0.538</v>
      </c>
    </row>
    <row r="18" ht="14.25" customHeight="1">
      <c r="A18" s="14" t="s">
        <v>1444</v>
      </c>
      <c r="B18" s="14" t="s">
        <v>1402</v>
      </c>
      <c r="C18" s="14">
        <v>69.0</v>
      </c>
      <c r="D18" s="14" t="s">
        <v>1425</v>
      </c>
      <c r="E18" s="14" t="s">
        <v>117</v>
      </c>
      <c r="F18" s="20">
        <v>0.986</v>
      </c>
      <c r="G18" s="14">
        <v>-0.13</v>
      </c>
      <c r="H18" s="14">
        <v>-0.6</v>
      </c>
      <c r="I18" s="14">
        <v>-0.11</v>
      </c>
      <c r="J18" s="20">
        <f t="shared" si="1"/>
        <v>-0.306</v>
      </c>
      <c r="K18" s="20">
        <f t="shared" si="2"/>
        <v>0.08926077434</v>
      </c>
      <c r="L18" s="20">
        <f t="shared" si="3"/>
        <v>-1.749018605</v>
      </c>
      <c r="M18" s="20">
        <f t="shared" si="4"/>
        <v>-1.013706853</v>
      </c>
      <c r="N18" s="20">
        <f t="shared" si="9"/>
        <v>21.5150044</v>
      </c>
      <c r="P18" s="16">
        <v>4.14</v>
      </c>
      <c r="Q18" s="20">
        <f t="shared" si="6"/>
        <v>1.746974511</v>
      </c>
      <c r="R18" s="20">
        <f t="shared" si="10"/>
        <v>24.49302165</v>
      </c>
      <c r="S18" s="20">
        <f t="shared" si="8"/>
        <v>2.978017246</v>
      </c>
      <c r="U18" s="20">
        <f>IFERROR(__xludf.DUMMYFUNCTION("iferror(PERCENTRANK.INC(FILTER($Q$3:$Q$434, $P$3:$P$434&lt;3.75), $Q18), 1)"),0.538)</f>
        <v>0.538</v>
      </c>
      <c r="V18" s="20">
        <f>IFERROR(__xludf.DUMMYFUNCTION("iferror(PERCENTRANK.INC(FILTER($Q$3:$Q$434, $P$3:$P$434&lt;4.25), $Q18), 1)"),0.3)</f>
        <v>0.3</v>
      </c>
      <c r="W18" s="20">
        <f>IFERROR(__xludf.DUMMYFUNCTION("iferror(PERCENTRANK.INC(FILTER($Q$3:$Q$434, $P$3:$P$434&gt;=4.1), $Q18), 0)"),0.115)</f>
        <v>0.115</v>
      </c>
    </row>
    <row r="19" ht="14.25" customHeight="1">
      <c r="A19" s="14" t="s">
        <v>1445</v>
      </c>
      <c r="B19" s="14" t="s">
        <v>1343</v>
      </c>
      <c r="C19" s="14">
        <v>69.0</v>
      </c>
      <c r="D19" s="14" t="s">
        <v>1425</v>
      </c>
      <c r="E19" s="14" t="s">
        <v>158</v>
      </c>
      <c r="F19" s="20">
        <v>0.986</v>
      </c>
      <c r="G19" s="14">
        <v>-0.02</v>
      </c>
      <c r="H19" s="14">
        <v>-0.06</v>
      </c>
      <c r="I19" s="14">
        <v>-0.01</v>
      </c>
      <c r="J19" s="20">
        <f t="shared" si="1"/>
        <v>-0.03</v>
      </c>
      <c r="K19" s="20">
        <f t="shared" si="2"/>
        <v>0.08926077434</v>
      </c>
      <c r="L19" s="20">
        <f t="shared" si="3"/>
        <v>0.3221298393</v>
      </c>
      <c r="M19" s="20">
        <f t="shared" si="4"/>
        <v>0.2289822133</v>
      </c>
      <c r="N19" s="20">
        <f t="shared" si="9"/>
        <v>54.84381905</v>
      </c>
      <c r="P19" s="14">
        <v>4.19</v>
      </c>
      <c r="Q19" s="20">
        <f t="shared" si="6"/>
        <v>2.1862042</v>
      </c>
      <c r="R19" s="20">
        <f t="shared" si="10"/>
        <v>41.84917939</v>
      </c>
      <c r="S19" s="20">
        <f t="shared" si="8"/>
        <v>-12.99463966</v>
      </c>
      <c r="U19" s="20">
        <f>IFERROR(__xludf.DUMMYFUNCTION("iferror(PERCENTRANK.INC(FILTER($Q$3:$Q$434, $P$3:$P$434&lt;3.75), $Q19), 1)"),1.0)</f>
        <v>1</v>
      </c>
      <c r="V19" s="20">
        <f>IFERROR(__xludf.DUMMYFUNCTION("iferror(PERCENTRANK.INC(FILTER($Q$3:$Q$434, $P$3:$P$434&lt;4.25), $Q19), 1)"),0.8)</f>
        <v>0.8</v>
      </c>
      <c r="W19" s="20">
        <f>IFERROR(__xludf.DUMMYFUNCTION("iferror(PERCENTRANK.INC(FILTER($Q$3:$Q$434, $P$3:$P$434&gt;=4.1), $Q19), 0)"),0.385)</f>
        <v>0.385</v>
      </c>
    </row>
    <row r="20" ht="14.25" customHeight="1">
      <c r="A20" s="14" t="s">
        <v>1446</v>
      </c>
      <c r="B20" s="14" t="s">
        <v>1252</v>
      </c>
      <c r="C20" s="14">
        <v>60.0</v>
      </c>
      <c r="D20" s="14" t="s">
        <v>1425</v>
      </c>
      <c r="E20" s="14" t="s">
        <v>144</v>
      </c>
      <c r="F20" s="20">
        <v>0.988</v>
      </c>
      <c r="G20" s="14">
        <v>-0.14</v>
      </c>
      <c r="H20" s="14">
        <v>0.0</v>
      </c>
      <c r="I20" s="14">
        <v>-0.14</v>
      </c>
      <c r="J20" s="20">
        <f t="shared" si="1"/>
        <v>-0.084</v>
      </c>
      <c r="K20" s="20">
        <f t="shared" si="2"/>
        <v>0.3416533087</v>
      </c>
      <c r="L20" s="20">
        <f t="shared" si="3"/>
        <v>-0.08309485629</v>
      </c>
      <c r="M20" s="20">
        <f t="shared" si="4"/>
        <v>0.08680440971</v>
      </c>
      <c r="N20" s="20">
        <f t="shared" si="9"/>
        <v>51.0306225</v>
      </c>
      <c r="P20" s="14">
        <v>4.19</v>
      </c>
      <c r="Q20" s="20">
        <f t="shared" si="6"/>
        <v>2.180877021</v>
      </c>
      <c r="R20" s="20">
        <f t="shared" si="10"/>
        <v>41.63867596</v>
      </c>
      <c r="S20" s="20">
        <f t="shared" si="8"/>
        <v>-9.391946542</v>
      </c>
      <c r="U20" s="20">
        <f>IFERROR(__xludf.DUMMYFUNCTION("iferror(PERCENTRANK.INC(FILTER($Q$3:$Q$434, $P$3:$P$434&lt;3.75), $Q20), 1)"),1.0)</f>
        <v>1</v>
      </c>
      <c r="V20" s="20">
        <f>IFERROR(__xludf.DUMMYFUNCTION("iferror(PERCENTRANK.INC(FILTER($Q$3:$Q$434, $P$3:$P$434&lt;4.25), $Q20), 1)"),0.75)</f>
        <v>0.75</v>
      </c>
      <c r="W20" s="20">
        <f>IFERROR(__xludf.DUMMYFUNCTION("iferror(PERCENTRANK.INC(FILTER($Q$3:$Q$434, $P$3:$P$434&gt;=4.1), $Q20), 0)"),0.346)</f>
        <v>0.346</v>
      </c>
    </row>
    <row r="21" ht="14.25" customHeight="1">
      <c r="A21" s="16" t="s">
        <v>1447</v>
      </c>
      <c r="B21" s="16" t="s">
        <v>1448</v>
      </c>
      <c r="C21" s="16">
        <v>76.0</v>
      </c>
      <c r="D21" s="16" t="s">
        <v>1330</v>
      </c>
      <c r="E21" s="16" t="s">
        <v>135</v>
      </c>
      <c r="F21" s="38">
        <v>0.971</v>
      </c>
      <c r="G21" s="16">
        <v>-0.19</v>
      </c>
      <c r="H21" s="16">
        <v>-0.55</v>
      </c>
      <c r="I21" s="16">
        <v>-0.16</v>
      </c>
      <c r="J21" s="20">
        <f t="shared" si="1"/>
        <v>-0.316</v>
      </c>
      <c r="K21" s="20">
        <f t="shared" si="2"/>
        <v>-1.803683233</v>
      </c>
      <c r="L21" s="20">
        <f t="shared" si="3"/>
        <v>-1.824060215</v>
      </c>
      <c r="M21" s="20">
        <f t="shared" si="4"/>
        <v>-1.815909422</v>
      </c>
      <c r="N21" s="20">
        <f t="shared" si="9"/>
        <v>0</v>
      </c>
      <c r="P21" s="14">
        <v>4.19</v>
      </c>
      <c r="Q21" s="20">
        <f t="shared" si="6"/>
        <v>1.189082987</v>
      </c>
      <c r="R21" s="20">
        <f t="shared" si="10"/>
        <v>2.447942406</v>
      </c>
      <c r="S21" s="20">
        <f t="shared" si="8"/>
        <v>2.447942406</v>
      </c>
      <c r="U21" s="20">
        <f>IFERROR(__xludf.DUMMYFUNCTION("iferror(PERCENTRANK.INC(FILTER($Q$3:$Q$434, $P$3:$P$434&lt;3.75), $Q21), 1)"),0.031)</f>
        <v>0.031</v>
      </c>
      <c r="V21" s="20">
        <f>IFERROR(__xludf.DUMMYFUNCTION("iferror(PERCENTRANK.INC(FILTER($Q$3:$Q$434, $P$3:$P$434&lt;4.25), $Q21), 1)"),0.05)</f>
        <v>0.05</v>
      </c>
      <c r="W21" s="20">
        <f>IFERROR(__xludf.DUMMYFUNCTION("iferror(PERCENTRANK.INC(FILTER($Q$3:$Q$434, $P$3:$P$434&gt;=4.1), $Q21), 0)"),0.0)</f>
        <v>0</v>
      </c>
    </row>
    <row r="22" ht="14.25" customHeight="1">
      <c r="A22" s="14" t="s">
        <v>1449</v>
      </c>
      <c r="B22" s="14" t="s">
        <v>1450</v>
      </c>
      <c r="C22" s="14">
        <v>57.0</v>
      </c>
      <c r="D22" s="14" t="s">
        <v>1425</v>
      </c>
      <c r="E22" s="14" t="s">
        <v>132</v>
      </c>
      <c r="F22" s="20">
        <v>0.983</v>
      </c>
      <c r="G22" s="14">
        <v>-0.13</v>
      </c>
      <c r="H22" s="14">
        <v>0.0</v>
      </c>
      <c r="I22" s="14">
        <v>-0.13</v>
      </c>
      <c r="J22" s="20">
        <f t="shared" si="1"/>
        <v>-0.078</v>
      </c>
      <c r="K22" s="20">
        <f t="shared" si="2"/>
        <v>-0.2893280272</v>
      </c>
      <c r="L22" s="20">
        <f t="shared" si="3"/>
        <v>-0.0380698901</v>
      </c>
      <c r="M22" s="20">
        <f t="shared" si="4"/>
        <v>-0.1385731449</v>
      </c>
      <c r="N22" s="20">
        <f t="shared" si="9"/>
        <v>44.98601573</v>
      </c>
      <c r="P22" s="14">
        <v>4.19</v>
      </c>
      <c r="Q22" s="20">
        <f t="shared" si="6"/>
        <v>2.000587614</v>
      </c>
      <c r="R22" s="20">
        <f t="shared" si="10"/>
        <v>34.51454142</v>
      </c>
      <c r="S22" s="20">
        <f t="shared" si="8"/>
        <v>-10.47147431</v>
      </c>
      <c r="U22" s="20">
        <f>IFERROR(__xludf.DUMMYFUNCTION("iferror(PERCENTRANK.INC(FILTER($Q$3:$Q$434, $P$3:$P$434&lt;3.75), $Q22), 1)"),0.936)</f>
        <v>0.936</v>
      </c>
      <c r="V22" s="20">
        <f>IFERROR(__xludf.DUMMYFUNCTION("iferror(PERCENTRANK.INC(FILTER($Q$3:$Q$434, $P$3:$P$434&lt;4.25), $Q22), 1)"),0.6)</f>
        <v>0.6</v>
      </c>
      <c r="W22" s="20">
        <f>IFERROR(__xludf.DUMMYFUNCTION("iferror(PERCENTRANK.INC(FILTER($Q$3:$Q$434, $P$3:$P$434&gt;=4.1), $Q22), 0)"),0.308)</f>
        <v>0.308</v>
      </c>
    </row>
    <row r="23" ht="14.25" customHeight="1">
      <c r="A23" s="14" t="s">
        <v>1451</v>
      </c>
      <c r="B23" s="14" t="s">
        <v>1442</v>
      </c>
      <c r="C23" s="14">
        <v>51.0</v>
      </c>
      <c r="D23" s="14" t="s">
        <v>1425</v>
      </c>
      <c r="E23" s="14" t="s">
        <v>117</v>
      </c>
      <c r="F23" s="20">
        <v>0.995</v>
      </c>
      <c r="G23" s="14">
        <v>-0.21</v>
      </c>
      <c r="H23" s="14">
        <v>0.0</v>
      </c>
      <c r="I23" s="14">
        <v>-0.21</v>
      </c>
      <c r="J23" s="20">
        <f t="shared" si="1"/>
        <v>-0.126</v>
      </c>
      <c r="K23" s="20">
        <f t="shared" si="2"/>
        <v>1.225027179</v>
      </c>
      <c r="L23" s="20">
        <f t="shared" si="3"/>
        <v>-0.3982696196</v>
      </c>
      <c r="M23" s="20">
        <f t="shared" si="4"/>
        <v>0.2510490998</v>
      </c>
      <c r="N23" s="20">
        <f t="shared" si="9"/>
        <v>55.43565106</v>
      </c>
      <c r="P23" s="14">
        <v>4.24</v>
      </c>
      <c r="Q23" s="20">
        <f t="shared" si="6"/>
        <v>2.40785423</v>
      </c>
      <c r="R23" s="20">
        <f t="shared" si="10"/>
        <v>50.60767858</v>
      </c>
      <c r="S23" s="20">
        <f t="shared" si="8"/>
        <v>-4.827972481</v>
      </c>
      <c r="U23" s="20">
        <f>IFERROR(__xludf.DUMMYFUNCTION("iferror(PERCENTRANK.INC(FILTER($Q$3:$Q$434, $P$3:$P$434&lt;3.75), $Q23), 1)"),1.0)</f>
        <v>1</v>
      </c>
      <c r="V23" s="20">
        <f>IFERROR(__xludf.DUMMYFUNCTION("iferror(PERCENTRANK.INC(FILTER($Q$3:$Q$434, $P$3:$P$434&lt;4.25), $Q23), 1)"),0.95)</f>
        <v>0.95</v>
      </c>
      <c r="W23" s="20">
        <f>IFERROR(__xludf.DUMMYFUNCTION("iferror(PERCENTRANK.INC(FILTER($Q$3:$Q$434, $P$3:$P$434&gt;=4.1), $Q23), 0)"),0.615)</f>
        <v>0.615</v>
      </c>
    </row>
    <row r="24" ht="14.25" customHeight="1">
      <c r="A24" s="16" t="s">
        <v>1452</v>
      </c>
      <c r="B24" s="16" t="s">
        <v>1453</v>
      </c>
      <c r="C24" s="16">
        <v>58.0</v>
      </c>
      <c r="D24" s="16" t="s">
        <v>1425</v>
      </c>
      <c r="E24" s="16" t="s">
        <v>1248</v>
      </c>
      <c r="F24" s="38">
        <v>0.979</v>
      </c>
      <c r="G24" s="16">
        <v>-0.05</v>
      </c>
      <c r="H24" s="16">
        <v>-0.08</v>
      </c>
      <c r="I24" s="16">
        <v>-0.03</v>
      </c>
      <c r="J24" s="55">
        <f t="shared" si="1"/>
        <v>-0.05</v>
      </c>
      <c r="K24" s="55">
        <f t="shared" si="2"/>
        <v>-0.7941130959</v>
      </c>
      <c r="L24" s="55">
        <f t="shared" si="3"/>
        <v>0.1720466187</v>
      </c>
      <c r="M24" s="55">
        <f t="shared" si="4"/>
        <v>-0.2144172671</v>
      </c>
      <c r="N24" s="55">
        <f>100*(M24-MIN($M$3:$M$89))/(MAX($M$3:$M$89) - MIN($M$3:$M$89))</f>
        <v>42.95188285</v>
      </c>
      <c r="O24" s="52"/>
      <c r="P24" s="57">
        <v>4.27</v>
      </c>
      <c r="Q24" s="55">
        <f t="shared" si="6"/>
        <v>1.931175395</v>
      </c>
      <c r="R24" s="55">
        <f>100*(Q24-MIN($Q$3:$Q$482))/(MAX($Q$3:$Q$482) - MIN($Q$3:$Q$482))</f>
        <v>31.77171813</v>
      </c>
      <c r="S24" s="55">
        <f t="shared" si="8"/>
        <v>-11.18016471</v>
      </c>
      <c r="T24" s="52"/>
      <c r="U24" s="55">
        <f>IFERROR(__xludf.DUMMYFUNCTION("iferror(PERCENTRANK.INC(FILTER($Q$3:$Q$434, $P$3:$P$434&lt;3.75), $Q24), 1)"),0.905)</f>
        <v>0.905</v>
      </c>
      <c r="V24" s="55">
        <f>IFERROR(__xludf.DUMMYFUNCTION("iferror(PERCENTRANK.INC(FILTER($Q$3:$Q$434, $P$3:$P$434&lt;4.25), $Q24), 1)"),0.567)</f>
        <v>0.567</v>
      </c>
      <c r="W24" s="55">
        <f>IFERROR(__xludf.DUMMYFUNCTION("iferror(PERCENTRANK.INC(FILTER($Q$3:$Q$434, $P$3:$P$434&gt;=4.1), $Q24), 0)"),0.231)</f>
        <v>0.231</v>
      </c>
    </row>
    <row r="25" ht="14.25" customHeight="1">
      <c r="A25" s="14" t="s">
        <v>1454</v>
      </c>
      <c r="B25" s="14" t="s">
        <v>585</v>
      </c>
      <c r="C25" s="14">
        <v>69.0</v>
      </c>
      <c r="D25" s="14" t="s">
        <v>1425</v>
      </c>
      <c r="E25" s="14" t="s">
        <v>144</v>
      </c>
      <c r="F25" s="20">
        <v>0.9940000000000001</v>
      </c>
      <c r="G25" s="14">
        <v>-0.29</v>
      </c>
      <c r="H25" s="14">
        <v>0.08</v>
      </c>
      <c r="I25" s="14">
        <v>-0.35</v>
      </c>
      <c r="J25" s="20">
        <f t="shared" si="1"/>
        <v>-0.178</v>
      </c>
      <c r="K25" s="20">
        <f t="shared" si="2"/>
        <v>1.098830912</v>
      </c>
      <c r="L25" s="20">
        <f t="shared" si="3"/>
        <v>-0.7884859931</v>
      </c>
      <c r="M25" s="20">
        <f t="shared" si="4"/>
        <v>-0.03355923117</v>
      </c>
      <c r="N25" s="20">
        <f t="shared" ref="N25:N26" si="11">100*(M25-MIN($M$3:$M$89))/(MAX($M$3:$M$89) - MIN($M$3:$M$89))</f>
        <v>47.80247993</v>
      </c>
      <c r="P25" s="14">
        <v>4.3</v>
      </c>
      <c r="Q25" s="20">
        <f t="shared" si="6"/>
        <v>2.321952075</v>
      </c>
      <c r="R25" s="20">
        <f>100*(Q25-MIN($Q$3:$Q$482))/(MAX($Q$3:$Q$482) - MIN($Q$3:$Q$482))</f>
        <v>47.2132556</v>
      </c>
      <c r="S25" s="20">
        <f t="shared" si="8"/>
        <v>-0.5892243284</v>
      </c>
      <c r="U25" s="20">
        <f>IFERROR(__xludf.DUMMYFUNCTION("iferror(PERCENTRANK.INC(FILTER($Q$3:$Q$434, $P$3:$P$434&lt;3.75), $Q25), 1)"),1.0)</f>
        <v>1</v>
      </c>
      <c r="V25" s="20">
        <f>IFERROR(__xludf.DUMMYFUNCTION("iferror(PERCENTRANK.INC(FILTER($Q$3:$Q$434, $P$3:$P$434&lt;4.25), $Q25), 1)"),0.843)</f>
        <v>0.843</v>
      </c>
      <c r="W25" s="20">
        <f>IFERROR(__xludf.DUMMYFUNCTION("iferror(PERCENTRANK.INC(FILTER($Q$3:$Q$434, $P$3:$P$434&gt;=4.1), $Q25), 0)"),0.462)</f>
        <v>0.462</v>
      </c>
    </row>
    <row r="26" ht="14.25" customHeight="1">
      <c r="A26" s="14" t="s">
        <v>1455</v>
      </c>
      <c r="B26" s="14" t="s">
        <v>1283</v>
      </c>
      <c r="C26" s="14">
        <v>65.0</v>
      </c>
      <c r="D26" s="14" t="s">
        <v>1425</v>
      </c>
      <c r="E26" s="14" t="s">
        <v>147</v>
      </c>
      <c r="F26" s="20">
        <v>0.981</v>
      </c>
      <c r="G26" s="14">
        <v>0.03</v>
      </c>
      <c r="H26" s="14">
        <v>1.0</v>
      </c>
      <c r="I26" s="14">
        <v>0.0</v>
      </c>
      <c r="J26" s="20">
        <f t="shared" si="1"/>
        <v>0.4</v>
      </c>
      <c r="K26" s="20">
        <f t="shared" si="2"/>
        <v>-0.5417205615</v>
      </c>
      <c r="L26" s="20">
        <f t="shared" si="3"/>
        <v>3.548919082</v>
      </c>
      <c r="M26" s="20">
        <f t="shared" si="4"/>
        <v>1.912663225</v>
      </c>
      <c r="N26" s="20">
        <f t="shared" si="11"/>
        <v>100</v>
      </c>
      <c r="P26" s="14">
        <v>4.35</v>
      </c>
      <c r="Q26" s="20">
        <f t="shared" si="6"/>
        <v>2.722267648</v>
      </c>
      <c r="R26" s="20">
        <f>100*(Q26-MIN($Q$3:$Q$83))/(MAX($Q$3:$Q$83) - MIN($Q$3:$Q$83))</f>
        <v>63.03172236</v>
      </c>
      <c r="S26" s="20">
        <f t="shared" si="8"/>
        <v>-36.96827764</v>
      </c>
      <c r="U26" s="20">
        <f>IFERROR(__xludf.DUMMYFUNCTION("iferror(PERCENTRANK.INC(FILTER($Q$3:$Q$434, $P$3:$P$434&lt;3.75), $Q26), 1)"),1.0)</f>
        <v>1</v>
      </c>
      <c r="V26" s="20">
        <f>IFERROR(__xludf.DUMMYFUNCTION("iferror(PERCENTRANK.INC(FILTER($Q$3:$Q$434, $P$3:$P$434&lt;4.25), $Q26), 1)"),1.0)</f>
        <v>1</v>
      </c>
      <c r="W26" s="20">
        <f>IFERROR(__xludf.DUMMYFUNCTION("iferror(PERCENTRANK.INC(FILTER($Q$3:$Q$434, $P$3:$P$434&gt;=4.1), $Q26), 0)"),0.808)</f>
        <v>0.808</v>
      </c>
    </row>
    <row r="27" ht="14.25" customHeight="1">
      <c r="A27" s="16" t="s">
        <v>1456</v>
      </c>
      <c r="B27" s="16" t="s">
        <v>1457</v>
      </c>
      <c r="C27" s="16">
        <v>72.0</v>
      </c>
      <c r="D27" s="16" t="s">
        <v>1425</v>
      </c>
      <c r="E27" s="16" t="s">
        <v>243</v>
      </c>
      <c r="F27" s="38">
        <v>0.969</v>
      </c>
      <c r="G27" s="16">
        <v>-0.06</v>
      </c>
      <c r="H27" s="16">
        <v>-0.27</v>
      </c>
      <c r="I27" s="16">
        <v>0.07</v>
      </c>
      <c r="J27" s="55">
        <f t="shared" si="1"/>
        <v>-0.066</v>
      </c>
      <c r="K27" s="55">
        <f t="shared" si="2"/>
        <v>-2.056075768</v>
      </c>
      <c r="L27" s="55">
        <f t="shared" si="3"/>
        <v>0.05198004226</v>
      </c>
      <c r="M27" s="55">
        <f t="shared" si="4"/>
        <v>-0.7912422817</v>
      </c>
      <c r="N27" s="55">
        <f>100*(M27-MIN($M$3:$M$89))/(MAX($M$3:$M$89) - MIN($M$3:$M$89))</f>
        <v>27.48148521</v>
      </c>
      <c r="O27" s="52"/>
      <c r="P27" s="57">
        <v>4.35</v>
      </c>
      <c r="Q27" s="55">
        <f t="shared" si="6"/>
        <v>1.568573278</v>
      </c>
      <c r="R27" s="55">
        <f>100*(Q27-MIN($Q$3:$Q$482))/(MAX($Q$3:$Q$482) - MIN($Q$3:$Q$482))</f>
        <v>17.44349831</v>
      </c>
      <c r="S27" s="55">
        <f t="shared" si="8"/>
        <v>-10.03798691</v>
      </c>
      <c r="T27" s="52"/>
      <c r="U27" s="55">
        <f>IFERROR(__xludf.DUMMYFUNCTION("iferror(PERCENTRANK.INC(FILTER($Q$3:$Q$434, $P$3:$P$434&lt;3.75), $Q27), 1)"),0.309)</f>
        <v>0.309</v>
      </c>
      <c r="V27" s="55">
        <f>IFERROR(__xludf.DUMMYFUNCTION("iferror(PERCENTRANK.INC(FILTER($Q$3:$Q$434, $P$3:$P$434&lt;4.25), $Q27), 1)"),0.189)</f>
        <v>0.189</v>
      </c>
      <c r="W27" s="55">
        <f>IFERROR(__xludf.DUMMYFUNCTION("iferror(PERCENTRANK.INC(FILTER($Q$3:$Q$434, $P$3:$P$434&gt;=4.1), $Q27), 0)"),0.038)</f>
        <v>0.038</v>
      </c>
    </row>
    <row r="28" ht="14.25" customHeight="1">
      <c r="A28" s="14" t="s">
        <v>1458</v>
      </c>
      <c r="B28" s="14" t="s">
        <v>1459</v>
      </c>
      <c r="C28" s="14">
        <v>75.0</v>
      </c>
      <c r="D28" s="14" t="s">
        <v>1425</v>
      </c>
      <c r="E28" s="14" t="s">
        <v>144</v>
      </c>
      <c r="F28" s="20">
        <v>0.996</v>
      </c>
      <c r="G28" s="14">
        <v>-0.05</v>
      </c>
      <c r="H28" s="14">
        <v>0.0</v>
      </c>
      <c r="I28" s="14">
        <v>-0.05</v>
      </c>
      <c r="J28" s="20">
        <f t="shared" si="1"/>
        <v>-0.03</v>
      </c>
      <c r="K28" s="20">
        <f t="shared" si="2"/>
        <v>1.351223446</v>
      </c>
      <c r="L28" s="20">
        <f t="shared" si="3"/>
        <v>0.3221298393</v>
      </c>
      <c r="M28" s="20">
        <f t="shared" si="4"/>
        <v>0.7337672821</v>
      </c>
      <c r="N28" s="20">
        <f t="shared" ref="N28:N37" si="12">100*(M28-MIN($M$3:$M$89))/(MAX($M$3:$M$89) - MIN($M$3:$M$89))</f>
        <v>68.38211149</v>
      </c>
      <c r="P28" s="14">
        <v>4.45</v>
      </c>
      <c r="Q28" s="20">
        <f t="shared" si="6"/>
        <v>2.694793002</v>
      </c>
      <c r="R28" s="20">
        <f t="shared" ref="R28:R42" si="13">100*(Q28-MIN($Q$3:$Q$482))/(MAX($Q$3:$Q$482) - MIN($Q$3:$Q$482))</f>
        <v>61.94606192</v>
      </c>
      <c r="S28" s="20">
        <f t="shared" si="8"/>
        <v>-6.436049567</v>
      </c>
      <c r="U28" s="20">
        <f>IFERROR(__xludf.DUMMYFUNCTION("iferror(PERCENTRANK.INC(FILTER($Q$3:$Q$434, $P$3:$P$434&lt;3.75), $Q28), 1)"),1.0)</f>
        <v>1</v>
      </c>
      <c r="V28" s="20">
        <f>IFERROR(__xludf.DUMMYFUNCTION("iferror(PERCENTRANK.INC(FILTER($Q$3:$Q$434, $P$3:$P$434&lt;4.25), $Q28), 1)"),1.0)</f>
        <v>1</v>
      </c>
      <c r="W28" s="20">
        <f>IFERROR(__xludf.DUMMYFUNCTION("iferror(PERCENTRANK.INC(FILTER($Q$3:$Q$434, $P$3:$P$434&gt;=4.1), $Q28), 0)"),0.769)</f>
        <v>0.769</v>
      </c>
    </row>
    <row r="29" ht="14.25" customHeight="1">
      <c r="A29" s="14" t="s">
        <v>1460</v>
      </c>
      <c r="B29" s="14" t="s">
        <v>1394</v>
      </c>
      <c r="C29" s="14">
        <v>62.0</v>
      </c>
      <c r="D29" s="14" t="s">
        <v>1425</v>
      </c>
      <c r="E29" s="14" t="s">
        <v>144</v>
      </c>
      <c r="F29" s="20">
        <v>0.988</v>
      </c>
      <c r="G29" s="14">
        <v>-0.04</v>
      </c>
      <c r="H29" s="14">
        <v>-0.38</v>
      </c>
      <c r="I29" s="14">
        <v>0.03</v>
      </c>
      <c r="J29" s="20">
        <f t="shared" si="1"/>
        <v>-0.134</v>
      </c>
      <c r="K29" s="20">
        <f t="shared" si="2"/>
        <v>0.3416533087</v>
      </c>
      <c r="L29" s="20">
        <f t="shared" si="3"/>
        <v>-0.4583029078</v>
      </c>
      <c r="M29" s="20">
        <f t="shared" si="4"/>
        <v>-0.1383204212</v>
      </c>
      <c r="N29" s="20">
        <f t="shared" si="12"/>
        <v>44.99279376</v>
      </c>
      <c r="P29" s="14">
        <v>4.45</v>
      </c>
      <c r="Q29" s="20">
        <f t="shared" si="6"/>
        <v>2.235835411</v>
      </c>
      <c r="R29" s="20">
        <f t="shared" si="13"/>
        <v>43.8103563</v>
      </c>
      <c r="S29" s="20">
        <f t="shared" si="8"/>
        <v>-1.18243746</v>
      </c>
      <c r="U29" s="20">
        <f>IFERROR(__xludf.DUMMYFUNCTION("iferror(PERCENTRANK.INC(FILTER($Q$3:$Q$434, $P$3:$P$434&lt;3.75), $Q29), 1)"),1.0)</f>
        <v>1</v>
      </c>
      <c r="V29" s="20">
        <f>IFERROR(__xludf.DUMMYFUNCTION("iferror(PERCENTRANK.INC(FILTER($Q$3:$Q$434, $P$3:$P$434&lt;4.25), $Q29), 1)"),0.816)</f>
        <v>0.816</v>
      </c>
      <c r="W29" s="20">
        <f>IFERROR(__xludf.DUMMYFUNCTION("iferror(PERCENTRANK.INC(FILTER($Q$3:$Q$434, $P$3:$P$434&gt;=4.1), $Q29), 0)"),0.423)</f>
        <v>0.423</v>
      </c>
    </row>
    <row r="30" ht="14.25" customHeight="1">
      <c r="A30" s="16" t="s">
        <v>1461</v>
      </c>
      <c r="B30" s="14" t="s">
        <v>1355</v>
      </c>
      <c r="C30" s="16">
        <v>56.0</v>
      </c>
      <c r="D30" s="14" t="s">
        <v>1425</v>
      </c>
      <c r="E30" s="14" t="s">
        <v>147</v>
      </c>
      <c r="F30" s="38">
        <v>0.977</v>
      </c>
      <c r="G30" s="16">
        <v>-0.22</v>
      </c>
      <c r="H30" s="16">
        <v>-0.29</v>
      </c>
      <c r="I30" s="16">
        <v>-0.08</v>
      </c>
      <c r="J30" s="20">
        <f t="shared" si="1"/>
        <v>-0.164</v>
      </c>
      <c r="K30" s="20">
        <f t="shared" si="2"/>
        <v>-1.04650563</v>
      </c>
      <c r="L30" s="20">
        <f t="shared" si="3"/>
        <v>-0.6834277387</v>
      </c>
      <c r="M30" s="20">
        <f t="shared" si="4"/>
        <v>-0.8286588953</v>
      </c>
      <c r="N30" s="20">
        <f t="shared" si="12"/>
        <v>26.47797483</v>
      </c>
      <c r="P30" s="16">
        <v>4.49</v>
      </c>
      <c r="Q30" s="20">
        <f t="shared" si="6"/>
        <v>1.794362763</v>
      </c>
      <c r="R30" s="20">
        <f t="shared" si="13"/>
        <v>26.36556805</v>
      </c>
      <c r="S30" s="20">
        <f t="shared" si="8"/>
        <v>-0.1124067798</v>
      </c>
      <c r="U30" s="20">
        <f>IFERROR(__xludf.DUMMYFUNCTION("iferror(PERCENTRANK.INC(FILTER($Q$3:$Q$434, $P$3:$P$434&lt;3.75), $Q30), 1)"),0.686)</f>
        <v>0.686</v>
      </c>
      <c r="V30" s="20">
        <f>IFERROR(__xludf.DUMMYFUNCTION("iferror(PERCENTRANK.INC(FILTER($Q$3:$Q$434, $P$3:$P$434&lt;4.25), $Q30), 1)"),0.454)</f>
        <v>0.454</v>
      </c>
      <c r="W30" s="20">
        <f>IFERROR(__xludf.DUMMYFUNCTION("iferror(PERCENTRANK.INC(FILTER($Q$3:$Q$434, $P$3:$P$434&gt;=4.1), $Q30), 0)"),0.154)</f>
        <v>0.154</v>
      </c>
    </row>
    <row r="31" ht="14.25" customHeight="1">
      <c r="A31" s="14" t="s">
        <v>1462</v>
      </c>
      <c r="B31" s="14" t="s">
        <v>1463</v>
      </c>
      <c r="C31" s="14">
        <v>55.0</v>
      </c>
      <c r="D31" s="14" t="s">
        <v>1425</v>
      </c>
      <c r="E31" s="14" t="s">
        <v>117</v>
      </c>
      <c r="F31" s="20">
        <v>0.978</v>
      </c>
      <c r="G31" s="14">
        <v>-0.16</v>
      </c>
      <c r="H31" s="14">
        <v>-0.06</v>
      </c>
      <c r="I31" s="14">
        <v>-0.17</v>
      </c>
      <c r="J31" s="20">
        <f t="shared" si="1"/>
        <v>-0.126</v>
      </c>
      <c r="K31" s="20">
        <f t="shared" si="2"/>
        <v>-0.9203093631</v>
      </c>
      <c r="L31" s="20">
        <f t="shared" si="3"/>
        <v>-0.3982696196</v>
      </c>
      <c r="M31" s="20">
        <f t="shared" si="4"/>
        <v>-0.607085517</v>
      </c>
      <c r="N31" s="20">
        <f t="shared" si="12"/>
        <v>32.42055392</v>
      </c>
      <c r="P31" s="16">
        <v>4.56</v>
      </c>
      <c r="Q31" s="20">
        <f t="shared" si="6"/>
        <v>1.924253267</v>
      </c>
      <c r="R31" s="20">
        <f t="shared" si="13"/>
        <v>31.49819031</v>
      </c>
      <c r="S31" s="20">
        <f t="shared" si="8"/>
        <v>-0.9223636122</v>
      </c>
      <c r="U31" s="20">
        <f>IFERROR(__xludf.DUMMYFUNCTION("iferror(PERCENTRANK.INC(FILTER($Q$3:$Q$434, $P$3:$P$434&lt;3.75), $Q31), 1)"),0.902)</f>
        <v>0.902</v>
      </c>
      <c r="V31" s="20">
        <f>IFERROR(__xludf.DUMMYFUNCTION("iferror(PERCENTRANK.INC(FILTER($Q$3:$Q$434, $P$3:$P$434&lt;4.25), $Q31), 1)"),0.564)</f>
        <v>0.564</v>
      </c>
      <c r="W31" s="20">
        <f>IFERROR(__xludf.DUMMYFUNCTION("iferror(PERCENTRANK.INC(FILTER($Q$3:$Q$434, $P$3:$P$434&gt;=4.1), $Q31), 0)"),0.192)</f>
        <v>0.192</v>
      </c>
    </row>
    <row r="32" ht="14.25" customHeight="1">
      <c r="A32" s="16" t="s">
        <v>1464</v>
      </c>
      <c r="B32" s="16" t="s">
        <v>1465</v>
      </c>
      <c r="C32" s="16">
        <v>79.0</v>
      </c>
      <c r="D32" s="16" t="s">
        <v>1425</v>
      </c>
      <c r="E32" s="16" t="s">
        <v>182</v>
      </c>
      <c r="F32" s="38">
        <v>0.976</v>
      </c>
      <c r="G32" s="16">
        <v>-0.23</v>
      </c>
      <c r="H32" s="16">
        <v>-0.22</v>
      </c>
      <c r="I32" s="16">
        <v>-0.23</v>
      </c>
      <c r="J32" s="20">
        <f t="shared" si="1"/>
        <v>-0.226</v>
      </c>
      <c r="K32" s="20">
        <f t="shared" si="2"/>
        <v>-1.172701897</v>
      </c>
      <c r="L32" s="20">
        <f t="shared" si="3"/>
        <v>-1.148685723</v>
      </c>
      <c r="M32" s="20">
        <f t="shared" si="4"/>
        <v>-1.158292193</v>
      </c>
      <c r="N32" s="20">
        <f t="shared" si="12"/>
        <v>17.63723795</v>
      </c>
      <c r="P32" s="16">
        <v>4.56</v>
      </c>
      <c r="Q32" s="20">
        <f t="shared" si="6"/>
        <v>1.698452286</v>
      </c>
      <c r="R32" s="20">
        <f t="shared" si="13"/>
        <v>22.5756663</v>
      </c>
      <c r="S32" s="20">
        <f t="shared" si="8"/>
        <v>4.938428353</v>
      </c>
      <c r="U32" s="20">
        <f>IFERROR(__xludf.DUMMYFUNCTION("iferror(PERCENTRANK.INC(FILTER($Q$3:$Q$434, $P$3:$P$434&lt;3.75), $Q32), 1)"),0.413)</f>
        <v>0.413</v>
      </c>
      <c r="V32" s="20">
        <f>IFERROR(__xludf.DUMMYFUNCTION("iferror(PERCENTRANK.INC(FILTER($Q$3:$Q$434, $P$3:$P$434&lt;4.25), $Q32), 1)"),0.236)</f>
        <v>0.236</v>
      </c>
      <c r="W32" s="20">
        <f>IFERROR(__xludf.DUMMYFUNCTION("iferror(PERCENTRANK.INC(FILTER($Q$3:$Q$434, $P$3:$P$434&gt;=4.1), $Q32), 0)"),0.077)</f>
        <v>0.077</v>
      </c>
    </row>
    <row r="33" ht="14.25" customHeight="1">
      <c r="A33" s="14" t="s">
        <v>1466</v>
      </c>
      <c r="B33" s="14" t="s">
        <v>1386</v>
      </c>
      <c r="C33" s="14">
        <v>75.0</v>
      </c>
      <c r="D33" s="14" t="s">
        <v>1425</v>
      </c>
      <c r="E33" s="14" t="s">
        <v>117</v>
      </c>
      <c r="F33" s="20">
        <v>0.992</v>
      </c>
      <c r="G33" s="14">
        <v>-0.07</v>
      </c>
      <c r="H33" s="14">
        <v>0.06</v>
      </c>
      <c r="I33" s="14">
        <v>-0.14</v>
      </c>
      <c r="J33" s="20">
        <f t="shared" si="1"/>
        <v>-0.06</v>
      </c>
      <c r="K33" s="20">
        <f t="shared" si="2"/>
        <v>0.8464383774</v>
      </c>
      <c r="L33" s="20">
        <f t="shared" si="3"/>
        <v>0.09700500844</v>
      </c>
      <c r="M33" s="20">
        <f t="shared" si="4"/>
        <v>0.396778356</v>
      </c>
      <c r="N33" s="20">
        <f t="shared" si="12"/>
        <v>59.34409727</v>
      </c>
      <c r="P33" s="14">
        <v>4.66</v>
      </c>
      <c r="Q33" s="20">
        <f t="shared" si="6"/>
        <v>2.603332515</v>
      </c>
      <c r="R33" s="20">
        <f t="shared" si="13"/>
        <v>58.3320015</v>
      </c>
      <c r="S33" s="20">
        <f t="shared" si="8"/>
        <v>-1.012095771</v>
      </c>
      <c r="U33" s="20">
        <f>IFERROR(__xludf.DUMMYFUNCTION("iferror(PERCENTRANK.INC(FILTER($Q$3:$Q$434, $P$3:$P$434&lt;3.75), $Q33), 1)"),1.0)</f>
        <v>1</v>
      </c>
      <c r="V33" s="20">
        <f>IFERROR(__xludf.DUMMYFUNCTION("iferror(PERCENTRANK.INC(FILTER($Q$3:$Q$434, $P$3:$P$434&lt;4.25), $Q33), 1)"),1.0)</f>
        <v>1</v>
      </c>
      <c r="W33" s="20">
        <f>IFERROR(__xludf.DUMMYFUNCTION("iferror(PERCENTRANK.INC(FILTER($Q$3:$Q$434, $P$3:$P$434&gt;=4.1), $Q33), 0)"),0.692)</f>
        <v>0.692</v>
      </c>
    </row>
    <row r="34" ht="14.25" customHeight="1">
      <c r="A34" s="14" t="s">
        <v>1467</v>
      </c>
      <c r="B34" s="14" t="s">
        <v>1468</v>
      </c>
      <c r="C34" s="14">
        <v>52.0</v>
      </c>
      <c r="D34" s="14" t="s">
        <v>1425</v>
      </c>
      <c r="E34" s="14" t="s">
        <v>117</v>
      </c>
      <c r="F34" s="20">
        <v>0.985</v>
      </c>
      <c r="G34" s="14">
        <v>-0.02</v>
      </c>
      <c r="H34" s="14">
        <v>-0.23</v>
      </c>
      <c r="I34" s="14">
        <v>0.02</v>
      </c>
      <c r="J34" s="20">
        <f t="shared" si="1"/>
        <v>-0.08</v>
      </c>
      <c r="K34" s="20">
        <f t="shared" si="2"/>
        <v>-0.03693549283</v>
      </c>
      <c r="L34" s="20">
        <f t="shared" si="3"/>
        <v>-0.05307821216</v>
      </c>
      <c r="M34" s="20">
        <f t="shared" si="4"/>
        <v>-0.04662112443</v>
      </c>
      <c r="N34" s="20">
        <f t="shared" si="12"/>
        <v>47.45216107</v>
      </c>
      <c r="P34" s="14">
        <v>4.7</v>
      </c>
      <c r="Q34" s="20">
        <f t="shared" si="6"/>
        <v>2.32830371</v>
      </c>
      <c r="R34" s="20">
        <f t="shared" si="13"/>
        <v>47.4642404</v>
      </c>
      <c r="S34" s="20">
        <f t="shared" si="8"/>
        <v>0.01207933371</v>
      </c>
      <c r="U34" s="20">
        <f>IFERROR(__xludf.DUMMYFUNCTION("iferror(PERCENTRANK.INC(FILTER($Q$3:$Q$434, $P$3:$P$434&lt;3.75), $Q34), 1)"),1.0)</f>
        <v>1</v>
      </c>
      <c r="V34" s="20">
        <f>IFERROR(__xludf.DUMMYFUNCTION("iferror(PERCENTRANK.INC(FILTER($Q$3:$Q$434, $P$3:$P$434&lt;4.25), $Q34), 1)"),0.845)</f>
        <v>0.845</v>
      </c>
      <c r="W34" s="20">
        <f>IFERROR(__xludf.DUMMYFUNCTION("iferror(PERCENTRANK.INC(FILTER($Q$3:$Q$434, $P$3:$P$434&gt;=4.1), $Q34), 0)"),0.5)</f>
        <v>0.5</v>
      </c>
    </row>
    <row r="35" ht="14.25" customHeight="1">
      <c r="A35" s="14" t="s">
        <v>1469</v>
      </c>
      <c r="B35" s="14" t="s">
        <v>1470</v>
      </c>
      <c r="C35" s="14">
        <v>72.0</v>
      </c>
      <c r="D35" s="14" t="s">
        <v>1425</v>
      </c>
      <c r="E35" s="14" t="s">
        <v>179</v>
      </c>
      <c r="F35" s="20">
        <v>0.989</v>
      </c>
      <c r="G35" s="14">
        <v>0.07</v>
      </c>
      <c r="H35" s="14">
        <v>-0.08</v>
      </c>
      <c r="I35" s="14">
        <v>0.09</v>
      </c>
      <c r="J35" s="20">
        <f t="shared" si="1"/>
        <v>0.022</v>
      </c>
      <c r="K35" s="20">
        <f t="shared" si="2"/>
        <v>0.4678495759</v>
      </c>
      <c r="L35" s="20">
        <f t="shared" si="3"/>
        <v>0.7123462129</v>
      </c>
      <c r="M35" s="20">
        <f t="shared" si="4"/>
        <v>0.6145475581</v>
      </c>
      <c r="N35" s="20">
        <f t="shared" si="12"/>
        <v>65.18464867</v>
      </c>
      <c r="P35" s="14">
        <v>4.7</v>
      </c>
      <c r="Q35" s="20">
        <f t="shared" si="6"/>
        <v>2.632824115</v>
      </c>
      <c r="R35" s="20">
        <f t="shared" si="13"/>
        <v>59.49736186</v>
      </c>
      <c r="S35" s="20">
        <f t="shared" si="8"/>
        <v>-5.687286813</v>
      </c>
      <c r="U35" s="20">
        <f>IFERROR(__xludf.DUMMYFUNCTION("iferror(PERCENTRANK.INC(FILTER($Q$3:$Q$434, $P$3:$P$434&lt;3.75), $Q35), 1)"),1.0)</f>
        <v>1</v>
      </c>
      <c r="V35" s="20">
        <f>IFERROR(__xludf.DUMMYFUNCTION("iferror(PERCENTRANK.INC(FILTER($Q$3:$Q$434, $P$3:$P$434&lt;4.25), $Q35), 1)"),1.0)</f>
        <v>1</v>
      </c>
      <c r="W35" s="20">
        <f>IFERROR(__xludf.DUMMYFUNCTION("iferror(PERCENTRANK.INC(FILTER($Q$3:$Q$434, $P$3:$P$434&gt;=4.1), $Q35), 0)"),0.731)</f>
        <v>0.731</v>
      </c>
    </row>
    <row r="36" ht="14.25" customHeight="1">
      <c r="A36" s="16" t="s">
        <v>1471</v>
      </c>
      <c r="B36" s="16" t="s">
        <v>1339</v>
      </c>
      <c r="C36" s="16">
        <v>56.0</v>
      </c>
      <c r="D36" s="16" t="s">
        <v>1425</v>
      </c>
      <c r="E36" s="16" t="s">
        <v>1340</v>
      </c>
      <c r="F36" s="38">
        <v>0.986</v>
      </c>
      <c r="G36" s="58">
        <v>-0.34</v>
      </c>
      <c r="H36" s="58">
        <v>-0.47</v>
      </c>
      <c r="I36" s="58">
        <v>-0.31</v>
      </c>
      <c r="J36" s="20">
        <f t="shared" si="1"/>
        <v>-0.374</v>
      </c>
      <c r="K36" s="20">
        <f t="shared" si="2"/>
        <v>0.08926077434</v>
      </c>
      <c r="L36" s="20">
        <f t="shared" si="3"/>
        <v>-2.259301555</v>
      </c>
      <c r="M36" s="20">
        <f t="shared" si="4"/>
        <v>-1.319876623</v>
      </c>
      <c r="N36" s="20">
        <f t="shared" si="12"/>
        <v>13.30355732</v>
      </c>
      <c r="P36" s="16">
        <v>4.8</v>
      </c>
      <c r="Q36" s="20">
        <f t="shared" si="6"/>
        <v>1.974917921</v>
      </c>
      <c r="R36" s="20">
        <f t="shared" si="13"/>
        <v>33.50020372</v>
      </c>
      <c r="S36" s="20">
        <f t="shared" si="8"/>
        <v>20.1966464</v>
      </c>
      <c r="U36" s="20">
        <f>IFERROR(__xludf.DUMMYFUNCTION("iferror(PERCENTRANK.INC(FILTER($Q$3:$Q$434, $P$3:$P$434&lt;3.75), $Q36), 1)"),0.925)</f>
        <v>0.925</v>
      </c>
      <c r="V36" s="20">
        <f>IFERROR(__xludf.DUMMYFUNCTION("iferror(PERCENTRANK.INC(FILTER($Q$3:$Q$434, $P$3:$P$434&lt;4.25), $Q36), 1)"),0.588)</f>
        <v>0.588</v>
      </c>
      <c r="W36" s="20">
        <f>IFERROR(__xludf.DUMMYFUNCTION("iferror(PERCENTRANK.INC(FILTER($Q$3:$Q$434, $P$3:$P$434&gt;=4.1), $Q36), 0)"),0.269)</f>
        <v>0.269</v>
      </c>
    </row>
    <row r="37" ht="14.25" customHeight="1">
      <c r="A37" s="14" t="s">
        <v>1472</v>
      </c>
      <c r="B37" s="14" t="s">
        <v>1375</v>
      </c>
      <c r="C37" s="14">
        <v>61.0</v>
      </c>
      <c r="D37" s="14" t="s">
        <v>1425</v>
      </c>
      <c r="E37" s="14" t="s">
        <v>144</v>
      </c>
      <c r="F37" s="20">
        <v>0.98</v>
      </c>
      <c r="G37" s="14">
        <v>-0.04</v>
      </c>
      <c r="H37" s="14">
        <v>0.0</v>
      </c>
      <c r="I37" s="14">
        <v>-0.04</v>
      </c>
      <c r="J37" s="20">
        <f t="shared" si="1"/>
        <v>-0.024</v>
      </c>
      <c r="K37" s="20">
        <f t="shared" si="2"/>
        <v>-0.6679168287</v>
      </c>
      <c r="L37" s="20">
        <f t="shared" si="3"/>
        <v>0.3671548055</v>
      </c>
      <c r="M37" s="20">
        <f t="shared" si="4"/>
        <v>-0.04687384817</v>
      </c>
      <c r="N37" s="20">
        <f t="shared" si="12"/>
        <v>47.44538304</v>
      </c>
      <c r="P37" s="14">
        <v>5.02</v>
      </c>
      <c r="Q37" s="20">
        <f t="shared" si="6"/>
        <v>2.383055912</v>
      </c>
      <c r="R37" s="20">
        <f t="shared" si="13"/>
        <v>49.62777327</v>
      </c>
      <c r="S37" s="20">
        <f t="shared" si="8"/>
        <v>2.182390229</v>
      </c>
      <c r="U37" s="20">
        <f>IFERROR(__xludf.DUMMYFUNCTION("iferror(PERCENTRANK.INC(FILTER($Q$3:$Q$434, $P$3:$P$434&lt;3.75), $Q37), 1)"),1.0)</f>
        <v>1</v>
      </c>
      <c r="V37" s="20">
        <f>IFERROR(__xludf.DUMMYFUNCTION("iferror(PERCENTRANK.INC(FILTER($Q$3:$Q$434, $P$3:$P$434&lt;4.25), $Q37), 1)"),0.918)</f>
        <v>0.918</v>
      </c>
      <c r="W37" s="20">
        <f>IFERROR(__xludf.DUMMYFUNCTION("iferror(PERCENTRANK.INC(FILTER($Q$3:$Q$434, $P$3:$P$434&gt;=4.1), $Q37), 0)"),0.577)</f>
        <v>0.577</v>
      </c>
    </row>
    <row r="38" ht="14.25" customHeight="1">
      <c r="A38" s="16" t="s">
        <v>1473</v>
      </c>
      <c r="B38" s="16" t="s">
        <v>1474</v>
      </c>
      <c r="C38" s="16">
        <v>70.0</v>
      </c>
      <c r="D38" s="16" t="s">
        <v>1425</v>
      </c>
      <c r="E38" s="16" t="s">
        <v>127</v>
      </c>
      <c r="F38" s="16">
        <v>0.97</v>
      </c>
      <c r="G38" s="16">
        <v>-0.06</v>
      </c>
      <c r="H38" s="16">
        <v>0.0</v>
      </c>
      <c r="I38" s="16">
        <v>-0.07</v>
      </c>
      <c r="J38" s="20">
        <f t="shared" si="1"/>
        <v>-0.042</v>
      </c>
      <c r="K38" s="20">
        <f>(F38 - AVERAGE('OT Sheet'!$F$3:$F$489))/_xlfn.STDEV.P('OT Sheet'!$F$3:$F$489)</f>
        <v>-0.2980192154</v>
      </c>
      <c r="L38" s="20">
        <f>(J38 - AVERAGE('OT Sheet'!$J$3:$J$489))/_xlfn.STDEV.P('OT Sheet'!$J$3:$J$489)</f>
        <v>0.07977399632</v>
      </c>
      <c r="M38" s="20">
        <f>K38*0.6+L38*0.4</f>
        <v>-0.1469019307</v>
      </c>
      <c r="N38" s="20">
        <f>100*(M38-MIN('OT Sheet'!$M$3:$M$489))/(MAX('OT Sheet'!$M$3:$M$489) - MIN('OT Sheet'!$M$3:$M$489))</f>
        <v>53.15252839</v>
      </c>
      <c r="P38" s="16">
        <v>5.02</v>
      </c>
      <c r="Q38" s="20">
        <f t="shared" si="6"/>
        <v>2.436549035</v>
      </c>
      <c r="R38" s="20">
        <f t="shared" si="13"/>
        <v>51.74155357</v>
      </c>
      <c r="S38" s="20">
        <f t="shared" si="8"/>
        <v>-1.410974814</v>
      </c>
      <c r="T38" s="20"/>
      <c r="U38" s="20">
        <f>IFERROR(__xludf.DUMMYFUNCTION("iferror(PERCENTRANK.INC(FILTER($Q$3:$Q$434, $P$3:$P$434&lt;3.75), $Q38), 1)"),1.0)</f>
        <v>1</v>
      </c>
      <c r="V38" s="20">
        <f>IFERROR(__xludf.DUMMYFUNCTION("iferror(PERCENTRANK.INC(FILTER($Q$3:$Q$434, $P$3:$P$434&lt;4.25), $Q38), 1)"),1.0)</f>
        <v>1</v>
      </c>
      <c r="W38" s="20">
        <f>IFERROR(__xludf.DUMMYFUNCTION("iferror(PERCENTRANK.INC(FILTER($Q$3:$Q$434, $P$3:$P$434&gt;=4.1), $Q38), 0)"),0.654)</f>
        <v>0.654</v>
      </c>
    </row>
    <row r="39" ht="14.25" customHeight="1">
      <c r="A39" s="14" t="s">
        <v>1475</v>
      </c>
      <c r="B39" s="14" t="s">
        <v>1476</v>
      </c>
      <c r="C39" s="14">
        <v>71.0</v>
      </c>
      <c r="D39" s="14" t="s">
        <v>1425</v>
      </c>
      <c r="E39" s="14" t="s">
        <v>158</v>
      </c>
      <c r="F39" s="20">
        <v>0.988</v>
      </c>
      <c r="G39" s="14">
        <v>0.08</v>
      </c>
      <c r="H39" s="14">
        <v>0.12</v>
      </c>
      <c r="I39" s="14">
        <v>0.02</v>
      </c>
      <c r="J39" s="20">
        <f t="shared" si="1"/>
        <v>0.06</v>
      </c>
      <c r="K39" s="20">
        <f t="shared" ref="K39:K43" si="14">(F39 - AVERAGE($F$3:$F$89))/_xlfn.STDEV.P($F$3:$F$89)</f>
        <v>0.3416533087</v>
      </c>
      <c r="L39" s="20">
        <f t="shared" ref="L39:L43" si="15">(J39 - AVERAGE($J$3:$J$89))/_xlfn.STDEV.P($J$3:$J$89)</f>
        <v>0.9975043321</v>
      </c>
      <c r="M39" s="20">
        <f t="shared" ref="M39:M43" si="16">K39*0.4+L39*0.6</f>
        <v>0.7351639227</v>
      </c>
      <c r="N39" s="20">
        <f t="shared" ref="N39:N43" si="17">100*(M39-MIN($M$3:$M$89))/(MAX($M$3:$M$89) - MIN($M$3:$M$89))</f>
        <v>68.41956927</v>
      </c>
      <c r="P39" s="14">
        <v>5.19</v>
      </c>
      <c r="Q39" s="20">
        <f t="shared" si="6"/>
        <v>2.896996859</v>
      </c>
      <c r="R39" s="20">
        <f t="shared" si="13"/>
        <v>69.93614577</v>
      </c>
      <c r="S39" s="20">
        <f t="shared" si="8"/>
        <v>1.516576498</v>
      </c>
      <c r="U39" s="20">
        <f>IFERROR(__xludf.DUMMYFUNCTION("iferror(PERCENTRANK.INC(FILTER($Q$3:$Q$434, $P$3:$P$434&lt;3.75), $Q39), 1)"),1.0)</f>
        <v>1</v>
      </c>
      <c r="V39" s="20">
        <f>IFERROR(__xludf.DUMMYFUNCTION("iferror(PERCENTRANK.INC(FILTER($Q$3:$Q$434, $P$3:$P$434&lt;4.25), $Q39), 1)"),1.0)</f>
        <v>1</v>
      </c>
      <c r="W39" s="20">
        <f>IFERROR(__xludf.DUMMYFUNCTION("iferror(PERCENTRANK.INC(FILTER($Q$3:$Q$434, $P$3:$P$434&gt;=4.1), $Q39), 0)"),0.962)</f>
        <v>0.962</v>
      </c>
    </row>
    <row r="40" ht="14.25" customHeight="1">
      <c r="A40" s="14" t="s">
        <v>1477</v>
      </c>
      <c r="B40" s="14" t="s">
        <v>1412</v>
      </c>
      <c r="C40" s="14">
        <v>78.0</v>
      </c>
      <c r="D40" s="14" t="s">
        <v>1425</v>
      </c>
      <c r="E40" s="14" t="s">
        <v>132</v>
      </c>
      <c r="F40" s="20">
        <v>0.99</v>
      </c>
      <c r="G40" s="14">
        <v>-0.1</v>
      </c>
      <c r="H40" s="14">
        <v>-0.12</v>
      </c>
      <c r="I40" s="14">
        <v>-0.09</v>
      </c>
      <c r="J40" s="20">
        <f t="shared" si="1"/>
        <v>-0.102</v>
      </c>
      <c r="K40" s="20">
        <f t="shared" si="14"/>
        <v>0.5940458431</v>
      </c>
      <c r="L40" s="20">
        <f t="shared" si="15"/>
        <v>-0.2181697548</v>
      </c>
      <c r="M40" s="20">
        <f t="shared" si="16"/>
        <v>0.1067164843</v>
      </c>
      <c r="N40" s="20">
        <f t="shared" si="17"/>
        <v>51.56466264</v>
      </c>
      <c r="P40" s="14">
        <v>5.19</v>
      </c>
      <c r="Q40" s="20">
        <f t="shared" si="6"/>
        <v>2.729579802</v>
      </c>
      <c r="R40" s="20">
        <f t="shared" si="13"/>
        <v>63.32066206</v>
      </c>
      <c r="S40" s="20">
        <f t="shared" si="8"/>
        <v>11.75599942</v>
      </c>
      <c r="U40" s="20">
        <f>IFERROR(__xludf.DUMMYFUNCTION("iferror(PERCENTRANK.INC(FILTER($Q$3:$Q$434, $P$3:$P$434&lt;3.75), $Q40), 1)"),1.0)</f>
        <v>1</v>
      </c>
      <c r="V40" s="20">
        <f>IFERROR(__xludf.DUMMYFUNCTION("iferror(PERCENTRANK.INC(FILTER($Q$3:$Q$434, $P$3:$P$434&lt;4.25), $Q40), 1)"),1.0)</f>
        <v>1</v>
      </c>
      <c r="W40" s="20">
        <f>IFERROR(__xludf.DUMMYFUNCTION("iferror(PERCENTRANK.INC(FILTER($Q$3:$Q$434, $P$3:$P$434&gt;=4.1), $Q40), 0)"),0.846)</f>
        <v>0.846</v>
      </c>
    </row>
    <row r="41" ht="14.25" customHeight="1">
      <c r="A41" s="14" t="s">
        <v>1478</v>
      </c>
      <c r="B41" s="14" t="s">
        <v>1373</v>
      </c>
      <c r="C41" s="14">
        <v>54.0</v>
      </c>
      <c r="D41" s="14" t="s">
        <v>1425</v>
      </c>
      <c r="E41" s="14" t="s">
        <v>158</v>
      </c>
      <c r="F41" s="20">
        <v>0.986</v>
      </c>
      <c r="G41" s="14">
        <v>0.07</v>
      </c>
      <c r="H41" s="14">
        <v>0.11</v>
      </c>
      <c r="I41" s="14">
        <v>0.06</v>
      </c>
      <c r="J41" s="20">
        <f t="shared" si="1"/>
        <v>0.08</v>
      </c>
      <c r="K41" s="20">
        <f t="shared" si="14"/>
        <v>0.08926077434</v>
      </c>
      <c r="L41" s="20">
        <f t="shared" si="15"/>
        <v>1.147587553</v>
      </c>
      <c r="M41" s="20">
        <f t="shared" si="16"/>
        <v>0.7242568413</v>
      </c>
      <c r="N41" s="20">
        <f t="shared" si="17"/>
        <v>68.12704228</v>
      </c>
      <c r="P41" s="14">
        <v>5.23</v>
      </c>
      <c r="Q41" s="20">
        <f t="shared" si="6"/>
        <v>2.871295743</v>
      </c>
      <c r="R41" s="20">
        <f t="shared" si="13"/>
        <v>68.92056636</v>
      </c>
      <c r="S41" s="20">
        <f t="shared" si="8"/>
        <v>0.7935240836</v>
      </c>
      <c r="U41" s="20">
        <f>IFERROR(__xludf.DUMMYFUNCTION("iferror(PERCENTRANK.INC(FILTER($Q$3:$Q$434, $P$3:$P$434&lt;3.75), $Q41), 1)"),1.0)</f>
        <v>1</v>
      </c>
      <c r="V41" s="20">
        <f>IFERROR(__xludf.DUMMYFUNCTION("iferror(PERCENTRANK.INC(FILTER($Q$3:$Q$434, $P$3:$P$434&lt;4.25), $Q41), 1)"),1.0)</f>
        <v>1</v>
      </c>
      <c r="W41" s="20">
        <f>IFERROR(__xludf.DUMMYFUNCTION("iferror(PERCENTRANK.INC(FILTER($Q$3:$Q$434, $P$3:$P$434&gt;=4.1), $Q41), 0)"),0.923)</f>
        <v>0.923</v>
      </c>
    </row>
    <row r="42" ht="14.25" customHeight="1">
      <c r="A42" s="14" t="s">
        <v>1479</v>
      </c>
      <c r="B42" s="14" t="s">
        <v>1375</v>
      </c>
      <c r="C42" s="14">
        <v>60.0</v>
      </c>
      <c r="D42" s="14" t="s">
        <v>1425</v>
      </c>
      <c r="E42" s="14" t="s">
        <v>144</v>
      </c>
      <c r="F42" s="20">
        <v>0.987</v>
      </c>
      <c r="G42" s="14">
        <v>-0.03</v>
      </c>
      <c r="H42" s="14">
        <v>0.0</v>
      </c>
      <c r="I42" s="14">
        <v>-0.04</v>
      </c>
      <c r="J42" s="20">
        <f t="shared" si="1"/>
        <v>-0.024</v>
      </c>
      <c r="K42" s="20">
        <f t="shared" si="14"/>
        <v>0.2154570415</v>
      </c>
      <c r="L42" s="20">
        <f t="shared" si="15"/>
        <v>0.3671548055</v>
      </c>
      <c r="M42" s="20">
        <f t="shared" si="16"/>
        <v>0.3064756999</v>
      </c>
      <c r="N42" s="20">
        <f t="shared" si="17"/>
        <v>56.92218774</v>
      </c>
      <c r="P42" s="14">
        <v>5.23</v>
      </c>
      <c r="Q42" s="20">
        <f t="shared" si="6"/>
        <v>2.753068074</v>
      </c>
      <c r="R42" s="20">
        <f t="shared" si="13"/>
        <v>64.24880093</v>
      </c>
      <c r="S42" s="20">
        <f t="shared" si="8"/>
        <v>7.326613189</v>
      </c>
      <c r="U42" s="20">
        <f>IFERROR(__xludf.DUMMYFUNCTION("iferror(PERCENTRANK.INC(FILTER($Q$3:$Q$434, $P$3:$P$434&lt;3.75), $Q42), 1)"),1.0)</f>
        <v>1</v>
      </c>
      <c r="V42" s="20">
        <f>IFERROR(__xludf.DUMMYFUNCTION("iferror(PERCENTRANK.INC(FILTER($Q$3:$Q$434, $P$3:$P$434&lt;4.25), $Q42), 1)"),1.0)</f>
        <v>1</v>
      </c>
      <c r="W42" s="20">
        <f>IFERROR(__xludf.DUMMYFUNCTION("iferror(PERCENTRANK.INC(FILTER($Q$3:$Q$434, $P$3:$P$434&gt;=4.1), $Q42), 0)"),0.885)</f>
        <v>0.885</v>
      </c>
    </row>
    <row r="43" ht="14.25" customHeight="1">
      <c r="A43" s="14" t="s">
        <v>1480</v>
      </c>
      <c r="B43" s="14" t="s">
        <v>1339</v>
      </c>
      <c r="C43" s="14">
        <v>64.0</v>
      </c>
      <c r="D43" s="14" t="s">
        <v>1425</v>
      </c>
      <c r="E43" s="14" t="s">
        <v>1340</v>
      </c>
      <c r="F43" s="20">
        <v>0.997</v>
      </c>
      <c r="G43" s="14">
        <v>0.2</v>
      </c>
      <c r="H43" s="14">
        <v>0.08</v>
      </c>
      <c r="I43" s="14">
        <v>0.23</v>
      </c>
      <c r="J43" s="20">
        <f t="shared" si="1"/>
        <v>0.17</v>
      </c>
      <c r="K43" s="20">
        <f t="shared" si="14"/>
        <v>1.477419713</v>
      </c>
      <c r="L43" s="20">
        <f t="shared" si="15"/>
        <v>1.822962045</v>
      </c>
      <c r="M43" s="20">
        <f t="shared" si="16"/>
        <v>1.684745113</v>
      </c>
      <c r="N43" s="20">
        <f t="shared" si="17"/>
        <v>93.88725569</v>
      </c>
      <c r="P43" s="14">
        <v>5.7</v>
      </c>
      <c r="Q43" s="20">
        <f t="shared" si="6"/>
        <v>3.657818323</v>
      </c>
      <c r="R43" s="20">
        <f>100*(Q43-MIN($Q$3:$Q$83))/(MAX($Q$3:$Q$83) - MIN($Q$3:$Q$83))</f>
        <v>100</v>
      </c>
      <c r="S43" s="20">
        <f t="shared" si="8"/>
        <v>6.112744307</v>
      </c>
      <c r="U43" s="20">
        <f>IFERROR(__xludf.DUMMYFUNCTION("iferror(PERCENTRANK.INC(FILTER($Q$3:$Q$434, $P$3:$P$434&lt;3.75), $Q43), 1)"),1.0)</f>
        <v>1</v>
      </c>
      <c r="V43" s="20">
        <f>IFERROR(__xludf.DUMMYFUNCTION("iferror(PERCENTRANK.INC(FILTER($Q$3:$Q$434, $P$3:$P$434&lt;4.25), $Q43), 1)"),1.0)</f>
        <v>1</v>
      </c>
      <c r="W43" s="20">
        <f>IFERROR(__xludf.DUMMYFUNCTION("iferror(PERCENTRANK.INC(FILTER($Q$3:$Q$434, $P$3:$P$434&gt;=4.1), $Q43), 0)"),1.0)</f>
        <v>1</v>
      </c>
    </row>
    <row r="44" ht="14.25" customHeight="1">
      <c r="F44" s="20"/>
      <c r="J44" s="20"/>
      <c r="K44" s="20"/>
      <c r="L44" s="20"/>
      <c r="M44" s="20"/>
      <c r="N44" s="20"/>
      <c r="Q44" s="20"/>
      <c r="R44" s="20"/>
      <c r="S44" s="20"/>
      <c r="U44" s="20"/>
      <c r="V44" s="20"/>
      <c r="W44" s="20"/>
    </row>
    <row r="45" ht="14.25" customHeight="1">
      <c r="F45" s="20"/>
      <c r="J45" s="20"/>
      <c r="K45" s="20"/>
      <c r="L45" s="20"/>
      <c r="M45" s="20"/>
      <c r="N45" s="20"/>
      <c r="Q45" s="20"/>
      <c r="R45" s="20"/>
      <c r="S45" s="20"/>
      <c r="U45" s="20"/>
      <c r="V45" s="20"/>
      <c r="W45" s="20"/>
    </row>
    <row r="46" ht="14.25" customHeight="1">
      <c r="F46" s="20"/>
      <c r="J46" s="20"/>
      <c r="K46" s="20"/>
      <c r="L46" s="20"/>
      <c r="M46" s="20"/>
      <c r="N46" s="20"/>
      <c r="Q46" s="20"/>
      <c r="R46" s="20"/>
      <c r="S46" s="20"/>
      <c r="U46" s="20"/>
      <c r="V46" s="20"/>
      <c r="W46" s="20"/>
    </row>
    <row r="47" ht="14.25" customHeight="1">
      <c r="F47" s="20"/>
      <c r="J47" s="20"/>
      <c r="K47" s="20"/>
      <c r="L47" s="20"/>
      <c r="M47" s="20"/>
      <c r="N47" s="20"/>
      <c r="Q47" s="20"/>
      <c r="R47" s="20"/>
      <c r="S47" s="20"/>
      <c r="U47" s="20"/>
      <c r="V47" s="20"/>
      <c r="W47" s="20"/>
    </row>
    <row r="48" ht="14.25" customHeight="1">
      <c r="F48" s="20"/>
      <c r="J48" s="20"/>
      <c r="K48" s="20"/>
      <c r="L48" s="20"/>
      <c r="M48" s="20"/>
      <c r="N48" s="20"/>
      <c r="Q48" s="20"/>
      <c r="R48" s="20"/>
      <c r="S48" s="20"/>
      <c r="U48" s="20"/>
      <c r="V48" s="20"/>
      <c r="W48" s="20"/>
    </row>
    <row r="49" ht="14.25" customHeight="1">
      <c r="F49" s="20"/>
      <c r="J49" s="20"/>
      <c r="K49" s="20"/>
      <c r="L49" s="20"/>
      <c r="M49" s="20"/>
      <c r="N49" s="20"/>
      <c r="Q49" s="20"/>
      <c r="R49" s="20"/>
      <c r="S49" s="20"/>
      <c r="U49" s="20"/>
      <c r="V49" s="20"/>
      <c r="W49" s="20"/>
    </row>
    <row r="50" ht="14.25" customHeight="1">
      <c r="F50" s="20"/>
      <c r="J50" s="20"/>
      <c r="K50" s="20"/>
      <c r="L50" s="20"/>
      <c r="M50" s="20"/>
      <c r="N50" s="20"/>
      <c r="Q50" s="20"/>
      <c r="R50" s="20"/>
      <c r="S50" s="20"/>
      <c r="U50" s="20"/>
      <c r="V50" s="20"/>
      <c r="W50" s="20"/>
    </row>
    <row r="51" ht="14.25" customHeight="1">
      <c r="F51" s="20"/>
      <c r="J51" s="20"/>
      <c r="K51" s="20"/>
      <c r="L51" s="20"/>
      <c r="M51" s="20"/>
      <c r="N51" s="20"/>
      <c r="Q51" s="20"/>
      <c r="R51" s="20"/>
      <c r="S51" s="20"/>
      <c r="U51" s="20"/>
      <c r="V51" s="20"/>
      <c r="W51" s="20"/>
    </row>
    <row r="52" ht="14.25" customHeight="1">
      <c r="F52" s="20"/>
      <c r="J52" s="20"/>
      <c r="K52" s="20"/>
      <c r="L52" s="20"/>
      <c r="M52" s="20"/>
      <c r="N52" s="20"/>
      <c r="Q52" s="20"/>
      <c r="R52" s="20"/>
      <c r="S52" s="20"/>
      <c r="U52" s="20"/>
      <c r="V52" s="20"/>
      <c r="W52" s="20"/>
    </row>
    <row r="53" ht="14.25" customHeight="1">
      <c r="F53" s="20"/>
      <c r="J53" s="20"/>
      <c r="K53" s="20"/>
      <c r="L53" s="20"/>
      <c r="M53" s="20"/>
      <c r="N53" s="20"/>
      <c r="Q53" s="20"/>
      <c r="R53" s="20"/>
      <c r="S53" s="20"/>
      <c r="U53" s="20"/>
      <c r="V53" s="20"/>
      <c r="W53" s="20"/>
    </row>
    <row r="54" ht="14.25" customHeight="1">
      <c r="F54" s="20"/>
      <c r="J54" s="20"/>
      <c r="K54" s="20"/>
      <c r="L54" s="20"/>
      <c r="M54" s="20"/>
      <c r="N54" s="20"/>
      <c r="Q54" s="20"/>
      <c r="R54" s="20"/>
      <c r="S54" s="20"/>
      <c r="U54" s="20"/>
      <c r="V54" s="20"/>
      <c r="W54" s="20"/>
    </row>
    <row r="55" ht="14.25" customHeight="1">
      <c r="F55" s="20"/>
      <c r="J55" s="20"/>
      <c r="K55" s="20"/>
      <c r="L55" s="20"/>
      <c r="M55" s="20"/>
      <c r="N55" s="20"/>
      <c r="Q55" s="20"/>
      <c r="R55" s="20"/>
      <c r="S55" s="20"/>
      <c r="U55" s="20"/>
      <c r="V55" s="20"/>
      <c r="W55" s="20"/>
    </row>
    <row r="56" ht="14.25" customHeight="1">
      <c r="F56" s="20"/>
      <c r="J56" s="20"/>
      <c r="K56" s="20"/>
      <c r="L56" s="20"/>
      <c r="M56" s="20"/>
      <c r="N56" s="20"/>
      <c r="Q56" s="20"/>
      <c r="R56" s="20"/>
      <c r="S56" s="20"/>
      <c r="U56" s="20"/>
      <c r="V56" s="20"/>
      <c r="W56" s="20"/>
    </row>
    <row r="57" ht="14.25" customHeight="1">
      <c r="F57" s="20"/>
      <c r="J57" s="20"/>
      <c r="K57" s="20"/>
      <c r="L57" s="20"/>
      <c r="M57" s="20"/>
      <c r="N57" s="20"/>
      <c r="Q57" s="20"/>
      <c r="R57" s="20"/>
      <c r="S57" s="20"/>
      <c r="U57" s="20"/>
      <c r="V57" s="20"/>
      <c r="W57" s="20"/>
    </row>
    <row r="58" ht="14.25" customHeight="1">
      <c r="F58" s="20"/>
      <c r="J58" s="20"/>
      <c r="K58" s="20"/>
      <c r="L58" s="20"/>
      <c r="M58" s="20"/>
      <c r="N58" s="20"/>
      <c r="Q58" s="20"/>
      <c r="R58" s="20"/>
      <c r="S58" s="20"/>
      <c r="U58" s="20"/>
      <c r="V58" s="20"/>
      <c r="W58" s="20"/>
    </row>
    <row r="59" ht="14.25" customHeight="1">
      <c r="F59" s="20"/>
      <c r="J59" s="20"/>
      <c r="K59" s="20"/>
      <c r="L59" s="20"/>
      <c r="M59" s="20"/>
      <c r="N59" s="20"/>
      <c r="Q59" s="20"/>
      <c r="R59" s="20"/>
      <c r="S59" s="20"/>
      <c r="U59" s="20"/>
      <c r="V59" s="20"/>
      <c r="W59" s="20"/>
    </row>
    <row r="60" ht="14.25" customHeight="1">
      <c r="F60" s="20"/>
      <c r="J60" s="20"/>
      <c r="K60" s="20"/>
      <c r="L60" s="20"/>
      <c r="M60" s="20"/>
      <c r="N60" s="20"/>
      <c r="Q60" s="20"/>
      <c r="R60" s="20"/>
      <c r="S60" s="20"/>
      <c r="U60" s="20"/>
      <c r="V60" s="20"/>
      <c r="W60" s="20"/>
    </row>
    <row r="61" ht="14.25" customHeight="1">
      <c r="F61" s="20"/>
      <c r="J61" s="20"/>
      <c r="K61" s="20"/>
      <c r="L61" s="20"/>
      <c r="M61" s="20"/>
      <c r="N61" s="20"/>
      <c r="Q61" s="20"/>
      <c r="R61" s="20"/>
      <c r="S61" s="20"/>
      <c r="U61" s="20"/>
      <c r="V61" s="20"/>
      <c r="W61" s="20"/>
    </row>
    <row r="62" ht="14.25" customHeight="1">
      <c r="F62" s="20"/>
      <c r="J62" s="20"/>
      <c r="K62" s="20"/>
      <c r="L62" s="20"/>
      <c r="M62" s="20"/>
      <c r="N62" s="20"/>
      <c r="Q62" s="20"/>
      <c r="R62" s="20"/>
      <c r="S62" s="20"/>
      <c r="U62" s="20"/>
      <c r="V62" s="20"/>
      <c r="W62" s="20"/>
    </row>
    <row r="63" ht="14.25" customHeight="1">
      <c r="F63" s="20"/>
      <c r="J63" s="20"/>
      <c r="K63" s="20"/>
      <c r="L63" s="20"/>
      <c r="M63" s="20"/>
      <c r="N63" s="20"/>
      <c r="Q63" s="20"/>
      <c r="R63" s="20"/>
      <c r="S63" s="20"/>
      <c r="U63" s="20"/>
      <c r="V63" s="20"/>
      <c r="W63" s="20"/>
    </row>
    <row r="64" ht="14.25" customHeight="1">
      <c r="F64" s="20"/>
      <c r="J64" s="20"/>
      <c r="K64" s="20"/>
      <c r="L64" s="20"/>
      <c r="M64" s="20"/>
      <c r="N64" s="20"/>
      <c r="Q64" s="20"/>
      <c r="R64" s="20"/>
      <c r="S64" s="20"/>
      <c r="U64" s="20"/>
      <c r="V64" s="20"/>
      <c r="W64" s="20"/>
    </row>
    <row r="65" ht="14.25" customHeight="1">
      <c r="F65" s="20"/>
      <c r="J65" s="20"/>
      <c r="K65" s="20"/>
      <c r="L65" s="20"/>
      <c r="M65" s="20"/>
      <c r="N65" s="20"/>
      <c r="Q65" s="20"/>
      <c r="R65" s="20"/>
      <c r="S65" s="20"/>
      <c r="U65" s="20"/>
      <c r="V65" s="20"/>
      <c r="W65" s="20"/>
    </row>
    <row r="66" ht="14.25" customHeight="1">
      <c r="F66" s="20"/>
      <c r="J66" s="20"/>
      <c r="K66" s="20"/>
      <c r="L66" s="20"/>
      <c r="M66" s="20"/>
      <c r="N66" s="20"/>
      <c r="Q66" s="20"/>
      <c r="R66" s="20"/>
      <c r="S66" s="20"/>
      <c r="U66" s="20"/>
      <c r="V66" s="20"/>
      <c r="W66" s="20"/>
    </row>
    <row r="67" ht="14.25" customHeight="1">
      <c r="F67" s="20"/>
      <c r="J67" s="20"/>
      <c r="K67" s="20"/>
      <c r="L67" s="20"/>
      <c r="M67" s="20"/>
      <c r="N67" s="20"/>
      <c r="Q67" s="20"/>
      <c r="R67" s="20"/>
      <c r="S67" s="20"/>
      <c r="U67" s="20"/>
      <c r="V67" s="20"/>
      <c r="W67" s="20"/>
    </row>
    <row r="68" ht="14.25" customHeight="1">
      <c r="F68" s="20"/>
      <c r="J68" s="20"/>
      <c r="K68" s="20"/>
      <c r="L68" s="20"/>
      <c r="M68" s="20"/>
      <c r="N68" s="20"/>
      <c r="Q68" s="20"/>
      <c r="R68" s="20"/>
      <c r="S68" s="20"/>
      <c r="U68" s="20"/>
      <c r="V68" s="20"/>
      <c r="W68" s="20"/>
    </row>
    <row r="69" ht="14.25" customHeight="1">
      <c r="F69" s="20"/>
      <c r="J69" s="20"/>
      <c r="K69" s="20"/>
      <c r="L69" s="20"/>
      <c r="M69" s="20"/>
      <c r="N69" s="20"/>
      <c r="Q69" s="20"/>
      <c r="R69" s="20"/>
      <c r="S69" s="20"/>
      <c r="U69" s="20"/>
      <c r="V69" s="20"/>
      <c r="W69" s="20"/>
    </row>
    <row r="70" ht="14.25" customHeight="1">
      <c r="F70" s="20"/>
      <c r="J70" s="20"/>
      <c r="K70" s="20"/>
      <c r="L70" s="20"/>
      <c r="M70" s="20"/>
      <c r="N70" s="20"/>
      <c r="Q70" s="20"/>
      <c r="R70" s="20"/>
      <c r="S70" s="20"/>
      <c r="U70" s="20"/>
      <c r="V70" s="20"/>
      <c r="W70" s="20"/>
    </row>
    <row r="71" ht="14.25" customHeight="1">
      <c r="F71" s="20"/>
      <c r="J71" s="20"/>
      <c r="K71" s="20"/>
      <c r="L71" s="20"/>
      <c r="M71" s="20"/>
      <c r="N71" s="20"/>
      <c r="Q71" s="20"/>
      <c r="R71" s="20"/>
      <c r="S71" s="20"/>
      <c r="U71" s="20"/>
      <c r="V71" s="20"/>
      <c r="W71" s="20"/>
    </row>
    <row r="72" ht="14.25" customHeight="1">
      <c r="F72" s="20"/>
      <c r="J72" s="20"/>
      <c r="K72" s="20"/>
      <c r="L72" s="20"/>
      <c r="M72" s="20"/>
      <c r="N72" s="20"/>
      <c r="Q72" s="20"/>
      <c r="R72" s="20"/>
      <c r="S72" s="20"/>
      <c r="U72" s="20"/>
      <c r="V72" s="20"/>
      <c r="W72" s="20"/>
    </row>
    <row r="73" ht="14.25" customHeight="1">
      <c r="F73" s="20"/>
      <c r="J73" s="20"/>
      <c r="K73" s="20"/>
      <c r="L73" s="20"/>
      <c r="M73" s="20"/>
      <c r="N73" s="20"/>
      <c r="Q73" s="20"/>
      <c r="R73" s="20"/>
      <c r="S73" s="20"/>
      <c r="U73" s="20"/>
      <c r="V73" s="20"/>
      <c r="W73" s="20"/>
    </row>
    <row r="74" ht="14.25" customHeight="1">
      <c r="F74" s="20"/>
      <c r="J74" s="20"/>
      <c r="K74" s="20"/>
      <c r="L74" s="20"/>
      <c r="M74" s="20"/>
      <c r="N74" s="20"/>
      <c r="Q74" s="20"/>
      <c r="R74" s="20"/>
      <c r="S74" s="20"/>
      <c r="U74" s="20"/>
      <c r="V74" s="20"/>
      <c r="W74" s="20"/>
    </row>
    <row r="75" ht="14.25" customHeight="1">
      <c r="F75" s="20"/>
      <c r="J75" s="20"/>
      <c r="K75" s="20"/>
      <c r="L75" s="20"/>
      <c r="M75" s="20"/>
      <c r="N75" s="20"/>
      <c r="Q75" s="20"/>
      <c r="R75" s="20"/>
      <c r="S75" s="20"/>
      <c r="U75" s="20"/>
      <c r="V75" s="20"/>
      <c r="W75" s="20"/>
    </row>
    <row r="76" ht="14.25" customHeight="1">
      <c r="F76" s="20"/>
      <c r="J76" s="20"/>
      <c r="K76" s="20"/>
      <c r="L76" s="20"/>
      <c r="M76" s="20"/>
      <c r="N76" s="20"/>
      <c r="Q76" s="20"/>
      <c r="R76" s="20"/>
      <c r="S76" s="20"/>
      <c r="U76" s="20"/>
      <c r="V76" s="20"/>
      <c r="W76" s="20"/>
    </row>
    <row r="77" ht="14.25" customHeight="1">
      <c r="A77" s="16"/>
      <c r="F77" s="20"/>
      <c r="J77" s="20"/>
      <c r="K77" s="20"/>
      <c r="L77" s="20"/>
      <c r="M77" s="20"/>
      <c r="N77" s="20"/>
      <c r="Q77" s="20"/>
      <c r="R77" s="20"/>
      <c r="S77" s="20"/>
      <c r="U77" s="20"/>
      <c r="V77" s="20"/>
      <c r="W77" s="20"/>
    </row>
    <row r="78" ht="14.25" customHeight="1">
      <c r="F78" s="20"/>
      <c r="J78" s="20"/>
      <c r="K78" s="20"/>
      <c r="L78" s="20"/>
      <c r="M78" s="20"/>
      <c r="N78" s="20"/>
      <c r="Q78" s="20"/>
      <c r="R78" s="20"/>
      <c r="S78" s="20"/>
      <c r="U78" s="20"/>
      <c r="V78" s="20"/>
      <c r="W78" s="20"/>
    </row>
    <row r="79" ht="14.25" customHeight="1">
      <c r="F79" s="20"/>
      <c r="G79" s="59"/>
      <c r="H79" s="59"/>
      <c r="I79" s="59"/>
      <c r="J79" s="20"/>
      <c r="K79" s="20"/>
      <c r="L79" s="20"/>
      <c r="M79" s="20"/>
      <c r="N79" s="20"/>
      <c r="Q79" s="20"/>
      <c r="R79" s="20"/>
      <c r="S79" s="20"/>
      <c r="U79" s="20"/>
      <c r="V79" s="20"/>
      <c r="W79" s="20"/>
    </row>
    <row r="80" ht="14.25" customHeight="1">
      <c r="F80" s="20"/>
      <c r="J80" s="20"/>
      <c r="K80" s="20"/>
      <c r="L80" s="20"/>
      <c r="M80" s="20"/>
      <c r="N80" s="20"/>
      <c r="Q80" s="20"/>
      <c r="R80" s="20"/>
      <c r="S80" s="20"/>
      <c r="U80" s="20"/>
      <c r="V80" s="20"/>
      <c r="W80" s="20"/>
    </row>
    <row r="81" ht="14.25" customHeight="1">
      <c r="F81" s="20"/>
      <c r="J81" s="20"/>
      <c r="K81" s="20"/>
      <c r="L81" s="20"/>
      <c r="M81" s="20"/>
      <c r="N81" s="20"/>
      <c r="Q81" s="20"/>
      <c r="R81" s="20"/>
      <c r="S81" s="20"/>
      <c r="U81" s="20"/>
      <c r="V81" s="20"/>
      <c r="W81" s="20"/>
    </row>
    <row r="82" ht="14.25" customHeight="1">
      <c r="F82" s="20"/>
      <c r="J82" s="20"/>
      <c r="K82" s="20"/>
      <c r="L82" s="20"/>
      <c r="M82" s="20"/>
      <c r="N82" s="20"/>
      <c r="Q82" s="20"/>
      <c r="R82" s="20"/>
      <c r="S82" s="20"/>
      <c r="U82" s="20"/>
      <c r="V82" s="20"/>
      <c r="W82" s="20"/>
    </row>
    <row r="83" ht="14.25" customHeight="1">
      <c r="F83" s="20"/>
      <c r="J83" s="20"/>
      <c r="K83" s="20"/>
      <c r="L83" s="20"/>
      <c r="M83" s="20"/>
      <c r="N83" s="20"/>
      <c r="Q83" s="20"/>
      <c r="R83" s="20"/>
      <c r="S83" s="20"/>
      <c r="U83" s="20"/>
      <c r="V83" s="20"/>
      <c r="W83" s="20"/>
    </row>
    <row r="84" ht="14.25" customHeight="1">
      <c r="F84" s="20"/>
      <c r="J84" s="20"/>
      <c r="K84" s="20"/>
      <c r="L84" s="20"/>
      <c r="M84" s="20"/>
      <c r="N84" s="20"/>
      <c r="Q84" s="20"/>
      <c r="R84" s="20"/>
      <c r="S84" s="20"/>
      <c r="U84" s="20"/>
      <c r="V84" s="20"/>
      <c r="W84" s="20"/>
    </row>
    <row r="85" ht="14.25" customHeight="1">
      <c r="F85" s="20"/>
      <c r="J85" s="20"/>
      <c r="K85" s="20"/>
      <c r="L85" s="20"/>
      <c r="M85" s="20"/>
      <c r="N85" s="20"/>
      <c r="Q85" s="20"/>
      <c r="R85" s="20"/>
      <c r="S85" s="20"/>
      <c r="U85" s="20"/>
      <c r="V85" s="20"/>
      <c r="W85" s="20"/>
    </row>
    <row r="86" ht="14.25" customHeight="1">
      <c r="F86" s="20"/>
      <c r="J86" s="20"/>
      <c r="K86" s="20"/>
      <c r="L86" s="20"/>
      <c r="M86" s="20"/>
      <c r="N86" s="20"/>
      <c r="Q86" s="20"/>
      <c r="R86" s="20"/>
      <c r="S86" s="20"/>
      <c r="U86" s="20"/>
      <c r="V86" s="20"/>
      <c r="W86" s="20"/>
    </row>
    <row r="87" ht="14.25" customHeight="1">
      <c r="A87" s="16"/>
      <c r="B87" s="16"/>
      <c r="C87" s="16"/>
      <c r="D87" s="16"/>
      <c r="E87" s="16"/>
      <c r="F87" s="38"/>
      <c r="G87" s="16"/>
      <c r="H87" s="16"/>
      <c r="I87" s="16"/>
      <c r="J87" s="20"/>
      <c r="K87" s="20"/>
      <c r="L87" s="20"/>
      <c r="M87" s="20"/>
      <c r="N87" s="20"/>
      <c r="Q87" s="20"/>
      <c r="R87" s="20"/>
      <c r="S87" s="20"/>
      <c r="U87" s="20"/>
      <c r="V87" s="20"/>
      <c r="W87" s="20"/>
    </row>
    <row r="88" ht="14.25" customHeight="1">
      <c r="F88" s="20"/>
      <c r="J88" s="20"/>
      <c r="K88" s="20"/>
      <c r="L88" s="20"/>
      <c r="M88" s="20"/>
      <c r="N88" s="20"/>
      <c r="Q88" s="20"/>
      <c r="R88" s="20"/>
      <c r="S88" s="20"/>
      <c r="U88" s="20"/>
      <c r="V88" s="20"/>
      <c r="W88" s="20"/>
    </row>
    <row r="89" ht="14.25" customHeight="1">
      <c r="A89" s="16"/>
      <c r="B89" s="16"/>
      <c r="C89" s="16"/>
      <c r="D89" s="16"/>
      <c r="E89" s="16"/>
      <c r="F89" s="20"/>
      <c r="J89" s="20"/>
      <c r="K89" s="20"/>
      <c r="L89" s="20"/>
      <c r="M89" s="20"/>
      <c r="N89" s="20"/>
      <c r="P89" s="16"/>
      <c r="Q89" s="20"/>
      <c r="R89" s="20"/>
      <c r="S89" s="20"/>
      <c r="U89" s="20"/>
      <c r="V89" s="20"/>
      <c r="W89" s="20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autoFilter ref="$A$2:$W$89">
    <sortState ref="A2:W89">
      <sortCondition ref="P2:P89"/>
    </sortState>
  </autoFilter>
  <mergeCells count="1">
    <mergeCell ref="A1:N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15" width="8.63"/>
    <col customWidth="1" min="16" max="16" width="22.5"/>
    <col customWidth="1" min="17" max="17" width="9.13"/>
    <col customWidth="1" min="18" max="18" width="8.63"/>
    <col customWidth="1" min="19" max="19" width="13.5"/>
    <col customWidth="1" min="20" max="27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1481</v>
      </c>
      <c r="G1" s="14" t="s">
        <v>1482</v>
      </c>
      <c r="H1" s="14" t="s">
        <v>1483</v>
      </c>
      <c r="I1" s="14" t="s">
        <v>79</v>
      </c>
      <c r="J1" s="14" t="s">
        <v>83</v>
      </c>
      <c r="K1" s="14" t="s">
        <v>1484</v>
      </c>
      <c r="L1" s="14" t="s">
        <v>1485</v>
      </c>
      <c r="M1" s="14" t="s">
        <v>1486</v>
      </c>
      <c r="N1" s="14" t="s">
        <v>1487</v>
      </c>
      <c r="O1" s="14" t="s">
        <v>86</v>
      </c>
      <c r="P1" s="14" t="s">
        <v>87</v>
      </c>
      <c r="Q1" s="15"/>
      <c r="R1" s="14" t="s">
        <v>86</v>
      </c>
      <c r="S1" s="14" t="s">
        <v>88</v>
      </c>
      <c r="T1" s="14" t="s">
        <v>89</v>
      </c>
      <c r="U1" s="14" t="s">
        <v>91</v>
      </c>
      <c r="V1" s="14" t="s">
        <v>92</v>
      </c>
      <c r="W1" s="14" t="s">
        <v>1488</v>
      </c>
      <c r="Y1" s="16" t="s">
        <v>94</v>
      </c>
      <c r="Z1" s="16" t="s">
        <v>95</v>
      </c>
      <c r="AA1" s="16" t="s">
        <v>96</v>
      </c>
    </row>
    <row r="2" ht="14.25" customHeight="1">
      <c r="A2" s="17" t="s">
        <v>1091</v>
      </c>
      <c r="B2" s="17" t="s">
        <v>255</v>
      </c>
      <c r="C2" s="18">
        <v>23.0</v>
      </c>
      <c r="D2" s="17" t="s">
        <v>38</v>
      </c>
      <c r="E2" s="17" t="s">
        <v>124</v>
      </c>
      <c r="F2" s="18">
        <v>29.0</v>
      </c>
      <c r="G2" s="18">
        <v>36.0</v>
      </c>
      <c r="H2" s="18">
        <v>24.0</v>
      </c>
      <c r="I2" s="19">
        <v>0.667</v>
      </c>
      <c r="J2" s="18">
        <v>4.0</v>
      </c>
      <c r="K2" s="18">
        <v>1.0</v>
      </c>
      <c r="L2" s="18">
        <v>1.0</v>
      </c>
      <c r="M2" s="18">
        <v>2.0</v>
      </c>
      <c r="N2" s="18">
        <v>177.0</v>
      </c>
      <c r="O2" s="22">
        <v>2.35</v>
      </c>
      <c r="P2" s="22">
        <v>37.71</v>
      </c>
      <c r="Q2" s="15"/>
      <c r="R2" s="38">
        <v>2.35</v>
      </c>
      <c r="S2" s="16">
        <v>0.76</v>
      </c>
      <c r="T2" s="16">
        <v>6.1</v>
      </c>
      <c r="U2" s="14">
        <f t="array" ref="U2">XLOOKUP(E2, 'Conference Match'!$A$2:$A$25, 'Conference Match'!$C$2:$C$25)</f>
        <v>0.9</v>
      </c>
      <c r="V2" s="20">
        <f t="shared" ref="V2:V54" si="1">IFERROR(T2*0.7+R2*U2*0.15+S2*0.15, 0)</f>
        <v>4.70125</v>
      </c>
      <c r="W2" s="20">
        <f t="shared" ref="W2:W54" si="2">100*(V2-MIN($V$2:$V$126))/(MAX($V$2:$V$126) - MIN($V$2:$V$126))</f>
        <v>100</v>
      </c>
      <c r="Y2" s="20">
        <f>IFERROR(__xludf.DUMMYFUNCTION("iferror(PERCENTRANK.INC(FILTER($V$2:$V$425, $T$2:$T$425&lt;3.75), $V2), 1)"),1.0)</f>
        <v>1</v>
      </c>
      <c r="Z2" s="20">
        <f>IFERROR(__xludf.DUMMYFUNCTION("iferror(PERCENTRANK.INC(FILTER($V$2:$V$425, $T$2:$T$425&lt;4.5), $V2), 1)"),1.0)</f>
        <v>1</v>
      </c>
      <c r="AA2" s="20">
        <f>IFERROR(__xludf.DUMMYFUNCTION("iferror(PERCENTRANK.INC(FILTER($V$2:$V$425, $T$2:$T$425&gt;4.1), $V2), 0.01)"),1.0)</f>
        <v>1</v>
      </c>
    </row>
    <row r="3" ht="14.25" customHeight="1">
      <c r="A3" s="17" t="s">
        <v>1489</v>
      </c>
      <c r="B3" s="17" t="s">
        <v>419</v>
      </c>
      <c r="C3" s="18">
        <v>6.0</v>
      </c>
      <c r="D3" s="17" t="s">
        <v>38</v>
      </c>
      <c r="E3" s="17" t="s">
        <v>117</v>
      </c>
      <c r="F3" s="18">
        <v>54.0</v>
      </c>
      <c r="G3" s="18">
        <v>42.0</v>
      </c>
      <c r="H3" s="18">
        <v>21.0</v>
      </c>
      <c r="I3" s="19">
        <v>0.5</v>
      </c>
      <c r="J3" s="18">
        <v>2.0</v>
      </c>
      <c r="K3" s="18">
        <v>0.0</v>
      </c>
      <c r="L3" s="18">
        <v>7.0</v>
      </c>
      <c r="M3" s="18">
        <v>11.0</v>
      </c>
      <c r="N3" s="18">
        <v>245.0</v>
      </c>
      <c r="O3" s="22">
        <v>3.17</v>
      </c>
      <c r="P3" s="22">
        <v>64.33</v>
      </c>
      <c r="Q3" s="15"/>
      <c r="R3" s="38">
        <v>3.17</v>
      </c>
      <c r="S3" s="16">
        <v>0.62</v>
      </c>
      <c r="T3" s="16">
        <v>5.5</v>
      </c>
      <c r="U3" s="14">
        <f t="array" ref="U3">XLOOKUP(E3, 'Conference Match'!$A$2:$A$25, 'Conference Match'!$C$2:$C$25)</f>
        <v>0.95</v>
      </c>
      <c r="V3" s="20">
        <f t="shared" si="1"/>
        <v>4.394725</v>
      </c>
      <c r="W3" s="20">
        <f t="shared" si="2"/>
        <v>93.47992555</v>
      </c>
      <c r="Y3" s="20">
        <f>IFERROR(__xludf.DUMMYFUNCTION("iferror(PERCENTRANK.INC(FILTER($V$2:$V$425, $T$2:$T$425&lt;3.75), $V3), 1)"),1.0)</f>
        <v>1</v>
      </c>
      <c r="Z3" s="20">
        <f>IFERROR(__xludf.DUMMYFUNCTION("iferror(PERCENTRANK.INC(FILTER($V$2:$V$425, $T$2:$T$425&lt;4.5), $V3), 1)"),1.0)</f>
        <v>1</v>
      </c>
      <c r="AA3" s="20">
        <f>IFERROR(__xludf.DUMMYFUNCTION("iferror(PERCENTRANK.INC(FILTER($V$2:$V$425, $T$2:$T$425&gt;4.1), $V3), 0.01)"),0.955)</f>
        <v>0.955</v>
      </c>
    </row>
    <row r="4" ht="14.25" customHeight="1">
      <c r="A4" s="17" t="s">
        <v>1490</v>
      </c>
      <c r="B4" s="17" t="s">
        <v>157</v>
      </c>
      <c r="C4" s="18">
        <v>3.0</v>
      </c>
      <c r="D4" s="17" t="s">
        <v>38</v>
      </c>
      <c r="E4" s="17" t="s">
        <v>158</v>
      </c>
      <c r="F4" s="18">
        <v>57.0</v>
      </c>
      <c r="G4" s="18">
        <v>29.0</v>
      </c>
      <c r="H4" s="18">
        <v>15.0</v>
      </c>
      <c r="I4" s="19">
        <v>0.517</v>
      </c>
      <c r="J4" s="18">
        <v>1.0</v>
      </c>
      <c r="K4" s="18">
        <v>0.0</v>
      </c>
      <c r="L4" s="18">
        <v>2.0</v>
      </c>
      <c r="M4" s="18">
        <v>2.0</v>
      </c>
      <c r="N4" s="18">
        <v>203.0</v>
      </c>
      <c r="O4" s="22">
        <v>1.75</v>
      </c>
      <c r="P4" s="22">
        <v>18.33</v>
      </c>
      <c r="Q4" s="15"/>
      <c r="R4" s="38">
        <v>1.75</v>
      </c>
      <c r="S4" s="16">
        <v>0.16</v>
      </c>
      <c r="T4" s="16">
        <v>5.4</v>
      </c>
      <c r="U4" s="14">
        <f t="array" ref="U4">XLOOKUP(E4, 'Conference Match'!$A$2:$A$25, 'Conference Match'!$C$2:$C$25)</f>
        <v>0.95</v>
      </c>
      <c r="V4" s="20">
        <f t="shared" si="1"/>
        <v>4.053375</v>
      </c>
      <c r="W4" s="20">
        <f t="shared" si="2"/>
        <v>86.21909067</v>
      </c>
      <c r="Y4" s="20">
        <f>IFERROR(__xludf.DUMMYFUNCTION("iferror(PERCENTRANK.INC(FILTER($V$2:$V$425, $T$2:$T$425&lt;3.75), $V4), 1)"),1.0)</f>
        <v>1</v>
      </c>
      <c r="Z4" s="20">
        <f>IFERROR(__xludf.DUMMYFUNCTION("iferror(PERCENTRANK.INC(FILTER($V$2:$V$425, $T$2:$T$425&lt;4.5), $V4), 1)"),1.0)</f>
        <v>1</v>
      </c>
      <c r="AA4" s="20">
        <f>IFERROR(__xludf.DUMMYFUNCTION("iferror(PERCENTRANK.INC(FILTER($V$2:$V$425, $T$2:$T$425&gt;4.1), $V4), 0.01)"),0.909)</f>
        <v>0.909</v>
      </c>
    </row>
    <row r="5" ht="14.25" customHeight="1">
      <c r="A5" s="14" t="s">
        <v>1491</v>
      </c>
      <c r="B5" s="14" t="s">
        <v>410</v>
      </c>
      <c r="C5" s="14">
        <v>1.0</v>
      </c>
      <c r="D5" s="14" t="s">
        <v>38</v>
      </c>
      <c r="E5" s="14" t="s">
        <v>147</v>
      </c>
      <c r="F5" s="14">
        <v>53.0</v>
      </c>
      <c r="G5" s="14">
        <v>40.0</v>
      </c>
      <c r="H5" s="14">
        <v>22.0</v>
      </c>
      <c r="I5" s="60">
        <v>0.55</v>
      </c>
      <c r="J5" s="14">
        <v>0.0</v>
      </c>
      <c r="K5" s="14">
        <v>0.0</v>
      </c>
      <c r="L5" s="14">
        <v>3.0</v>
      </c>
      <c r="M5" s="14">
        <v>5.0</v>
      </c>
      <c r="N5" s="14">
        <v>224.0</v>
      </c>
      <c r="O5" s="20">
        <v>1.8934</v>
      </c>
      <c r="P5" s="20">
        <v>22.850071912616453</v>
      </c>
      <c r="Q5" s="15"/>
      <c r="R5" s="20">
        <v>1.8934</v>
      </c>
      <c r="S5" s="20">
        <v>0.068</v>
      </c>
      <c r="T5" s="38">
        <v>5.1</v>
      </c>
      <c r="U5" s="14">
        <f t="array" ref="U5">XLOOKUP(E5, 'Conference Match'!$A$2:$A$25, 'Conference Match'!$C$2:$C$25)</f>
        <v>0.95</v>
      </c>
      <c r="V5" s="20">
        <f t="shared" si="1"/>
        <v>3.8500095</v>
      </c>
      <c r="W5" s="20">
        <f t="shared" si="2"/>
        <v>81.89331561</v>
      </c>
      <c r="Y5" s="20">
        <f>IFERROR(__xludf.DUMMYFUNCTION("iferror(PERCENTRANK.INC(FILTER($V$2:$V$425, $T$2:$T$425&lt;3.75), $V5), 1)"),1.0)</f>
        <v>1</v>
      </c>
      <c r="Z5" s="20">
        <f>IFERROR(__xludf.DUMMYFUNCTION("iferror(PERCENTRANK.INC(FILTER($V$2:$V$425, $T$2:$T$425&lt;4.5), $V5), 1)"),1.0)</f>
        <v>1</v>
      </c>
      <c r="AA5" s="20">
        <f>IFERROR(__xludf.DUMMYFUNCTION("iferror(PERCENTRANK.INC(FILTER($V$2:$V$425, $T$2:$T$425&gt;4.1), $V5), 0.01)"),0.864)</f>
        <v>0.864</v>
      </c>
    </row>
    <row r="6" ht="14.25" customHeight="1">
      <c r="A6" s="16" t="s">
        <v>1492</v>
      </c>
      <c r="B6" s="16" t="s">
        <v>1493</v>
      </c>
      <c r="C6" s="16">
        <v>13.0</v>
      </c>
      <c r="D6" s="16" t="s">
        <v>38</v>
      </c>
      <c r="E6" s="16" t="s">
        <v>182</v>
      </c>
      <c r="F6" s="18">
        <v>43.0</v>
      </c>
      <c r="G6" s="18">
        <v>13.0</v>
      </c>
      <c r="H6" s="18">
        <v>8.0</v>
      </c>
      <c r="I6" s="19">
        <v>0.615</v>
      </c>
      <c r="J6" s="18">
        <v>0.0</v>
      </c>
      <c r="K6" s="18">
        <v>0.0</v>
      </c>
      <c r="L6" s="18">
        <v>2.0</v>
      </c>
      <c r="M6" s="18">
        <v>3.0</v>
      </c>
      <c r="N6" s="18">
        <v>86.0</v>
      </c>
      <c r="O6" s="22">
        <v>1.63</v>
      </c>
      <c r="P6" s="22">
        <v>14.4</v>
      </c>
      <c r="Q6" s="15"/>
      <c r="R6" s="38">
        <v>1.63</v>
      </c>
      <c r="S6" s="16">
        <v>-0.06</v>
      </c>
      <c r="T6" s="16">
        <v>5.0</v>
      </c>
      <c r="U6" s="14">
        <f t="array" ref="U6">XLOOKUP(E6, 'Conference Match'!$A$2:$A$25, 'Conference Match'!$C$2:$C$25)</f>
        <v>1</v>
      </c>
      <c r="V6" s="20">
        <f t="shared" si="1"/>
        <v>3.7355</v>
      </c>
      <c r="W6" s="20">
        <f t="shared" si="2"/>
        <v>79.45759107</v>
      </c>
      <c r="Y6" s="20">
        <f>IFERROR(__xludf.DUMMYFUNCTION("iferror(PERCENTRANK.INC(FILTER($V$2:$V$425, $T$2:$T$425&lt;3.75), $V6), 1)"),1.0)</f>
        <v>1</v>
      </c>
      <c r="Z6" s="20">
        <f>IFERROR(__xludf.DUMMYFUNCTION("iferror(PERCENTRANK.INC(FILTER($V$2:$V$425, $T$2:$T$425&lt;4.5), $V6), 1)"),0.997)</f>
        <v>0.997</v>
      </c>
      <c r="AA6" s="20">
        <f>IFERROR(__xludf.DUMMYFUNCTION("iferror(PERCENTRANK.INC(FILTER($V$2:$V$425, $T$2:$T$425&gt;4.1), $V6), 0.01)"),0.727)</f>
        <v>0.727</v>
      </c>
    </row>
    <row r="7" ht="14.25" customHeight="1">
      <c r="A7" s="17" t="s">
        <v>1494</v>
      </c>
      <c r="B7" s="17" t="s">
        <v>339</v>
      </c>
      <c r="C7" s="18">
        <v>4.0</v>
      </c>
      <c r="D7" s="17" t="s">
        <v>38</v>
      </c>
      <c r="E7" s="17" t="s">
        <v>105</v>
      </c>
      <c r="F7" s="18">
        <v>17.0</v>
      </c>
      <c r="G7" s="18">
        <v>15.0</v>
      </c>
      <c r="H7" s="18">
        <v>7.0</v>
      </c>
      <c r="I7" s="19">
        <v>0.467</v>
      </c>
      <c r="J7" s="18">
        <v>1.0</v>
      </c>
      <c r="K7" s="18">
        <v>0.0</v>
      </c>
      <c r="L7" s="18">
        <v>1.0</v>
      </c>
      <c r="M7" s="18">
        <v>2.0</v>
      </c>
      <c r="N7" s="18">
        <v>127.0</v>
      </c>
      <c r="O7" s="22">
        <v>1.65</v>
      </c>
      <c r="P7" s="22">
        <v>15.11</v>
      </c>
      <c r="Q7" s="15"/>
      <c r="R7" s="38">
        <v>1.65</v>
      </c>
      <c r="S7" s="16">
        <v>0.31</v>
      </c>
      <c r="T7" s="16">
        <v>5.0</v>
      </c>
      <c r="U7" s="14">
        <f t="array" ref="U7">XLOOKUP(E7, 'Conference Match'!$A$2:$A$25, 'Conference Match'!$C$2:$C$25)</f>
        <v>0.9</v>
      </c>
      <c r="V7" s="20">
        <f t="shared" si="1"/>
        <v>3.76925</v>
      </c>
      <c r="W7" s="20">
        <f t="shared" si="2"/>
        <v>80.17548524</v>
      </c>
      <c r="Y7" s="20">
        <f>IFERROR(__xludf.DUMMYFUNCTION("iferror(PERCENTRANK.INC(FILTER($V$2:$V$425, $T$2:$T$425&lt;3.75), $V7), 1)"),1.0)</f>
        <v>1</v>
      </c>
      <c r="Z7" s="20">
        <f>IFERROR(__xludf.DUMMYFUNCTION("iferror(PERCENTRANK.INC(FILTER($V$2:$V$425, $T$2:$T$425&lt;4.5), $V7), 1)"),0.999)</f>
        <v>0.999</v>
      </c>
      <c r="AA7" s="20">
        <f>IFERROR(__xludf.DUMMYFUNCTION("iferror(PERCENTRANK.INC(FILTER($V$2:$V$425, $T$2:$T$425&gt;4.1), $V7), 0.01)"),0.818)</f>
        <v>0.818</v>
      </c>
    </row>
    <row r="8" ht="14.25" customHeight="1">
      <c r="A8" s="17" t="s">
        <v>1495</v>
      </c>
      <c r="B8" s="17" t="s">
        <v>1496</v>
      </c>
      <c r="C8" s="18">
        <v>20.0</v>
      </c>
      <c r="D8" s="17" t="s">
        <v>38</v>
      </c>
      <c r="E8" s="17" t="s">
        <v>220</v>
      </c>
      <c r="F8" s="18">
        <v>16.0</v>
      </c>
      <c r="G8" s="18">
        <v>19.0</v>
      </c>
      <c r="H8" s="18">
        <v>9.0</v>
      </c>
      <c r="I8" s="19">
        <v>0.474</v>
      </c>
      <c r="J8" s="18">
        <v>0.0</v>
      </c>
      <c r="K8" s="18">
        <v>0.0</v>
      </c>
      <c r="L8" s="18">
        <v>2.0</v>
      </c>
      <c r="M8" s="18">
        <v>3.0</v>
      </c>
      <c r="N8" s="18">
        <v>133.0</v>
      </c>
      <c r="O8" s="22">
        <v>1.63</v>
      </c>
      <c r="P8" s="22">
        <v>14.46</v>
      </c>
      <c r="Q8" s="15"/>
      <c r="R8" s="38">
        <v>1.63</v>
      </c>
      <c r="S8" s="16">
        <v>0.01</v>
      </c>
      <c r="T8" s="16">
        <v>5.0</v>
      </c>
      <c r="U8" s="14">
        <f t="array" ref="U8">XLOOKUP(E8, 'Conference Match'!$A$2:$A$25, 'Conference Match'!$C$2:$C$25)</f>
        <v>1</v>
      </c>
      <c r="V8" s="20">
        <f t="shared" si="1"/>
        <v>3.746</v>
      </c>
      <c r="W8" s="20">
        <f t="shared" si="2"/>
        <v>79.68093592</v>
      </c>
      <c r="Y8" s="20">
        <f>IFERROR(__xludf.DUMMYFUNCTION("iferror(PERCENTRANK.INC(FILTER($V$2:$V$425, $T$2:$T$425&lt;3.75), $V8), 1)"),1.0)</f>
        <v>1</v>
      </c>
      <c r="Z8" s="20">
        <f>IFERROR(__xludf.DUMMYFUNCTION("iferror(PERCENTRANK.INC(FILTER($V$2:$V$425, $T$2:$T$425&lt;4.5), $V8), 1)"),0.997)</f>
        <v>0.997</v>
      </c>
      <c r="AA8" s="20">
        <f>IFERROR(__xludf.DUMMYFUNCTION("iferror(PERCENTRANK.INC(FILTER($V$2:$V$425, $T$2:$T$425&gt;4.1), $V8), 0.01)"),0.773)</f>
        <v>0.773</v>
      </c>
    </row>
    <row r="9" ht="14.25" customHeight="1">
      <c r="A9" s="14" t="s">
        <v>1497</v>
      </c>
      <c r="B9" s="14" t="s">
        <v>577</v>
      </c>
      <c r="C9" s="14">
        <v>6.0</v>
      </c>
      <c r="D9" s="14" t="s">
        <v>38</v>
      </c>
      <c r="E9" s="14" t="s">
        <v>144</v>
      </c>
      <c r="F9" s="14">
        <v>73.0</v>
      </c>
      <c r="G9" s="14">
        <v>29.0</v>
      </c>
      <c r="H9" s="14">
        <v>16.0</v>
      </c>
      <c r="I9" s="60">
        <v>0.552</v>
      </c>
      <c r="J9" s="14">
        <v>0.0</v>
      </c>
      <c r="K9" s="14">
        <v>0.0</v>
      </c>
      <c r="L9" s="14">
        <v>1.0</v>
      </c>
      <c r="M9" s="14">
        <v>1.0</v>
      </c>
      <c r="N9" s="14">
        <v>228.0</v>
      </c>
      <c r="O9" s="20">
        <v>1.3733759999999997</v>
      </c>
      <c r="P9" s="20">
        <v>6.004897832255716</v>
      </c>
      <c r="Q9" s="15"/>
      <c r="R9" s="20">
        <v>1.3733759999999997</v>
      </c>
      <c r="S9" s="16">
        <v>0.24</v>
      </c>
      <c r="T9" s="16">
        <v>4.9</v>
      </c>
      <c r="U9" s="14">
        <f t="array" ref="U9">XLOOKUP(E9, 'Conference Match'!$A$2:$A$25, 'Conference Match'!$C$2:$C$25)</f>
        <v>0.95</v>
      </c>
      <c r="V9" s="20">
        <f t="shared" si="1"/>
        <v>3.66170608</v>
      </c>
      <c r="W9" s="20">
        <f t="shared" si="2"/>
        <v>77.88792513</v>
      </c>
      <c r="Y9" s="20">
        <f>IFERROR(__xludf.DUMMYFUNCTION("iferror(PERCENTRANK.INC(FILTER($V$2:$V$425, $T$2:$T$425&lt;3.75), $V9), 1)"),1.0)</f>
        <v>1</v>
      </c>
      <c r="Z9" s="20">
        <f>IFERROR(__xludf.DUMMYFUNCTION("iferror(PERCENTRANK.INC(FILTER($V$2:$V$425, $T$2:$T$425&lt;4.5), $V9), 1)"),0.993)</f>
        <v>0.993</v>
      </c>
      <c r="AA9" s="20">
        <f>IFERROR(__xludf.DUMMYFUNCTION("iferror(PERCENTRANK.INC(FILTER($V$2:$V$425, $T$2:$T$425&gt;4.1), $V9), 0.01)"),0.636)</f>
        <v>0.636</v>
      </c>
    </row>
    <row r="10" ht="14.25" customHeight="1">
      <c r="A10" s="23" t="s">
        <v>1498</v>
      </c>
      <c r="B10" s="17" t="s">
        <v>505</v>
      </c>
      <c r="C10" s="18">
        <v>8.0</v>
      </c>
      <c r="D10" s="17" t="s">
        <v>38</v>
      </c>
      <c r="E10" s="17" t="s">
        <v>506</v>
      </c>
      <c r="F10" s="18">
        <v>54.0</v>
      </c>
      <c r="G10" s="18">
        <v>21.0</v>
      </c>
      <c r="H10" s="18">
        <v>11.0</v>
      </c>
      <c r="I10" s="19">
        <v>0.524</v>
      </c>
      <c r="J10" s="18">
        <v>0.0</v>
      </c>
      <c r="K10" s="18">
        <v>0.0</v>
      </c>
      <c r="L10" s="18">
        <v>1.0</v>
      </c>
      <c r="M10" s="18">
        <v>1.0</v>
      </c>
      <c r="N10" s="18">
        <v>161.0</v>
      </c>
      <c r="O10" s="22">
        <v>1.37</v>
      </c>
      <c r="P10" s="22">
        <v>6.02</v>
      </c>
      <c r="Q10" s="15"/>
      <c r="R10" s="38">
        <v>1.37</v>
      </c>
      <c r="S10" s="16">
        <v>0.017</v>
      </c>
      <c r="T10" s="16">
        <v>4.9</v>
      </c>
      <c r="U10" s="14">
        <f t="array" ref="U10">XLOOKUP(E10, 'Conference Match'!$A$2:$A$25, 'Conference Match'!$C$2:$C$25)</f>
        <v>0.95</v>
      </c>
      <c r="V10" s="20">
        <f t="shared" si="1"/>
        <v>3.627775</v>
      </c>
      <c r="W10" s="20">
        <f t="shared" si="2"/>
        <v>77.16617921</v>
      </c>
      <c r="Y10" s="20">
        <f>IFERROR(__xludf.DUMMYFUNCTION("iferror(PERCENTRANK.INC(FILTER($V$2:$V$425, $T$2:$T$425&lt;3.75), $V10), 1)"),1.0)</f>
        <v>1</v>
      </c>
      <c r="Z10" s="20">
        <f>IFERROR(__xludf.DUMMYFUNCTION("iferror(PERCENTRANK.INC(FILTER($V$2:$V$425, $T$2:$T$425&lt;4.5), $V10), 1)"),0.991)</f>
        <v>0.991</v>
      </c>
      <c r="AA10" s="20">
        <f>IFERROR(__xludf.DUMMYFUNCTION("iferror(PERCENTRANK.INC(FILTER($V$2:$V$425, $T$2:$T$425&gt;4.1), $V10), 0.01)"),0.545)</f>
        <v>0.545</v>
      </c>
    </row>
    <row r="11" ht="14.25" customHeight="1">
      <c r="A11" s="17" t="s">
        <v>1499</v>
      </c>
      <c r="B11" s="17" t="s">
        <v>457</v>
      </c>
      <c r="C11" s="18">
        <v>9.0</v>
      </c>
      <c r="D11" s="17" t="s">
        <v>38</v>
      </c>
      <c r="E11" s="17" t="s">
        <v>108</v>
      </c>
      <c r="F11" s="18">
        <v>34.0</v>
      </c>
      <c r="G11" s="18">
        <v>16.0</v>
      </c>
      <c r="H11" s="18">
        <v>7.0</v>
      </c>
      <c r="I11" s="19">
        <v>0.438</v>
      </c>
      <c r="J11" s="18">
        <v>1.0</v>
      </c>
      <c r="K11" s="18">
        <v>0.0</v>
      </c>
      <c r="L11" s="18">
        <v>2.0</v>
      </c>
      <c r="M11" s="18">
        <v>2.0</v>
      </c>
      <c r="N11" s="18">
        <v>110.0</v>
      </c>
      <c r="O11" s="22">
        <v>1.75</v>
      </c>
      <c r="P11" s="22">
        <v>18.36</v>
      </c>
      <c r="Q11" s="15"/>
      <c r="R11" s="38">
        <v>1.75</v>
      </c>
      <c r="S11" s="16">
        <v>0.16</v>
      </c>
      <c r="T11" s="16">
        <v>4.9</v>
      </c>
      <c r="U11" s="14">
        <f t="array" ref="U11">XLOOKUP(E11, 'Conference Match'!$A$2:$A$25, 'Conference Match'!$C$2:$C$25)</f>
        <v>1</v>
      </c>
      <c r="V11" s="20">
        <f t="shared" si="1"/>
        <v>3.7165</v>
      </c>
      <c r="W11" s="20">
        <f t="shared" si="2"/>
        <v>79.05344323</v>
      </c>
      <c r="Y11" s="20">
        <f>IFERROR(__xludf.DUMMYFUNCTION("iferror(PERCENTRANK.INC(FILTER($V$2:$V$425, $T$2:$T$425&lt;3.75), $V11), 1)"),1.0)</f>
        <v>1</v>
      </c>
      <c r="Z11" s="20">
        <f>IFERROR(__xludf.DUMMYFUNCTION("iferror(PERCENTRANK.INC(FILTER($V$2:$V$425, $T$2:$T$425&lt;4.5), $V11), 1)"),0.996)</f>
        <v>0.996</v>
      </c>
      <c r="AA11" s="20">
        <f>IFERROR(__xludf.DUMMYFUNCTION("iferror(PERCENTRANK.INC(FILTER($V$2:$V$425, $T$2:$T$425&gt;4.1), $V11), 0.01)"),0.682)</f>
        <v>0.682</v>
      </c>
    </row>
    <row r="12" ht="14.25" customHeight="1">
      <c r="A12" s="16" t="s">
        <v>1500</v>
      </c>
      <c r="B12" s="16" t="s">
        <v>1371</v>
      </c>
      <c r="C12" s="16">
        <v>3.0</v>
      </c>
      <c r="D12" s="16" t="s">
        <v>38</v>
      </c>
      <c r="E12" s="16" t="s">
        <v>117</v>
      </c>
      <c r="F12" s="16">
        <v>8.0</v>
      </c>
      <c r="G12" s="16">
        <v>5.0</v>
      </c>
      <c r="H12" s="16">
        <v>2.0</v>
      </c>
      <c r="I12" s="26">
        <v>0.4</v>
      </c>
      <c r="J12" s="16">
        <v>0.0</v>
      </c>
      <c r="K12" s="16">
        <v>0.0</v>
      </c>
      <c r="L12" s="16">
        <v>0.0</v>
      </c>
      <c r="M12" s="16">
        <v>1.0</v>
      </c>
      <c r="N12" s="16">
        <v>49.0</v>
      </c>
      <c r="O12" s="20">
        <f>((100-I648)*0.6+J648*10+L648*5+M648*4+K648*5)/50</f>
        <v>1.2</v>
      </c>
      <c r="P12" s="38">
        <v>0.39</v>
      </c>
      <c r="Q12" s="15"/>
      <c r="R12" s="38">
        <v>1.2</v>
      </c>
      <c r="S12" s="16">
        <v>-0.05</v>
      </c>
      <c r="T12" s="16">
        <v>4.8</v>
      </c>
      <c r="U12" s="14">
        <f t="array" ref="U12">XLOOKUP(E12, 'Conference Match'!$A$2:$A$25, 'Conference Match'!$C$2:$C$25)</f>
        <v>0.95</v>
      </c>
      <c r="V12" s="20">
        <f t="shared" si="1"/>
        <v>3.5235</v>
      </c>
      <c r="W12" s="20">
        <f t="shared" si="2"/>
        <v>74.94815209</v>
      </c>
      <c r="Y12" s="20">
        <f>IFERROR(__xludf.DUMMYFUNCTION("iferror(PERCENTRANK.INC(FILTER($V$2:$V$425, $T$2:$T$425&lt;3.75), $V12), 1)"),1.0)</f>
        <v>1</v>
      </c>
      <c r="Z12" s="20">
        <f>IFERROR(__xludf.DUMMYFUNCTION("iferror(PERCENTRANK.INC(FILTER($V$2:$V$425, $T$2:$T$425&lt;4.5), $V12), 1)"),0.984)</f>
        <v>0.984</v>
      </c>
      <c r="AA12" s="20">
        <f>IFERROR(__xludf.DUMMYFUNCTION("iferror(PERCENTRANK.INC(FILTER($V$2:$V$425, $T$2:$T$425&gt;4.1), $V12), 0.01)"),0.455)</f>
        <v>0.455</v>
      </c>
    </row>
    <row r="13" ht="14.25" customHeight="1">
      <c r="A13" s="17" t="s">
        <v>1501</v>
      </c>
      <c r="B13" s="17" t="s">
        <v>365</v>
      </c>
      <c r="C13" s="18">
        <v>12.0</v>
      </c>
      <c r="D13" s="17" t="s">
        <v>38</v>
      </c>
      <c r="E13" s="17" t="s">
        <v>99</v>
      </c>
      <c r="F13" s="18">
        <v>63.0</v>
      </c>
      <c r="G13" s="18">
        <v>38.0</v>
      </c>
      <c r="H13" s="18">
        <v>25.0</v>
      </c>
      <c r="I13" s="19">
        <v>0.658</v>
      </c>
      <c r="J13" s="18">
        <v>0.0</v>
      </c>
      <c r="K13" s="18">
        <v>0.0</v>
      </c>
      <c r="L13" s="18">
        <v>5.0</v>
      </c>
      <c r="M13" s="18">
        <v>5.0</v>
      </c>
      <c r="N13" s="18">
        <v>255.0</v>
      </c>
      <c r="O13" s="22">
        <v>2.09</v>
      </c>
      <c r="P13" s="22">
        <v>29.29</v>
      </c>
      <c r="Q13" s="15"/>
      <c r="R13" s="38">
        <v>2.09</v>
      </c>
      <c r="S13" s="16">
        <v>0.29</v>
      </c>
      <c r="T13" s="16">
        <v>4.7</v>
      </c>
      <c r="U13" s="14">
        <f t="array" ref="U13">XLOOKUP(E13, 'Conference Match'!$A$2:$A$25, 'Conference Match'!$C$2:$C$25)</f>
        <v>1</v>
      </c>
      <c r="V13" s="20">
        <f t="shared" si="1"/>
        <v>3.647</v>
      </c>
      <c r="W13" s="20">
        <f t="shared" si="2"/>
        <v>77.575113</v>
      </c>
      <c r="Y13" s="20">
        <f>IFERROR(__xludf.DUMMYFUNCTION("iferror(PERCENTRANK.INC(FILTER($V$2:$V$425, $T$2:$T$425&lt;3.75), $V13), 1)"),1.0)</f>
        <v>1</v>
      </c>
      <c r="Z13" s="20">
        <f>IFERROR(__xludf.DUMMYFUNCTION("iferror(PERCENTRANK.INC(FILTER($V$2:$V$425, $T$2:$T$425&lt;4.5), $V13), 1)"),0.992)</f>
        <v>0.992</v>
      </c>
      <c r="AA13" s="20">
        <f>IFERROR(__xludf.DUMMYFUNCTION("iferror(PERCENTRANK.INC(FILTER($V$2:$V$425, $T$2:$T$425&gt;4.1), $V13), 0.01)"),0.591)</f>
        <v>0.591</v>
      </c>
    </row>
    <row r="14" ht="14.25" customHeight="1">
      <c r="A14" s="17" t="s">
        <v>1502</v>
      </c>
      <c r="B14" s="17" t="s">
        <v>329</v>
      </c>
      <c r="C14" s="18">
        <v>9.0</v>
      </c>
      <c r="D14" s="17" t="s">
        <v>38</v>
      </c>
      <c r="E14" s="17" t="s">
        <v>99</v>
      </c>
      <c r="F14" s="18">
        <v>39.0</v>
      </c>
      <c r="G14" s="18">
        <v>31.0</v>
      </c>
      <c r="H14" s="18">
        <v>14.0</v>
      </c>
      <c r="I14" s="19">
        <v>0.452</v>
      </c>
      <c r="J14" s="18">
        <v>0.0</v>
      </c>
      <c r="K14" s="18">
        <v>1.0</v>
      </c>
      <c r="L14" s="18">
        <v>2.0</v>
      </c>
      <c r="M14" s="18">
        <v>4.0</v>
      </c>
      <c r="N14" s="18">
        <v>250.0</v>
      </c>
      <c r="O14" s="22">
        <v>1.81</v>
      </c>
      <c r="P14" s="22">
        <v>20.3</v>
      </c>
      <c r="Q14" s="15"/>
      <c r="R14" s="38">
        <v>1.81</v>
      </c>
      <c r="S14" s="16">
        <v>0.08</v>
      </c>
      <c r="T14" s="16">
        <v>4.6</v>
      </c>
      <c r="U14" s="14">
        <f t="array" ref="U14">XLOOKUP(E14, 'Conference Match'!$A$2:$A$25, 'Conference Match'!$C$2:$C$25)</f>
        <v>1</v>
      </c>
      <c r="V14" s="20">
        <f t="shared" si="1"/>
        <v>3.5035</v>
      </c>
      <c r="W14" s="20">
        <f t="shared" si="2"/>
        <v>74.52273332</v>
      </c>
      <c r="Y14" s="20">
        <f>IFERROR(__xludf.DUMMYFUNCTION("iferror(PERCENTRANK.INC(FILTER($V$2:$V$425, $T$2:$T$425&lt;3.75), $V14), 1)"),1.0)</f>
        <v>1</v>
      </c>
      <c r="Z14" s="20">
        <f>IFERROR(__xludf.DUMMYFUNCTION("iferror(PERCENTRANK.INC(FILTER($V$2:$V$425, $T$2:$T$425&lt;4.5), $V14), 1)"),0.983)</f>
        <v>0.983</v>
      </c>
      <c r="AA14" s="20">
        <f>IFERROR(__xludf.DUMMYFUNCTION("iferror(PERCENTRANK.INC(FILTER($V$2:$V$425, $T$2:$T$425&gt;4.1), $V14), 0.01)"),0.409)</f>
        <v>0.409</v>
      </c>
    </row>
    <row r="15" ht="14.25" customHeight="1">
      <c r="A15" s="17" t="s">
        <v>1503</v>
      </c>
      <c r="B15" s="17" t="s">
        <v>1496</v>
      </c>
      <c r="C15" s="18">
        <v>13.0</v>
      </c>
      <c r="D15" s="17" t="s">
        <v>38</v>
      </c>
      <c r="E15" s="17" t="s">
        <v>220</v>
      </c>
      <c r="F15" s="18">
        <v>36.0</v>
      </c>
      <c r="G15" s="18">
        <v>60.0</v>
      </c>
      <c r="H15" s="18">
        <v>38.0</v>
      </c>
      <c r="I15" s="19">
        <v>0.633</v>
      </c>
      <c r="J15" s="18">
        <v>4.0</v>
      </c>
      <c r="K15" s="18">
        <v>1.0</v>
      </c>
      <c r="L15" s="18">
        <v>3.0</v>
      </c>
      <c r="M15" s="18">
        <v>5.0</v>
      </c>
      <c r="N15" s="18">
        <v>357.0</v>
      </c>
      <c r="O15" s="22">
        <v>2.79</v>
      </c>
      <c r="P15" s="22">
        <v>51.97</v>
      </c>
      <c r="Q15" s="15"/>
      <c r="R15" s="38">
        <v>2.79</v>
      </c>
      <c r="S15" s="16">
        <v>0.52</v>
      </c>
      <c r="T15" s="16">
        <v>4.4</v>
      </c>
      <c r="U15" s="14">
        <f t="array" ref="U15">XLOOKUP(E15, 'Conference Match'!$A$2:$A$25, 'Conference Match'!$C$2:$C$25)</f>
        <v>1</v>
      </c>
      <c r="V15" s="20">
        <f t="shared" si="1"/>
        <v>3.5765</v>
      </c>
      <c r="W15" s="20">
        <f t="shared" si="2"/>
        <v>76.07551183</v>
      </c>
      <c r="Y15" s="20">
        <f>IFERROR(__xludf.DUMMYFUNCTION("iferror(PERCENTRANK.INC(FILTER($V$2:$V$425, $T$2:$T$425&lt;3.75), $V15), 1)"),1.0)</f>
        <v>1</v>
      </c>
      <c r="Z15" s="20">
        <f>IFERROR(__xludf.DUMMYFUNCTION("iferror(PERCENTRANK.INC(FILTER($V$2:$V$425, $T$2:$T$425&lt;4.5), $V15), 1)"),0.989)</f>
        <v>0.989</v>
      </c>
      <c r="AA15" s="20">
        <f>IFERROR(__xludf.DUMMYFUNCTION("iferror(PERCENTRANK.INC(FILTER($V$2:$V$425, $T$2:$T$425&gt;4.1), $V15), 0.01)"),0.5)</f>
        <v>0.5</v>
      </c>
    </row>
    <row r="16" ht="14.25" customHeight="1">
      <c r="A16" s="17" t="s">
        <v>1504</v>
      </c>
      <c r="B16" s="17" t="s">
        <v>431</v>
      </c>
      <c r="C16" s="18">
        <v>4.0</v>
      </c>
      <c r="D16" s="17" t="s">
        <v>38</v>
      </c>
      <c r="E16" s="17" t="s">
        <v>144</v>
      </c>
      <c r="F16" s="18">
        <v>51.0</v>
      </c>
      <c r="G16" s="18">
        <v>44.0</v>
      </c>
      <c r="H16" s="18">
        <v>27.0</v>
      </c>
      <c r="I16" s="19">
        <v>0.614</v>
      </c>
      <c r="J16" s="18">
        <v>0.0</v>
      </c>
      <c r="K16" s="18">
        <v>1.0</v>
      </c>
      <c r="L16" s="18">
        <v>2.0</v>
      </c>
      <c r="M16" s="18">
        <v>5.0</v>
      </c>
      <c r="N16" s="18">
        <v>262.0</v>
      </c>
      <c r="O16" s="22">
        <v>1.89</v>
      </c>
      <c r="P16" s="22">
        <v>22.83</v>
      </c>
      <c r="Q16" s="15"/>
      <c r="R16" s="38">
        <v>1.89</v>
      </c>
      <c r="S16" s="16">
        <v>0.15</v>
      </c>
      <c r="T16" s="16">
        <v>4.3</v>
      </c>
      <c r="U16" s="14">
        <f t="array" ref="U16">XLOOKUP(E16, 'Conference Match'!$A$2:$A$25, 'Conference Match'!$C$2:$C$25)</f>
        <v>0.95</v>
      </c>
      <c r="V16" s="20">
        <f t="shared" si="1"/>
        <v>3.301825</v>
      </c>
      <c r="W16" s="20">
        <f t="shared" si="2"/>
        <v>70.23291678</v>
      </c>
      <c r="Y16" s="20">
        <f>IFERROR(__xludf.DUMMYFUNCTION("iferror(PERCENTRANK.INC(FILTER($V$2:$V$425, $T$2:$T$425&lt;3.75), $V16), 1)"),1.0)</f>
        <v>1</v>
      </c>
      <c r="Z16" s="20">
        <f>IFERROR(__xludf.DUMMYFUNCTION("iferror(PERCENTRANK.INC(FILTER($V$2:$V$425, $T$2:$T$425&lt;4.5), $V16), 1)"),0.955)</f>
        <v>0.955</v>
      </c>
      <c r="AA16" s="20">
        <f>IFERROR(__xludf.DUMMYFUNCTION("iferror(PERCENTRANK.INC(FILTER($V$2:$V$425, $T$2:$T$425&gt;4.1), $V16), 0.01)"),0.227)</f>
        <v>0.227</v>
      </c>
    </row>
    <row r="17" ht="14.25" customHeight="1">
      <c r="A17" s="16" t="s">
        <v>1505</v>
      </c>
      <c r="B17" s="16" t="s">
        <v>1506</v>
      </c>
      <c r="C17" s="16">
        <v>0.0</v>
      </c>
      <c r="D17" s="16" t="s">
        <v>38</v>
      </c>
      <c r="E17" s="16" t="s">
        <v>114</v>
      </c>
      <c r="F17" s="18">
        <v>103.0</v>
      </c>
      <c r="G17" s="18">
        <v>55.0</v>
      </c>
      <c r="H17" s="18">
        <v>26.0</v>
      </c>
      <c r="I17" s="19">
        <v>0.473</v>
      </c>
      <c r="J17" s="18">
        <v>0.0</v>
      </c>
      <c r="K17" s="18">
        <v>1.0</v>
      </c>
      <c r="L17" s="18">
        <v>10.0</v>
      </c>
      <c r="M17" s="18">
        <v>12.0</v>
      </c>
      <c r="N17" s="18">
        <v>299.0</v>
      </c>
      <c r="O17" s="22">
        <v>3.25</v>
      </c>
      <c r="P17" s="22">
        <v>66.93</v>
      </c>
      <c r="Q17" s="15"/>
      <c r="R17" s="38">
        <v>3.25</v>
      </c>
      <c r="S17" s="16">
        <v>0.87</v>
      </c>
      <c r="T17" s="16">
        <v>4.3</v>
      </c>
      <c r="U17" s="16">
        <v>0.0</v>
      </c>
      <c r="V17" s="20">
        <f t="shared" si="1"/>
        <v>3.1405</v>
      </c>
      <c r="W17" s="20">
        <f t="shared" si="2"/>
        <v>66.80138261</v>
      </c>
      <c r="Y17" s="20">
        <f>IFERROR(__xludf.DUMMYFUNCTION("iferror(PERCENTRANK.INC(FILTER($V$2:$V$425, $T$2:$T$425&lt;3.75), $V17), 1)"),1.0)</f>
        <v>1</v>
      </c>
      <c r="Z17" s="20">
        <f>IFERROR(__xludf.DUMMYFUNCTION("iferror(PERCENTRANK.INC(FILTER($V$2:$V$425, $T$2:$T$425&lt;4.5), $V17), 1)"),0.899)</f>
        <v>0.899</v>
      </c>
      <c r="AA17" s="20">
        <f>IFERROR(__xludf.DUMMYFUNCTION("iferror(PERCENTRANK.INC(FILTER($V$2:$V$425, $T$2:$T$425&gt;4.1), $V17), 0.01)"),0.045)</f>
        <v>0.045</v>
      </c>
    </row>
    <row r="18" ht="14.25" customHeight="1">
      <c r="A18" s="17" t="s">
        <v>1507</v>
      </c>
      <c r="B18" s="17" t="s">
        <v>437</v>
      </c>
      <c r="C18" s="18">
        <v>29.0</v>
      </c>
      <c r="D18" s="17" t="s">
        <v>38</v>
      </c>
      <c r="E18" s="17" t="s">
        <v>127</v>
      </c>
      <c r="F18" s="18">
        <v>17.0</v>
      </c>
      <c r="G18" s="18">
        <v>48.0</v>
      </c>
      <c r="H18" s="18">
        <v>28.0</v>
      </c>
      <c r="I18" s="19">
        <v>0.583</v>
      </c>
      <c r="J18" s="18">
        <v>2.0</v>
      </c>
      <c r="K18" s="18">
        <v>0.0</v>
      </c>
      <c r="L18" s="18">
        <v>6.0</v>
      </c>
      <c r="M18" s="18">
        <v>7.0</v>
      </c>
      <c r="N18" s="18">
        <v>361.0</v>
      </c>
      <c r="O18" s="22">
        <v>2.75</v>
      </c>
      <c r="P18" s="22">
        <v>50.7</v>
      </c>
      <c r="Q18" s="15"/>
      <c r="R18" s="38">
        <v>2.75</v>
      </c>
      <c r="S18" s="16">
        <v>0.4</v>
      </c>
      <c r="T18" s="16">
        <v>4.3</v>
      </c>
      <c r="U18" s="14">
        <f t="array" ref="U18">XLOOKUP(E18, 'Conference Match'!$A$2:$A$25, 'Conference Match'!$C$2:$C$25)</f>
        <v>0.9</v>
      </c>
      <c r="V18" s="20">
        <f t="shared" si="1"/>
        <v>3.44125</v>
      </c>
      <c r="W18" s="20">
        <f t="shared" si="2"/>
        <v>73.19861739</v>
      </c>
      <c r="Y18" s="20">
        <f>IFERROR(__xludf.DUMMYFUNCTION("iferror(PERCENTRANK.INC(FILTER($V$2:$V$425, $T$2:$T$425&lt;3.75), $V18), 1)"),1.0)</f>
        <v>1</v>
      </c>
      <c r="Z18" s="20">
        <f>IFERROR(__xludf.DUMMYFUNCTION("iferror(PERCENTRANK.INC(FILTER($V$2:$V$425, $T$2:$T$425&lt;4.5), $V18), 1)"),0.978)</f>
        <v>0.978</v>
      </c>
      <c r="AA18" s="20">
        <f>IFERROR(__xludf.DUMMYFUNCTION("iferror(PERCENTRANK.INC(FILTER($V$2:$V$425, $T$2:$T$425&gt;4.1), $V18), 0.01)"),0.318)</f>
        <v>0.318</v>
      </c>
    </row>
    <row r="19" ht="14.25" customHeight="1">
      <c r="A19" s="14" t="s">
        <v>1508</v>
      </c>
      <c r="B19" s="14" t="s">
        <v>331</v>
      </c>
      <c r="C19" s="14">
        <v>21.0</v>
      </c>
      <c r="D19" s="14" t="s">
        <v>38</v>
      </c>
      <c r="E19" s="14" t="s">
        <v>182</v>
      </c>
      <c r="I19" s="60"/>
      <c r="O19" s="20">
        <v>1.36</v>
      </c>
      <c r="P19" s="20">
        <v>5.5</v>
      </c>
      <c r="Q19" s="15"/>
      <c r="R19" s="20">
        <v>1.36</v>
      </c>
      <c r="S19" s="16">
        <v>0.01</v>
      </c>
      <c r="T19" s="16">
        <v>4.2</v>
      </c>
      <c r="U19" s="14">
        <f t="array" ref="U19">XLOOKUP(E19, 'Conference Match'!$A$2:$A$25, 'Conference Match'!$C$2:$C$25)</f>
        <v>1</v>
      </c>
      <c r="V19" s="20">
        <f t="shared" si="1"/>
        <v>3.1455</v>
      </c>
      <c r="W19" s="20">
        <f t="shared" si="2"/>
        <v>66.9077373</v>
      </c>
      <c r="Y19" s="20">
        <f>IFERROR(__xludf.DUMMYFUNCTION("iferror(PERCENTRANK.INC(FILTER($V$2:$V$425, $T$2:$T$425&lt;3.75), $V19), 1)"),1.0)</f>
        <v>1</v>
      </c>
      <c r="Z19" s="20">
        <f>IFERROR(__xludf.DUMMYFUNCTION("iferror(PERCENTRANK.INC(FILTER($V$2:$V$425, $T$2:$T$425&lt;4.5), $V19), 1)"),0.91)</f>
        <v>0.91</v>
      </c>
      <c r="AA19" s="20">
        <f>IFERROR(__xludf.DUMMYFUNCTION("iferror(PERCENTRANK.INC(FILTER($V$2:$V$425, $T$2:$T$425&gt;4.1), $V19), 0.01)"),0.091)</f>
        <v>0.091</v>
      </c>
    </row>
    <row r="20" ht="14.25" customHeight="1">
      <c r="A20" s="17" t="s">
        <v>1509</v>
      </c>
      <c r="B20" s="17" t="s">
        <v>261</v>
      </c>
      <c r="C20" s="18">
        <v>22.0</v>
      </c>
      <c r="D20" s="17" t="s">
        <v>38</v>
      </c>
      <c r="E20" s="17" t="s">
        <v>147</v>
      </c>
      <c r="F20" s="18">
        <v>42.0</v>
      </c>
      <c r="G20" s="18">
        <v>48.0</v>
      </c>
      <c r="H20" s="18">
        <v>27.0</v>
      </c>
      <c r="I20" s="19">
        <v>0.563</v>
      </c>
      <c r="J20" s="18">
        <v>0.0</v>
      </c>
      <c r="K20" s="18">
        <v>0.0</v>
      </c>
      <c r="L20" s="18">
        <v>3.0</v>
      </c>
      <c r="M20" s="18">
        <v>8.0</v>
      </c>
      <c r="N20" s="18">
        <v>263.0</v>
      </c>
      <c r="O20" s="22">
        <v>2.13</v>
      </c>
      <c r="P20" s="22">
        <v>30.62</v>
      </c>
      <c r="Q20" s="15"/>
      <c r="R20" s="22">
        <v>2.13</v>
      </c>
      <c r="S20" s="16">
        <v>0.04</v>
      </c>
      <c r="T20" s="16">
        <v>4.2</v>
      </c>
      <c r="U20" s="14">
        <f t="array" ref="U20">XLOOKUP(E20, 'Conference Match'!$A$2:$A$25, 'Conference Match'!$C$2:$C$25)</f>
        <v>0.95</v>
      </c>
      <c r="V20" s="20">
        <f t="shared" si="1"/>
        <v>3.249525</v>
      </c>
      <c r="W20" s="20">
        <f t="shared" si="2"/>
        <v>69.12044669</v>
      </c>
      <c r="Y20" s="20">
        <f>IFERROR(__xludf.DUMMYFUNCTION("iferror(PERCENTRANK.INC(FILTER($V$2:$V$425, $T$2:$T$425&lt;3.75), $V20), 1)"),1.0)</f>
        <v>1</v>
      </c>
      <c r="Z20" s="20">
        <f>IFERROR(__xludf.DUMMYFUNCTION("iferror(PERCENTRANK.INC(FILTER($V$2:$V$425, $T$2:$T$425&lt;4.5), $V20), 1)"),0.944)</f>
        <v>0.944</v>
      </c>
      <c r="AA20" s="20">
        <f>IFERROR(__xludf.DUMMYFUNCTION("iferror(PERCENTRANK.INC(FILTER($V$2:$V$425, $T$2:$T$425&gt;4.1), $V20), 0.01)"),0.182)</f>
        <v>0.182</v>
      </c>
    </row>
    <row r="21" ht="14.25" customHeight="1">
      <c r="A21" s="14" t="s">
        <v>1510</v>
      </c>
      <c r="B21" s="14" t="s">
        <v>240</v>
      </c>
      <c r="C21" s="14">
        <v>0.0</v>
      </c>
      <c r="D21" s="14" t="s">
        <v>38</v>
      </c>
      <c r="E21" s="14" t="s">
        <v>108</v>
      </c>
      <c r="F21" s="14">
        <v>31.0</v>
      </c>
      <c r="G21" s="14">
        <v>30.0</v>
      </c>
      <c r="H21" s="14">
        <v>22.0</v>
      </c>
      <c r="I21" s="60">
        <v>0.733</v>
      </c>
      <c r="J21" s="14">
        <v>0.0</v>
      </c>
      <c r="K21" s="14">
        <v>0.0</v>
      </c>
      <c r="L21" s="14">
        <v>0.0</v>
      </c>
      <c r="M21" s="14">
        <v>1.0</v>
      </c>
      <c r="N21" s="14">
        <v>149.0</v>
      </c>
      <c r="O21" s="20">
        <v>1.271204</v>
      </c>
      <c r="P21" s="20">
        <v>2.6952330357489944</v>
      </c>
      <c r="Q21" s="15"/>
      <c r="R21" s="20">
        <v>1.271204</v>
      </c>
      <c r="S21" s="16">
        <v>-0.15</v>
      </c>
      <c r="T21" s="16">
        <v>4.2</v>
      </c>
      <c r="U21" s="14">
        <f t="array" ref="U21">XLOOKUP(E21, 'Conference Match'!$A$2:$A$25, 'Conference Match'!$C$2:$C$25)</f>
        <v>1</v>
      </c>
      <c r="V21" s="20">
        <f t="shared" si="1"/>
        <v>3.1081806</v>
      </c>
      <c r="W21" s="20">
        <f t="shared" si="2"/>
        <v>66.11391864</v>
      </c>
      <c r="Y21" s="20">
        <f>IFERROR(__xludf.DUMMYFUNCTION("iferror(PERCENTRANK.INC(FILTER($V$2:$V$425, $T$2:$T$425&lt;3.75), $V21), 1)"),1.0)</f>
        <v>1</v>
      </c>
      <c r="Z21" s="20">
        <f>IFERROR(__xludf.DUMMYFUNCTION("iferror(PERCENTRANK.INC(FILTER($V$2:$V$425, $T$2:$T$425&lt;4.5), $V21), 1)"),0.888)</f>
        <v>0.888</v>
      </c>
      <c r="AA21" s="20">
        <f>IFERROR(__xludf.DUMMYFUNCTION("iferror(PERCENTRANK.INC(FILTER($V$2:$V$425, $T$2:$T$425&gt;4.1), $V21), 0.01)"),0.0)</f>
        <v>0</v>
      </c>
    </row>
    <row r="22" ht="14.25" customHeight="1">
      <c r="A22" s="17" t="s">
        <v>1511</v>
      </c>
      <c r="B22" s="17" t="s">
        <v>421</v>
      </c>
      <c r="C22" s="18">
        <v>1.0</v>
      </c>
      <c r="D22" s="17" t="s">
        <v>38</v>
      </c>
      <c r="E22" s="17" t="s">
        <v>189</v>
      </c>
      <c r="F22" s="18">
        <v>64.0</v>
      </c>
      <c r="G22" s="18">
        <v>45.0</v>
      </c>
      <c r="H22" s="18">
        <v>22.0</v>
      </c>
      <c r="I22" s="19">
        <v>0.489</v>
      </c>
      <c r="J22" s="18">
        <v>1.0</v>
      </c>
      <c r="K22" s="18">
        <v>1.0</v>
      </c>
      <c r="L22" s="18">
        <v>5.0</v>
      </c>
      <c r="M22" s="18">
        <v>5.0</v>
      </c>
      <c r="N22" s="18">
        <v>239.0</v>
      </c>
      <c r="O22" s="22">
        <v>2.39</v>
      </c>
      <c r="P22" s="22">
        <v>39.07</v>
      </c>
      <c r="Q22" s="15"/>
      <c r="R22" s="38">
        <v>2.39</v>
      </c>
      <c r="S22" s="16">
        <v>1.0</v>
      </c>
      <c r="T22" s="16">
        <v>4.2</v>
      </c>
      <c r="U22" s="14">
        <f t="array" ref="U22">XLOOKUP(E22, 'Conference Match'!$A$2:$A$25, 'Conference Match'!$C$2:$C$25)</f>
        <v>0.9</v>
      </c>
      <c r="V22" s="20">
        <f t="shared" si="1"/>
        <v>3.41265</v>
      </c>
      <c r="W22" s="20">
        <f t="shared" si="2"/>
        <v>72.59026855</v>
      </c>
      <c r="Y22" s="20">
        <f>IFERROR(__xludf.DUMMYFUNCTION("iferror(PERCENTRANK.INC(FILTER($V$2:$V$425, $T$2:$T$425&lt;3.75), $V22), 1)"),1.0)</f>
        <v>1</v>
      </c>
      <c r="Z22" s="20">
        <f>IFERROR(__xludf.DUMMYFUNCTION("iferror(PERCENTRANK.INC(FILTER($V$2:$V$425, $T$2:$T$425&lt;4.5), $V22), 1)"),0.966)</f>
        <v>0.966</v>
      </c>
      <c r="AA22" s="20">
        <f>IFERROR(__xludf.DUMMYFUNCTION("iferror(PERCENTRANK.INC(FILTER($V$2:$V$425, $T$2:$T$425&gt;4.1), $V22), 0.01)"),0.273)</f>
        <v>0.273</v>
      </c>
    </row>
    <row r="23" ht="14.25" customHeight="1">
      <c r="A23" s="17" t="s">
        <v>1512</v>
      </c>
      <c r="B23" s="17" t="s">
        <v>140</v>
      </c>
      <c r="C23" s="18">
        <v>6.0</v>
      </c>
      <c r="D23" s="17" t="s">
        <v>38</v>
      </c>
      <c r="E23" s="17" t="s">
        <v>102</v>
      </c>
      <c r="F23" s="18">
        <v>25.0</v>
      </c>
      <c r="G23" s="18">
        <v>18.0</v>
      </c>
      <c r="H23" s="18">
        <v>11.0</v>
      </c>
      <c r="I23" s="19">
        <v>0.611</v>
      </c>
      <c r="J23" s="18">
        <v>1.0</v>
      </c>
      <c r="K23" s="18">
        <v>0.0</v>
      </c>
      <c r="L23" s="18">
        <v>1.0</v>
      </c>
      <c r="M23" s="18">
        <v>2.0</v>
      </c>
      <c r="N23" s="18">
        <v>112.0</v>
      </c>
      <c r="O23" s="22">
        <v>1.65</v>
      </c>
      <c r="P23" s="22">
        <v>15.05</v>
      </c>
      <c r="Q23" s="15"/>
      <c r="R23" s="38">
        <v>1.65</v>
      </c>
      <c r="S23" s="16">
        <v>0.0</v>
      </c>
      <c r="T23" s="16">
        <v>4.2</v>
      </c>
      <c r="U23" s="14">
        <f t="array" ref="U23">XLOOKUP(E23, 'Conference Match'!$A$2:$A$25, 'Conference Match'!$C$2:$C$25)</f>
        <v>0.9</v>
      </c>
      <c r="V23" s="20">
        <f t="shared" si="1"/>
        <v>3.16275</v>
      </c>
      <c r="W23" s="20">
        <f t="shared" si="2"/>
        <v>67.27466099</v>
      </c>
      <c r="Y23" s="20">
        <f>IFERROR(__xludf.DUMMYFUNCTION("iferror(PERCENTRANK.INC(FILTER($V$2:$V$425, $T$2:$T$425&lt;3.75), $V23), 1)"),1.0)</f>
        <v>1</v>
      </c>
      <c r="Z23" s="20">
        <f>IFERROR(__xludf.DUMMYFUNCTION("iferror(PERCENTRANK.INC(FILTER($V$2:$V$425, $T$2:$T$425&lt;4.5), $V23), 1)"),0.933)</f>
        <v>0.933</v>
      </c>
      <c r="AA23" s="20">
        <f>IFERROR(__xludf.DUMMYFUNCTION("iferror(PERCENTRANK.INC(FILTER($V$2:$V$425, $T$2:$T$425&gt;4.1), $V23), 0.01)"),0.136)</f>
        <v>0.136</v>
      </c>
    </row>
    <row r="24" ht="14.25" customHeight="1">
      <c r="A24" s="17" t="s">
        <v>1513</v>
      </c>
      <c r="B24" s="17" t="s">
        <v>601</v>
      </c>
      <c r="C24" s="18">
        <v>3.0</v>
      </c>
      <c r="D24" s="17" t="s">
        <v>38</v>
      </c>
      <c r="E24" s="17" t="s">
        <v>172</v>
      </c>
      <c r="F24" s="18">
        <v>98.0</v>
      </c>
      <c r="G24" s="18">
        <v>36.0</v>
      </c>
      <c r="H24" s="18">
        <v>21.0</v>
      </c>
      <c r="I24" s="19">
        <v>0.583</v>
      </c>
      <c r="J24" s="18">
        <v>1.0</v>
      </c>
      <c r="K24" s="18">
        <v>0.0</v>
      </c>
      <c r="L24" s="18">
        <v>3.0</v>
      </c>
      <c r="M24" s="18">
        <v>4.0</v>
      </c>
      <c r="N24" s="18">
        <v>255.0</v>
      </c>
      <c r="O24" s="22">
        <v>2.01</v>
      </c>
      <c r="P24" s="22">
        <v>26.72</v>
      </c>
      <c r="Q24" s="15"/>
      <c r="R24" s="38">
        <v>2.01</v>
      </c>
      <c r="S24" s="16">
        <v>0.11</v>
      </c>
      <c r="T24" s="16">
        <v>4.1</v>
      </c>
      <c r="U24" s="14">
        <f t="array" ref="U24">XLOOKUP(E24, 'Conference Match'!$A$2:$A$25, 'Conference Match'!$C$2:$C$25)</f>
        <v>0.9</v>
      </c>
      <c r="V24" s="20">
        <f t="shared" si="1"/>
        <v>3.15785</v>
      </c>
      <c r="W24" s="20">
        <f t="shared" si="2"/>
        <v>67.1704334</v>
      </c>
      <c r="Y24" s="20">
        <f>IFERROR(__xludf.DUMMYFUNCTION("iferror(PERCENTRANK.INC(FILTER($V$2:$V$425, $T$2:$T$425&lt;3.75), $V24), 1)"),1.0)</f>
        <v>1</v>
      </c>
      <c r="Z24" s="20">
        <f>IFERROR(__xludf.DUMMYFUNCTION("iferror(PERCENTRANK.INC(FILTER($V$2:$V$425, $T$2:$T$425&lt;4.5), $V24), 1)"),0.921)</f>
        <v>0.921</v>
      </c>
      <c r="AA24" s="20">
        <f>IFERROR(__xludf.DUMMYFUNCTION("iferror(PERCENTRANK.INC(FILTER($V$2:$V$425, $T$2:$T$425&gt;4.1), $V24), 0.01)"),0.123)</f>
        <v>0.123</v>
      </c>
    </row>
    <row r="25" ht="14.25" customHeight="1">
      <c r="A25" s="17" t="s">
        <v>1514</v>
      </c>
      <c r="B25" s="17" t="s">
        <v>113</v>
      </c>
      <c r="C25" s="18">
        <v>3.0</v>
      </c>
      <c r="D25" s="17" t="s">
        <v>38</v>
      </c>
      <c r="E25" s="17" t="s">
        <v>114</v>
      </c>
      <c r="F25" s="18">
        <v>105.0</v>
      </c>
      <c r="G25" s="18">
        <v>31.0</v>
      </c>
      <c r="H25" s="18">
        <v>17.0</v>
      </c>
      <c r="I25" s="19">
        <v>0.548</v>
      </c>
      <c r="J25" s="18">
        <v>1.0</v>
      </c>
      <c r="K25" s="18">
        <v>0.0</v>
      </c>
      <c r="L25" s="18">
        <v>2.0</v>
      </c>
      <c r="M25" s="18">
        <v>3.0</v>
      </c>
      <c r="N25" s="18">
        <v>226.0</v>
      </c>
      <c r="O25" s="22">
        <v>1.83</v>
      </c>
      <c r="P25" s="22">
        <v>20.91</v>
      </c>
      <c r="Q25" s="15"/>
      <c r="R25" s="38">
        <v>1.83</v>
      </c>
      <c r="S25" s="16">
        <v>-0.21</v>
      </c>
      <c r="T25" s="16">
        <v>4.0</v>
      </c>
      <c r="U25" s="14">
        <f t="array" ref="U25">XLOOKUP(E25, 'Conference Match'!$A$2:$A$25, 'Conference Match'!$C$2:$C$25)</f>
        <v>0.9</v>
      </c>
      <c r="V25" s="20">
        <f t="shared" si="1"/>
        <v>3.01555</v>
      </c>
      <c r="W25" s="20">
        <f t="shared" si="2"/>
        <v>64.14357884</v>
      </c>
      <c r="Y25" s="20">
        <f>IFERROR(__xludf.DUMMYFUNCTION("iferror(PERCENTRANK.INC(FILTER($V$2:$V$425, $T$2:$T$425&lt;3.75), $V25), 1)"),1.0)</f>
        <v>1</v>
      </c>
      <c r="Z25" s="20">
        <f>IFERROR(__xludf.DUMMYFUNCTION("iferror(PERCENTRANK.INC(FILTER($V$2:$V$425, $T$2:$T$425&lt;4.5), $V25), 1)"),0.865)</f>
        <v>0.865</v>
      </c>
      <c r="AA25" s="20">
        <f>IFERROR(__xludf.DUMMYFUNCTION("iferror(PERCENTRANK.INC(FILTER($V$2:$V$425, $T$2:$T$425&gt;4.1), $V25), 0.01)"),0.01)</f>
        <v>0.01</v>
      </c>
    </row>
    <row r="26" ht="14.25" customHeight="1">
      <c r="A26" s="14" t="s">
        <v>1515</v>
      </c>
      <c r="B26" s="14" t="s">
        <v>417</v>
      </c>
      <c r="C26" s="14">
        <v>2.0</v>
      </c>
      <c r="D26" s="14" t="s">
        <v>38</v>
      </c>
      <c r="E26" s="14" t="s">
        <v>108</v>
      </c>
      <c r="F26" s="14">
        <v>99.0</v>
      </c>
      <c r="G26" s="14">
        <v>33.0</v>
      </c>
      <c r="H26" s="14">
        <v>16.0</v>
      </c>
      <c r="I26" s="60">
        <v>0.485</v>
      </c>
      <c r="J26" s="14">
        <v>0.0</v>
      </c>
      <c r="K26" s="14">
        <v>0.0</v>
      </c>
      <c r="L26" s="14">
        <v>4.0</v>
      </c>
      <c r="M26" s="14">
        <v>7.0</v>
      </c>
      <c r="N26" s="14">
        <v>191.0</v>
      </c>
      <c r="O26" s="20">
        <v>2.15418</v>
      </c>
      <c r="P26" s="20">
        <v>31.297536830921135</v>
      </c>
      <c r="Q26" s="15"/>
      <c r="R26" s="20">
        <v>2.15418</v>
      </c>
      <c r="S26" s="16">
        <v>4.5</v>
      </c>
      <c r="T26" s="16">
        <v>4.0</v>
      </c>
      <c r="U26" s="14">
        <f t="array" ref="U26">XLOOKUP(E26, 'Conference Match'!$A$2:$A$25, 'Conference Match'!$C$2:$C$25)</f>
        <v>1</v>
      </c>
      <c r="V26" s="20">
        <f t="shared" si="1"/>
        <v>3.798127</v>
      </c>
      <c r="W26" s="20">
        <f t="shared" si="2"/>
        <v>80.78972614</v>
      </c>
      <c r="Y26" s="20">
        <f>IFERROR(__xludf.DUMMYFUNCTION("iferror(PERCENTRANK.INC(FILTER($V$2:$V$425, $T$2:$T$425&lt;3.75), $V26), 1)"),1.0)</f>
        <v>1</v>
      </c>
      <c r="Z26" s="20">
        <f>IFERROR(__xludf.DUMMYFUNCTION("iferror(PERCENTRANK.INC(FILTER($V$2:$V$425, $T$2:$T$425&lt;4.5), $V26), 1)"),1.0)</f>
        <v>1</v>
      </c>
      <c r="AA26" s="20">
        <f>IFERROR(__xludf.DUMMYFUNCTION("iferror(PERCENTRANK.INC(FILTER($V$2:$V$425, $T$2:$T$425&gt;4.1), $V26), 0.01)"),0.834)</f>
        <v>0.834</v>
      </c>
    </row>
    <row r="27" ht="14.25" customHeight="1">
      <c r="A27" s="14" t="s">
        <v>1516</v>
      </c>
      <c r="B27" s="14" t="s">
        <v>131</v>
      </c>
      <c r="C27" s="14">
        <v>2.0</v>
      </c>
      <c r="D27" s="16" t="s">
        <v>38</v>
      </c>
      <c r="E27" s="14" t="s">
        <v>132</v>
      </c>
      <c r="F27" s="14">
        <v>12.0</v>
      </c>
      <c r="G27" s="14">
        <v>8.0</v>
      </c>
      <c r="H27" s="14">
        <v>5.0</v>
      </c>
      <c r="I27" s="60">
        <v>0.625</v>
      </c>
      <c r="J27" s="14">
        <v>0.0</v>
      </c>
      <c r="K27" s="14">
        <v>0.0</v>
      </c>
      <c r="L27" s="14">
        <v>0.0</v>
      </c>
      <c r="M27" s="14">
        <v>0.0</v>
      </c>
      <c r="N27" s="14">
        <v>97.0</v>
      </c>
      <c r="O27" s="20">
        <v>1.1925</v>
      </c>
      <c r="P27" s="20">
        <v>0.16507049610653535</v>
      </c>
      <c r="Q27" s="15"/>
      <c r="R27" s="38">
        <v>1.19</v>
      </c>
      <c r="S27" s="16">
        <v>-0.04</v>
      </c>
      <c r="T27" s="16">
        <v>3.9</v>
      </c>
      <c r="U27" s="14">
        <f t="array" ref="U27">XLOOKUP(E27, 'Conference Match'!$A$2:$A$25, 'Conference Match'!$C$2:$C$25)</f>
        <v>0.95</v>
      </c>
      <c r="V27" s="20">
        <f t="shared" si="1"/>
        <v>2.893575</v>
      </c>
      <c r="W27" s="20">
        <f t="shared" si="2"/>
        <v>61.5490561</v>
      </c>
      <c r="Y27" s="20">
        <f>IFERROR(__xludf.DUMMYFUNCTION("iferror(PERCENTRANK.INC(FILTER($V$2:$V$425, $T$2:$T$425&lt;3.75), $V27), 1)"),1.0)</f>
        <v>1</v>
      </c>
      <c r="Z27" s="20">
        <f>IFERROR(__xludf.DUMMYFUNCTION("iferror(PERCENTRANK.INC(FILTER($V$2:$V$425, $T$2:$T$425&lt;4.5), $V27), 1)"),0.843)</f>
        <v>0.843</v>
      </c>
      <c r="AA27" s="20">
        <f>IFERROR(__xludf.DUMMYFUNCTION("iferror(PERCENTRANK.INC(FILTER($V$2:$V$425, $T$2:$T$425&gt;4.1), $V27), 0.01)"),0.01)</f>
        <v>0.01</v>
      </c>
    </row>
    <row r="28" ht="14.25" customHeight="1">
      <c r="A28" s="17" t="s">
        <v>1517</v>
      </c>
      <c r="B28" s="17" t="s">
        <v>503</v>
      </c>
      <c r="C28" s="18">
        <v>31.0</v>
      </c>
      <c r="D28" s="17" t="s">
        <v>38</v>
      </c>
      <c r="E28" s="17" t="s">
        <v>189</v>
      </c>
      <c r="F28" s="18">
        <v>67.0</v>
      </c>
      <c r="G28" s="18">
        <v>38.0</v>
      </c>
      <c r="H28" s="18">
        <v>20.0</v>
      </c>
      <c r="I28" s="19">
        <v>0.526</v>
      </c>
      <c r="J28" s="18">
        <v>0.0</v>
      </c>
      <c r="K28" s="18">
        <v>1.0</v>
      </c>
      <c r="L28" s="18">
        <v>4.0</v>
      </c>
      <c r="M28" s="18">
        <v>5.0</v>
      </c>
      <c r="N28" s="18">
        <v>212.0</v>
      </c>
      <c r="O28" s="22">
        <v>2.09</v>
      </c>
      <c r="P28" s="22">
        <v>29.34</v>
      </c>
      <c r="Q28" s="15"/>
      <c r="R28" s="38">
        <v>2.09</v>
      </c>
      <c r="S28" s="16">
        <v>0.11</v>
      </c>
      <c r="T28" s="16">
        <v>3.9</v>
      </c>
      <c r="U28" s="14">
        <f t="array" ref="U28">XLOOKUP(E28, 'Conference Match'!$A$2:$A$25, 'Conference Match'!$C$2:$C$25)</f>
        <v>0.9</v>
      </c>
      <c r="V28" s="20">
        <f t="shared" si="1"/>
        <v>3.02865</v>
      </c>
      <c r="W28" s="20">
        <f t="shared" si="2"/>
        <v>64.42222813</v>
      </c>
      <c r="Y28" s="20">
        <f>IFERROR(__xludf.DUMMYFUNCTION("iferror(PERCENTRANK.INC(FILTER($V$2:$V$425, $T$2:$T$425&lt;3.75), $V28), 1)"),1.0)</f>
        <v>1</v>
      </c>
      <c r="Z28" s="20">
        <f>IFERROR(__xludf.DUMMYFUNCTION("iferror(PERCENTRANK.INC(FILTER($V$2:$V$425, $T$2:$T$425&lt;4.5), $V28), 1)"),0.876)</f>
        <v>0.876</v>
      </c>
      <c r="AA28" s="20">
        <f>IFERROR(__xludf.DUMMYFUNCTION("iferror(PERCENTRANK.INC(FILTER($V$2:$V$425, $T$2:$T$425&gt;4.1), $V28), 0.01)"),0.01)</f>
        <v>0.01</v>
      </c>
    </row>
    <row r="29" ht="14.25" customHeight="1">
      <c r="A29" s="17" t="s">
        <v>1518</v>
      </c>
      <c r="B29" s="17" t="s">
        <v>686</v>
      </c>
      <c r="C29" s="18">
        <v>24.0</v>
      </c>
      <c r="D29" s="17" t="s">
        <v>38</v>
      </c>
      <c r="E29" s="17" t="s">
        <v>147</v>
      </c>
      <c r="F29" s="18">
        <v>64.0</v>
      </c>
      <c r="G29" s="18">
        <v>36.0</v>
      </c>
      <c r="H29" s="18">
        <v>17.0</v>
      </c>
      <c r="I29" s="19">
        <v>0.472</v>
      </c>
      <c r="J29" s="18">
        <v>0.0</v>
      </c>
      <c r="K29" s="18">
        <v>0.0</v>
      </c>
      <c r="L29" s="18">
        <v>3.0</v>
      </c>
      <c r="M29" s="18">
        <v>3.0</v>
      </c>
      <c r="N29" s="18">
        <v>215.0</v>
      </c>
      <c r="O29" s="22">
        <v>1.73</v>
      </c>
      <c r="P29" s="22">
        <v>17.7</v>
      </c>
      <c r="Q29" s="15"/>
      <c r="R29" s="38">
        <v>1.73</v>
      </c>
      <c r="S29" s="16">
        <v>0.22</v>
      </c>
      <c r="T29" s="16">
        <v>3.9</v>
      </c>
      <c r="U29" s="14">
        <f t="array" ref="U29">XLOOKUP(E29, 'Conference Match'!$A$2:$A$25, 'Conference Match'!$C$2:$C$25)</f>
        <v>0.95</v>
      </c>
      <c r="V29" s="20">
        <f t="shared" si="1"/>
        <v>3.009525</v>
      </c>
      <c r="W29" s="20">
        <f t="shared" si="2"/>
        <v>64.01542143</v>
      </c>
      <c r="Y29" s="20">
        <f>IFERROR(__xludf.DUMMYFUNCTION("iferror(PERCENTRANK.INC(FILTER($V$2:$V$425, $T$2:$T$425&lt;3.75), $V29), 1)"),1.0)</f>
        <v>1</v>
      </c>
      <c r="Z29" s="20">
        <f>IFERROR(__xludf.DUMMYFUNCTION("iferror(PERCENTRANK.INC(FILTER($V$2:$V$425, $T$2:$T$425&lt;4.5), $V29), 1)"),0.854)</f>
        <v>0.854</v>
      </c>
      <c r="AA29" s="20">
        <f>IFERROR(__xludf.DUMMYFUNCTION("iferror(PERCENTRANK.INC(FILTER($V$2:$V$425, $T$2:$T$425&gt;4.1), $V29), 0.01)"),0.01)</f>
        <v>0.01</v>
      </c>
    </row>
    <row r="30" ht="14.25" customHeight="1">
      <c r="A30" s="17" t="s">
        <v>1519</v>
      </c>
      <c r="B30" s="17" t="s">
        <v>686</v>
      </c>
      <c r="C30" s="18">
        <v>5.0</v>
      </c>
      <c r="D30" s="17" t="s">
        <v>38</v>
      </c>
      <c r="E30" s="17" t="s">
        <v>147</v>
      </c>
      <c r="F30" s="18">
        <v>28.0</v>
      </c>
      <c r="G30" s="18">
        <v>21.0</v>
      </c>
      <c r="H30" s="18">
        <v>14.0</v>
      </c>
      <c r="I30" s="19">
        <v>0.667</v>
      </c>
      <c r="J30" s="18">
        <v>0.0</v>
      </c>
      <c r="K30" s="18">
        <v>0.0</v>
      </c>
      <c r="L30" s="18">
        <v>2.0</v>
      </c>
      <c r="M30" s="18">
        <v>2.0</v>
      </c>
      <c r="N30" s="18">
        <v>104.0</v>
      </c>
      <c r="O30" s="22">
        <v>1.55</v>
      </c>
      <c r="P30" s="22">
        <v>11.79</v>
      </c>
      <c r="Q30" s="15"/>
      <c r="R30" s="38">
        <v>1.55</v>
      </c>
      <c r="S30" s="16">
        <v>-0.04</v>
      </c>
      <c r="T30" s="16">
        <v>3.5</v>
      </c>
      <c r="U30" s="14">
        <f t="array" ref="U30">XLOOKUP(E30, 'Conference Match'!$A$2:$A$25, 'Conference Match'!$C$2:$C$25)</f>
        <v>0.95</v>
      </c>
      <c r="V30" s="20">
        <f t="shared" si="1"/>
        <v>2.664875</v>
      </c>
      <c r="W30" s="20">
        <f t="shared" si="2"/>
        <v>56.68439245</v>
      </c>
      <c r="Y30" s="20">
        <f>IFERROR(__xludf.DUMMYFUNCTION("iferror(PERCENTRANK.INC(FILTER($V$2:$V$425, $T$2:$T$425&lt;3.75), $V30), 1)"),1.0)</f>
        <v>1</v>
      </c>
      <c r="Z30" s="20">
        <f>IFERROR(__xludf.DUMMYFUNCTION("iferror(PERCENTRANK.INC(FILTER($V$2:$V$425, $T$2:$T$425&lt;4.5), $V30), 1)"),0.82)</f>
        <v>0.82</v>
      </c>
      <c r="AA30" s="20">
        <f>IFERROR(__xludf.DUMMYFUNCTION("iferror(PERCENTRANK.INC(FILTER($V$2:$V$425, $T$2:$T$425&gt;4.1), $V30), 0.01)"),0.01)</f>
        <v>0.01</v>
      </c>
    </row>
    <row r="31" ht="14.25" customHeight="1">
      <c r="A31" s="14" t="s">
        <v>1520</v>
      </c>
      <c r="B31" s="14" t="s">
        <v>509</v>
      </c>
      <c r="C31" s="14">
        <v>3.0</v>
      </c>
      <c r="D31" s="14" t="s">
        <v>38</v>
      </c>
      <c r="E31" s="14" t="s">
        <v>99</v>
      </c>
      <c r="F31" s="14">
        <v>55.0</v>
      </c>
      <c r="G31" s="14">
        <v>19.0</v>
      </c>
      <c r="H31" s="14">
        <v>12.0</v>
      </c>
      <c r="I31" s="60">
        <v>0.632</v>
      </c>
      <c r="J31" s="14">
        <v>0.0</v>
      </c>
      <c r="K31" s="14">
        <v>1.0</v>
      </c>
      <c r="L31" s="14">
        <v>0.0</v>
      </c>
      <c r="M31" s="14">
        <v>0.0</v>
      </c>
      <c r="N31" s="14">
        <v>134.0</v>
      </c>
      <c r="O31" s="20">
        <v>1.292416</v>
      </c>
      <c r="P31" s="20">
        <v>3.3823548466512063</v>
      </c>
      <c r="Q31" s="15"/>
      <c r="R31" s="20">
        <v>1.292416</v>
      </c>
      <c r="S31" s="16">
        <v>-0.03</v>
      </c>
      <c r="T31" s="16">
        <v>3.3</v>
      </c>
      <c r="U31" s="14">
        <f t="array" ref="U31">XLOOKUP(E31, 'Conference Match'!$A$2:$A$25, 'Conference Match'!$C$2:$C$25)</f>
        <v>1</v>
      </c>
      <c r="V31" s="20">
        <f t="shared" si="1"/>
        <v>2.4993624</v>
      </c>
      <c r="W31" s="20">
        <f t="shared" si="2"/>
        <v>53.1637841</v>
      </c>
      <c r="Y31" s="20">
        <f>IFERROR(__xludf.DUMMYFUNCTION("iferror(PERCENTRANK.INC(FILTER($V$2:$V$425, $T$2:$T$425&lt;3.75), $V31), 1)"),0.986)</f>
        <v>0.986</v>
      </c>
      <c r="Z31" s="20">
        <f>IFERROR(__xludf.DUMMYFUNCTION("iferror(PERCENTRANK.INC(FILTER($V$2:$V$425, $T$2:$T$425&lt;4.5), $V31), 1)"),0.809)</f>
        <v>0.809</v>
      </c>
      <c r="AA31" s="20">
        <f>IFERROR(__xludf.DUMMYFUNCTION("iferror(PERCENTRANK.INC(FILTER($V$2:$V$425, $T$2:$T$425&gt;4.1), $V31), 0.01)"),0.01)</f>
        <v>0.01</v>
      </c>
    </row>
    <row r="32" ht="14.25" customHeight="1">
      <c r="A32" s="14" t="s">
        <v>1521</v>
      </c>
      <c r="B32" s="14" t="s">
        <v>331</v>
      </c>
      <c r="C32" s="14">
        <v>15.0</v>
      </c>
      <c r="D32" s="14" t="s">
        <v>38</v>
      </c>
      <c r="E32" s="14" t="s">
        <v>182</v>
      </c>
      <c r="F32" s="14">
        <v>47.0</v>
      </c>
      <c r="G32" s="14">
        <v>14.0</v>
      </c>
      <c r="H32" s="14">
        <v>5.0</v>
      </c>
      <c r="I32" s="60">
        <v>0.357</v>
      </c>
      <c r="J32" s="14">
        <v>0.0</v>
      </c>
      <c r="K32" s="14">
        <v>1.0</v>
      </c>
      <c r="L32" s="14">
        <v>1.0</v>
      </c>
      <c r="M32" s="14">
        <v>1.0</v>
      </c>
      <c r="N32" s="14">
        <v>104.0</v>
      </c>
      <c r="O32" s="20">
        <v>1.4757159999999998</v>
      </c>
      <c r="P32" s="20">
        <v>9.320004664602143</v>
      </c>
      <c r="Q32" s="15"/>
      <c r="R32" s="20">
        <v>1.4757159999999998</v>
      </c>
      <c r="U32" s="14">
        <f t="array" ref="U32">XLOOKUP(E32, 'Conference Match'!$A$2:$A$25, 'Conference Match'!$C$2:$C$25)</f>
        <v>1</v>
      </c>
      <c r="V32" s="20">
        <f t="shared" si="1"/>
        <v>0.2213574</v>
      </c>
      <c r="W32" s="20">
        <f t="shared" si="2"/>
        <v>4.70847966</v>
      </c>
      <c r="Y32" s="20">
        <f>IFERROR(__xludf.DUMMYFUNCTION("iferror(PERCENTRANK.INC(FILTER($V$2:$V$425, $T$2:$T$425&lt;3.75), $V32), 1)"),0.26)</f>
        <v>0.26</v>
      </c>
      <c r="Z32" s="20">
        <f>IFERROR(__xludf.DUMMYFUNCTION("iferror(PERCENTRANK.INC(FILTER($V$2:$V$425, $T$2:$T$425&lt;4.5), $V32), 1)"),0.213)</f>
        <v>0.213</v>
      </c>
      <c r="AA32" s="20">
        <f>IFERROR(__xludf.DUMMYFUNCTION("iferror(PERCENTRANK.INC(FILTER($V$2:$V$425, $T$2:$T$425&gt;4.1), $V32), 0.01)"),0.01)</f>
        <v>0.01</v>
      </c>
    </row>
    <row r="33" ht="14.25" customHeight="1">
      <c r="A33" s="14" t="s">
        <v>1522</v>
      </c>
      <c r="B33" s="14" t="s">
        <v>351</v>
      </c>
      <c r="C33" s="14">
        <v>16.0</v>
      </c>
      <c r="D33" s="14" t="s">
        <v>38</v>
      </c>
      <c r="E33" s="14" t="s">
        <v>135</v>
      </c>
      <c r="F33" s="14">
        <v>92.0</v>
      </c>
      <c r="G33" s="14">
        <v>40.0</v>
      </c>
      <c r="H33" s="14">
        <v>22.0</v>
      </c>
      <c r="I33" s="60">
        <v>0.55</v>
      </c>
      <c r="J33" s="14">
        <v>1.0</v>
      </c>
      <c r="K33" s="14">
        <v>0.0</v>
      </c>
      <c r="L33" s="14">
        <v>5.0</v>
      </c>
      <c r="M33" s="14">
        <v>7.0</v>
      </c>
      <c r="N33" s="14">
        <v>270.0</v>
      </c>
      <c r="O33" s="20">
        <v>2.4534000000000002</v>
      </c>
      <c r="P33" s="20">
        <v>40.99019137826037</v>
      </c>
      <c r="Q33" s="15"/>
      <c r="R33" s="20">
        <v>2.4534000000000002</v>
      </c>
      <c r="U33" s="14">
        <f t="array" ref="U33">XLOOKUP(E33, 'Conference Match'!$A$2:$A$25, 'Conference Match'!$C$2:$C$25)</f>
        <v>1</v>
      </c>
      <c r="V33" s="20">
        <f t="shared" si="1"/>
        <v>0.36801</v>
      </c>
      <c r="W33" s="20">
        <f t="shared" si="2"/>
        <v>7.827918107</v>
      </c>
      <c r="Y33" s="20">
        <f>IFERROR(__xludf.DUMMYFUNCTION("iferror(PERCENTRANK.INC(FILTER($V$2:$V$425, $T$2:$T$425&lt;3.75), $V33), 1)"),0.836)</f>
        <v>0.836</v>
      </c>
      <c r="Z33" s="20">
        <f>IFERROR(__xludf.DUMMYFUNCTION("iferror(PERCENTRANK.INC(FILTER($V$2:$V$425, $T$2:$T$425&lt;4.5), $V33), 1)"),0.685)</f>
        <v>0.685</v>
      </c>
      <c r="AA33" s="20">
        <f>IFERROR(__xludf.DUMMYFUNCTION("iferror(PERCENTRANK.INC(FILTER($V$2:$V$425, $T$2:$T$425&gt;4.1), $V33), 0.01)"),0.01)</f>
        <v>0.01</v>
      </c>
    </row>
    <row r="34">
      <c r="A34" s="14" t="s">
        <v>1523</v>
      </c>
      <c r="B34" s="14" t="s">
        <v>351</v>
      </c>
      <c r="C34" s="14">
        <v>14.0</v>
      </c>
      <c r="D34" s="14" t="s">
        <v>38</v>
      </c>
      <c r="E34" s="14" t="s">
        <v>135</v>
      </c>
      <c r="F34" s="14">
        <v>28.0</v>
      </c>
      <c r="G34" s="14">
        <v>19.0</v>
      </c>
      <c r="H34" s="14">
        <v>10.0</v>
      </c>
      <c r="I34" s="60">
        <v>0.526</v>
      </c>
      <c r="J34" s="14">
        <v>0.0</v>
      </c>
      <c r="K34" s="14">
        <v>0.0</v>
      </c>
      <c r="L34" s="14">
        <v>4.0</v>
      </c>
      <c r="M34" s="14">
        <v>5.0</v>
      </c>
      <c r="N34" s="14">
        <v>83.0</v>
      </c>
      <c r="O34" s="20">
        <v>1.993688</v>
      </c>
      <c r="P34" s="20">
        <v>26.09870816434948</v>
      </c>
      <c r="Q34" s="27"/>
      <c r="R34" s="20">
        <v>1.993688</v>
      </c>
      <c r="U34" s="14">
        <f t="array" ref="U34">XLOOKUP(E34, 'Conference Match'!$A$2:$A$25, 'Conference Match'!$C$2:$C$25)</f>
        <v>1</v>
      </c>
      <c r="V34" s="20">
        <f t="shared" si="1"/>
        <v>0.2990532</v>
      </c>
      <c r="W34" s="20">
        <f t="shared" si="2"/>
        <v>6.361142249</v>
      </c>
      <c r="Y34" s="20">
        <f>IFERROR(__xludf.DUMMYFUNCTION("iferror(PERCENTRANK.INC(FILTER($V$2:$V$425, $T$2:$T$425&lt;3.75), $V34), 1)"),0.644)</f>
        <v>0.644</v>
      </c>
      <c r="Z34" s="20">
        <f>IFERROR(__xludf.DUMMYFUNCTION("iferror(PERCENTRANK.INC(FILTER($V$2:$V$425, $T$2:$T$425&lt;4.5), $V34), 1)"),0.528)</f>
        <v>0.528</v>
      </c>
      <c r="AA34" s="20">
        <f>IFERROR(__xludf.DUMMYFUNCTION("iferror(PERCENTRANK.INC(FILTER($V$2:$V$425, $T$2:$T$425&gt;4.1), $V34), 0.01)"),0.01)</f>
        <v>0.01</v>
      </c>
    </row>
    <row r="35" ht="14.25" customHeight="1">
      <c r="A35" s="14" t="s">
        <v>1524</v>
      </c>
      <c r="B35" s="14" t="s">
        <v>351</v>
      </c>
      <c r="C35" s="14">
        <v>10.0</v>
      </c>
      <c r="D35" s="14" t="s">
        <v>38</v>
      </c>
      <c r="E35" s="14" t="s">
        <v>135</v>
      </c>
      <c r="F35" s="14">
        <v>33.0</v>
      </c>
      <c r="G35" s="14">
        <v>11.0</v>
      </c>
      <c r="H35" s="14">
        <v>5.0</v>
      </c>
      <c r="I35" s="60">
        <v>0.455</v>
      </c>
      <c r="J35" s="14">
        <v>0.0</v>
      </c>
      <c r="K35" s="14">
        <v>0.0</v>
      </c>
      <c r="L35" s="14">
        <v>3.0</v>
      </c>
      <c r="M35" s="14">
        <v>4.0</v>
      </c>
      <c r="N35" s="14">
        <v>54.0</v>
      </c>
      <c r="O35" s="20">
        <v>1.81454</v>
      </c>
      <c r="P35" s="20">
        <v>20.2955543750081</v>
      </c>
      <c r="Q35" s="15"/>
      <c r="R35" s="20">
        <v>1.81454</v>
      </c>
      <c r="U35" s="14">
        <f t="array" ref="U35">XLOOKUP(E35, 'Conference Match'!$A$2:$A$25, 'Conference Match'!$C$2:$C$25)</f>
        <v>1</v>
      </c>
      <c r="V35" s="20">
        <f t="shared" si="1"/>
        <v>0.272181</v>
      </c>
      <c r="W35" s="20">
        <f t="shared" si="2"/>
        <v>5.789545334</v>
      </c>
      <c r="Y35" s="20">
        <f>IFERROR(__xludf.DUMMYFUNCTION("iferror(PERCENTRANK.INC(FILTER($V$2:$V$425, $T$2:$T$425&lt;3.75), $V35), 1)"),0.521)</f>
        <v>0.521</v>
      </c>
      <c r="Z35" s="20">
        <f>IFERROR(__xludf.DUMMYFUNCTION("iferror(PERCENTRANK.INC(FILTER($V$2:$V$425, $T$2:$T$425&lt;4.5), $V35), 1)"),0.427)</f>
        <v>0.427</v>
      </c>
      <c r="AA35" s="20">
        <f>IFERROR(__xludf.DUMMYFUNCTION("iferror(PERCENTRANK.INC(FILTER($V$2:$V$425, $T$2:$T$425&gt;4.1), $V35), 0.01)"),0.01)</f>
        <v>0.01</v>
      </c>
    </row>
    <row r="36" ht="14.25" customHeight="1">
      <c r="A36" s="14" t="s">
        <v>1525</v>
      </c>
      <c r="B36" s="14" t="s">
        <v>351</v>
      </c>
      <c r="C36" s="14">
        <v>3.0</v>
      </c>
      <c r="D36" s="14" t="s">
        <v>38</v>
      </c>
      <c r="E36" s="14" t="s">
        <v>135</v>
      </c>
      <c r="F36" s="14">
        <v>64.0</v>
      </c>
      <c r="G36" s="14">
        <v>34.0</v>
      </c>
      <c r="H36" s="14">
        <v>20.0</v>
      </c>
      <c r="I36" s="60">
        <v>0.588</v>
      </c>
      <c r="J36" s="14">
        <v>1.0</v>
      </c>
      <c r="K36" s="14">
        <v>1.0</v>
      </c>
      <c r="L36" s="14">
        <v>1.0</v>
      </c>
      <c r="M36" s="14">
        <v>2.0</v>
      </c>
      <c r="N36" s="14">
        <v>155.0</v>
      </c>
      <c r="O36" s="20">
        <v>1.752944</v>
      </c>
      <c r="P36" s="20">
        <v>18.300270806069168</v>
      </c>
      <c r="Q36" s="15"/>
      <c r="R36" s="20">
        <v>1.752944</v>
      </c>
      <c r="U36" s="14">
        <f t="array" ref="U36">XLOOKUP(E36, 'Conference Match'!$A$2:$A$25, 'Conference Match'!$C$2:$C$25)</f>
        <v>1</v>
      </c>
      <c r="V36" s="20">
        <f t="shared" si="1"/>
        <v>0.2629416</v>
      </c>
      <c r="W36" s="20">
        <f t="shared" si="2"/>
        <v>5.593014624</v>
      </c>
      <c r="Y36" s="20">
        <f>IFERROR(__xludf.DUMMYFUNCTION("iferror(PERCENTRANK.INC(FILTER($V$2:$V$425, $T$2:$T$425&lt;3.75), $V36), 1)"),0.466)</f>
        <v>0.466</v>
      </c>
      <c r="Z36" s="20">
        <f>IFERROR(__xludf.DUMMYFUNCTION("iferror(PERCENTRANK.INC(FILTER($V$2:$V$425, $T$2:$T$425&lt;4.5), $V36), 1)"),0.382)</f>
        <v>0.382</v>
      </c>
      <c r="AA36" s="20">
        <f>IFERROR(__xludf.DUMMYFUNCTION("iferror(PERCENTRANK.INC(FILTER($V$2:$V$425, $T$2:$T$425&gt;4.1), $V36), 0.01)"),0.01)</f>
        <v>0.01</v>
      </c>
    </row>
    <row r="37" ht="14.25" customHeight="1">
      <c r="A37" s="14" t="s">
        <v>1526</v>
      </c>
      <c r="B37" s="14" t="s">
        <v>351</v>
      </c>
      <c r="C37" s="14">
        <v>30.0</v>
      </c>
      <c r="D37" s="14" t="s">
        <v>38</v>
      </c>
      <c r="E37" s="14" t="s">
        <v>135</v>
      </c>
      <c r="F37" s="14">
        <v>7.0</v>
      </c>
      <c r="G37" s="14">
        <v>34.0</v>
      </c>
      <c r="H37" s="14">
        <v>25.0</v>
      </c>
      <c r="I37" s="60">
        <v>0.735</v>
      </c>
      <c r="J37" s="14">
        <v>0.0</v>
      </c>
      <c r="K37" s="14">
        <v>1.0</v>
      </c>
      <c r="L37" s="14">
        <v>2.0</v>
      </c>
      <c r="M37" s="14">
        <v>2.0</v>
      </c>
      <c r="N37" s="14">
        <v>170.0</v>
      </c>
      <c r="O37" s="20">
        <v>1.6511799999999999</v>
      </c>
      <c r="P37" s="20">
        <v>15.00382238231597</v>
      </c>
      <c r="Q37" s="15"/>
      <c r="R37" s="20">
        <v>1.6511799999999999</v>
      </c>
      <c r="U37" s="14">
        <f t="array" ref="U37">XLOOKUP(E37, 'Conference Match'!$A$2:$A$25, 'Conference Match'!$C$2:$C$25)</f>
        <v>1</v>
      </c>
      <c r="V37" s="20">
        <f t="shared" si="1"/>
        <v>0.247677</v>
      </c>
      <c r="W37" s="20">
        <f t="shared" si="2"/>
        <v>5.268322255</v>
      </c>
      <c r="Y37" s="20">
        <f>IFERROR(__xludf.DUMMYFUNCTION("iferror(PERCENTRANK.INC(FILTER($V$2:$V$425, $T$2:$T$425&lt;3.75), $V37), 1)"),0.397)</f>
        <v>0.397</v>
      </c>
      <c r="Z37" s="20">
        <f>IFERROR(__xludf.DUMMYFUNCTION("iferror(PERCENTRANK.INC(FILTER($V$2:$V$425, $T$2:$T$425&lt;4.5), $V37), 1)"),0.326)</f>
        <v>0.326</v>
      </c>
      <c r="AA37" s="20">
        <f>IFERROR(__xludf.DUMMYFUNCTION("iferror(PERCENTRANK.INC(FILTER($V$2:$V$425, $T$2:$T$425&gt;4.1), $V37), 0.01)"),0.01)</f>
        <v>0.01</v>
      </c>
    </row>
    <row r="38" ht="14.25" customHeight="1">
      <c r="A38" s="14" t="s">
        <v>1527</v>
      </c>
      <c r="B38" s="14" t="s">
        <v>351</v>
      </c>
      <c r="C38" s="14">
        <v>7.0</v>
      </c>
      <c r="D38" s="14" t="s">
        <v>38</v>
      </c>
      <c r="E38" s="14" t="s">
        <v>135</v>
      </c>
      <c r="F38" s="14">
        <v>25.0</v>
      </c>
      <c r="G38" s="14">
        <v>25.0</v>
      </c>
      <c r="H38" s="14">
        <v>15.0</v>
      </c>
      <c r="I38" s="60">
        <v>0.6</v>
      </c>
      <c r="J38" s="14">
        <v>0.0</v>
      </c>
      <c r="K38" s="14">
        <v>0.0</v>
      </c>
      <c r="L38" s="14">
        <v>2.0</v>
      </c>
      <c r="M38" s="14">
        <v>2.0</v>
      </c>
      <c r="N38" s="14">
        <v>289.0</v>
      </c>
      <c r="O38" s="20">
        <v>1.5528</v>
      </c>
      <c r="P38" s="20">
        <v>11.816992109048032</v>
      </c>
      <c r="Q38" s="15"/>
      <c r="R38" s="20">
        <v>1.5528</v>
      </c>
      <c r="U38" s="14">
        <f t="array" ref="U38">XLOOKUP(E38, 'Conference Match'!$A$2:$A$25, 'Conference Match'!$C$2:$C$25)</f>
        <v>1</v>
      </c>
      <c r="V38" s="20">
        <f t="shared" si="1"/>
        <v>0.23292</v>
      </c>
      <c r="W38" s="20">
        <f t="shared" si="2"/>
        <v>4.954427014</v>
      </c>
      <c r="Y38" s="20">
        <f>IFERROR(__xludf.DUMMYFUNCTION("iferror(PERCENTRANK.INC(FILTER($V$2:$V$425, $T$2:$T$425&lt;3.75), $V38), 1)"),0.301)</f>
        <v>0.301</v>
      </c>
      <c r="Z38" s="20">
        <f>IFERROR(__xludf.DUMMYFUNCTION("iferror(PERCENTRANK.INC(FILTER($V$2:$V$425, $T$2:$T$425&lt;4.5), $V38), 1)"),0.247)</f>
        <v>0.247</v>
      </c>
      <c r="AA38" s="20">
        <f>IFERROR(__xludf.DUMMYFUNCTION("iferror(PERCENTRANK.INC(FILTER($V$2:$V$425, $T$2:$T$425&gt;4.1), $V38), 0.01)"),0.01)</f>
        <v>0.01</v>
      </c>
    </row>
    <row r="39" ht="14.25" customHeight="1">
      <c r="A39" s="14" t="s">
        <v>1528</v>
      </c>
      <c r="B39" s="14" t="s">
        <v>410</v>
      </c>
      <c r="C39" s="14">
        <v>36.0</v>
      </c>
      <c r="D39" s="14" t="s">
        <v>38</v>
      </c>
      <c r="E39" s="14" t="s">
        <v>147</v>
      </c>
      <c r="F39" s="14">
        <v>10.0</v>
      </c>
      <c r="G39" s="14">
        <v>16.0</v>
      </c>
      <c r="H39" s="14">
        <v>7.0</v>
      </c>
      <c r="I39" s="60">
        <v>0.438</v>
      </c>
      <c r="J39" s="14">
        <v>0.0</v>
      </c>
      <c r="K39" s="14">
        <v>0.0</v>
      </c>
      <c r="L39" s="14">
        <v>5.0</v>
      </c>
      <c r="M39" s="14">
        <v>6.0</v>
      </c>
      <c r="N39" s="14">
        <v>137.0</v>
      </c>
      <c r="O39" s="20">
        <v>2.174744</v>
      </c>
      <c r="P39" s="20">
        <v>31.963667932155953</v>
      </c>
      <c r="Q39" s="15"/>
      <c r="R39" s="20">
        <v>2.174744</v>
      </c>
      <c r="U39" s="14">
        <f t="array" ref="U39">XLOOKUP(E39, 'Conference Match'!$A$2:$A$25, 'Conference Match'!$C$2:$C$25)</f>
        <v>0.95</v>
      </c>
      <c r="V39" s="20">
        <f t="shared" si="1"/>
        <v>0.30990102</v>
      </c>
      <c r="W39" s="20">
        <f t="shared" si="2"/>
        <v>6.591885562</v>
      </c>
      <c r="Y39" s="20">
        <f>IFERROR(__xludf.DUMMYFUNCTION("iferror(PERCENTRANK.INC(FILTER($V$2:$V$425, $T$2:$T$425&lt;3.75), $V39), 1)"),0.699)</f>
        <v>0.699</v>
      </c>
      <c r="Z39" s="20">
        <f>IFERROR(__xludf.DUMMYFUNCTION("iferror(PERCENTRANK.INC(FILTER($V$2:$V$425, $T$2:$T$425&lt;4.5), $V39), 1)"),0.573)</f>
        <v>0.573</v>
      </c>
      <c r="AA39" s="20">
        <f>IFERROR(__xludf.DUMMYFUNCTION("iferror(PERCENTRANK.INC(FILTER($V$2:$V$425, $T$2:$T$425&gt;4.1), $V39), 0.01)"),0.01)</f>
        <v>0.01</v>
      </c>
    </row>
    <row r="40" ht="14.25" customHeight="1">
      <c r="A40" s="14" t="s">
        <v>1529</v>
      </c>
      <c r="B40" s="14" t="s">
        <v>410</v>
      </c>
      <c r="C40" s="14">
        <v>3.0</v>
      </c>
      <c r="D40" s="14" t="s">
        <v>38</v>
      </c>
      <c r="E40" s="14" t="s">
        <v>147</v>
      </c>
      <c r="F40" s="14">
        <v>34.0</v>
      </c>
      <c r="G40" s="14">
        <v>17.0</v>
      </c>
      <c r="H40" s="14">
        <v>11.0</v>
      </c>
      <c r="I40" s="60">
        <v>0.647</v>
      </c>
      <c r="J40" s="14">
        <v>1.0</v>
      </c>
      <c r="K40" s="14">
        <v>0.0</v>
      </c>
      <c r="L40" s="14">
        <v>1.0</v>
      </c>
      <c r="M40" s="14">
        <v>1.0</v>
      </c>
      <c r="N40" s="14">
        <v>85.0</v>
      </c>
      <c r="O40" s="20">
        <v>1.5722359999999997</v>
      </c>
      <c r="P40" s="20">
        <v>12.446583826787766</v>
      </c>
      <c r="Q40" s="15"/>
      <c r="R40" s="20">
        <v>1.5722359999999997</v>
      </c>
      <c r="U40" s="14">
        <f t="array" ref="U40">XLOOKUP(E40, 'Conference Match'!$A$2:$A$25, 'Conference Match'!$C$2:$C$25)</f>
        <v>0.95</v>
      </c>
      <c r="V40" s="20">
        <f t="shared" si="1"/>
        <v>0.22404363</v>
      </c>
      <c r="W40" s="20">
        <f t="shared" si="2"/>
        <v>4.765618293</v>
      </c>
      <c r="Y40" s="20">
        <f>IFERROR(__xludf.DUMMYFUNCTION("iferror(PERCENTRANK.INC(FILTER($V$2:$V$425, $T$2:$T$425&lt;3.75), $V40), 1)"),0.274)</f>
        <v>0.274</v>
      </c>
      <c r="Z40" s="20">
        <f>IFERROR(__xludf.DUMMYFUNCTION("iferror(PERCENTRANK.INC(FILTER($V$2:$V$425, $T$2:$T$425&lt;4.5), $V40), 1)"),0.225)</f>
        <v>0.225</v>
      </c>
      <c r="AA40" s="20">
        <f>IFERROR(__xludf.DUMMYFUNCTION("iferror(PERCENTRANK.INC(FILTER($V$2:$V$425, $T$2:$T$425&gt;4.1), $V40), 0.01)"),0.01)</f>
        <v>0.01</v>
      </c>
    </row>
    <row r="41" ht="14.25" customHeight="1">
      <c r="A41" s="14" t="s">
        <v>1530</v>
      </c>
      <c r="B41" s="14" t="s">
        <v>410</v>
      </c>
      <c r="C41" s="14">
        <v>9.0</v>
      </c>
      <c r="D41" s="14" t="s">
        <v>38</v>
      </c>
      <c r="E41" s="14" t="s">
        <v>147</v>
      </c>
      <c r="F41" s="14">
        <v>47.0</v>
      </c>
      <c r="G41" s="14">
        <v>23.0</v>
      </c>
      <c r="H41" s="14">
        <v>8.0</v>
      </c>
      <c r="I41" s="60">
        <v>0.348</v>
      </c>
      <c r="J41" s="14">
        <v>0.0</v>
      </c>
      <c r="K41" s="14">
        <v>0.0</v>
      </c>
      <c r="L41" s="14">
        <v>0.0</v>
      </c>
      <c r="M41" s="14">
        <v>4.0</v>
      </c>
      <c r="N41" s="14">
        <v>161.0</v>
      </c>
      <c r="O41" s="20">
        <v>1.515824</v>
      </c>
      <c r="P41" s="20">
        <v>10.619225935187947</v>
      </c>
      <c r="Q41" s="15"/>
      <c r="R41" s="20">
        <v>1.515824</v>
      </c>
      <c r="U41" s="14">
        <f t="array" ref="U41">XLOOKUP(E41, 'Conference Match'!$A$2:$A$25, 'Conference Match'!$C$2:$C$25)</f>
        <v>0.95</v>
      </c>
      <c r="V41" s="20">
        <f t="shared" si="1"/>
        <v>0.21600492</v>
      </c>
      <c r="W41" s="20">
        <f t="shared" si="2"/>
        <v>4.594627386</v>
      </c>
      <c r="Y41" s="20">
        <f>IFERROR(__xludf.DUMMYFUNCTION("iferror(PERCENTRANK.INC(FILTER($V$2:$V$425, $T$2:$T$425&lt;3.75), $V41), 1)"),0.233)</f>
        <v>0.233</v>
      </c>
      <c r="Z41" s="20">
        <f>IFERROR(__xludf.DUMMYFUNCTION("iferror(PERCENTRANK.INC(FILTER($V$2:$V$425, $T$2:$T$425&lt;4.5), $V41), 1)"),0.191)</f>
        <v>0.191</v>
      </c>
      <c r="AA41" s="20">
        <f>IFERROR(__xludf.DUMMYFUNCTION("iferror(PERCENTRANK.INC(FILTER($V$2:$V$425, $T$2:$T$425&gt;4.1), $V41), 0.01)"),0.01)</f>
        <v>0.01</v>
      </c>
    </row>
    <row r="42" ht="14.25" customHeight="1">
      <c r="A42" s="14" t="s">
        <v>1531</v>
      </c>
      <c r="B42" s="14" t="s">
        <v>410</v>
      </c>
      <c r="C42" s="14">
        <v>5.0</v>
      </c>
      <c r="D42" s="14" t="s">
        <v>38</v>
      </c>
      <c r="E42" s="14" t="s">
        <v>147</v>
      </c>
      <c r="F42" s="14">
        <v>20.0</v>
      </c>
      <c r="G42" s="14">
        <v>8.0</v>
      </c>
      <c r="H42" s="14">
        <v>4.0</v>
      </c>
      <c r="I42" s="60">
        <v>0.5</v>
      </c>
      <c r="J42" s="14">
        <v>0.0</v>
      </c>
      <c r="K42" s="14">
        <v>0.0</v>
      </c>
      <c r="L42" s="14">
        <v>0.0</v>
      </c>
      <c r="M42" s="14">
        <v>2.0</v>
      </c>
      <c r="N42" s="14">
        <v>61.0</v>
      </c>
      <c r="O42" s="20">
        <v>1.3539999999999999</v>
      </c>
      <c r="P42" s="20">
        <v>5.377249698744443</v>
      </c>
      <c r="Q42" s="15"/>
      <c r="R42" s="20">
        <v>1.3539999999999999</v>
      </c>
      <c r="U42" s="14">
        <f t="array" ref="U42">XLOOKUP(E42, 'Conference Match'!$A$2:$A$25, 'Conference Match'!$C$2:$C$25)</f>
        <v>0.95</v>
      </c>
      <c r="V42" s="20">
        <f t="shared" si="1"/>
        <v>0.192945</v>
      </c>
      <c r="W42" s="20">
        <f t="shared" si="2"/>
        <v>4.104121244</v>
      </c>
      <c r="Y42" s="20">
        <f>IFERROR(__xludf.DUMMYFUNCTION("iferror(PERCENTRANK.INC(FILTER($V$2:$V$425, $T$2:$T$425&lt;3.75), $V42), 1)"),0.123)</f>
        <v>0.123</v>
      </c>
      <c r="Z42" s="20">
        <f>IFERROR(__xludf.DUMMYFUNCTION("iferror(PERCENTRANK.INC(FILTER($V$2:$V$425, $T$2:$T$425&lt;4.5), $V42), 1)"),0.101)</f>
        <v>0.101</v>
      </c>
      <c r="AA42" s="20">
        <f>IFERROR(__xludf.DUMMYFUNCTION("iferror(PERCENTRANK.INC(FILTER($V$2:$V$425, $T$2:$T$425&gt;4.1), $V42), 0.01)"),0.01)</f>
        <v>0.01</v>
      </c>
    </row>
    <row r="43" ht="14.25" customHeight="1">
      <c r="A43" s="14" t="s">
        <v>1532</v>
      </c>
      <c r="B43" s="14" t="s">
        <v>131</v>
      </c>
      <c r="C43" s="14">
        <v>17.0</v>
      </c>
      <c r="D43" s="14" t="s">
        <v>38</v>
      </c>
      <c r="E43" s="14" t="s">
        <v>132</v>
      </c>
      <c r="F43" s="14">
        <v>53.0</v>
      </c>
      <c r="G43" s="14">
        <v>19.0</v>
      </c>
      <c r="H43" s="14">
        <v>8.0</v>
      </c>
      <c r="I43" s="60">
        <v>0.421</v>
      </c>
      <c r="J43" s="14">
        <v>2.0</v>
      </c>
      <c r="K43" s="14">
        <v>1.0</v>
      </c>
      <c r="L43" s="14">
        <v>3.0</v>
      </c>
      <c r="M43" s="14">
        <v>3.0</v>
      </c>
      <c r="N43" s="14">
        <v>102.0</v>
      </c>
      <c r="O43" s="20">
        <v>2.234948</v>
      </c>
      <c r="P43" s="20">
        <v>33.913860346994575</v>
      </c>
      <c r="Q43" s="27"/>
      <c r="R43" s="20">
        <v>2.234948</v>
      </c>
      <c r="U43" s="14">
        <f t="array" ref="U43">XLOOKUP(E43, 'Conference Match'!$A$2:$A$25, 'Conference Match'!$C$2:$C$25)</f>
        <v>0.95</v>
      </c>
      <c r="V43" s="20">
        <f t="shared" si="1"/>
        <v>0.31848009</v>
      </c>
      <c r="W43" s="20">
        <f t="shared" si="2"/>
        <v>6.774370433</v>
      </c>
      <c r="Y43" s="20">
        <f>IFERROR(__xludf.DUMMYFUNCTION("iferror(PERCENTRANK.INC(FILTER($V$2:$V$425, $T$2:$T$425&lt;3.75), $V43), 1)"),0.74)</f>
        <v>0.74</v>
      </c>
      <c r="Z43" s="20">
        <f>IFERROR(__xludf.DUMMYFUNCTION("iferror(PERCENTRANK.INC(FILTER($V$2:$V$425, $T$2:$T$425&lt;4.5), $V43), 1)"),0.607)</f>
        <v>0.607</v>
      </c>
      <c r="AA43" s="20">
        <f>IFERROR(__xludf.DUMMYFUNCTION("iferror(PERCENTRANK.INC(FILTER($V$2:$V$425, $T$2:$T$425&gt;4.1), $V43), 0.01)"),0.01)</f>
        <v>0.01</v>
      </c>
    </row>
    <row r="44" ht="14.25" customHeight="1">
      <c r="A44" s="14" t="s">
        <v>1533</v>
      </c>
      <c r="B44" s="14" t="s">
        <v>509</v>
      </c>
      <c r="C44" s="14">
        <v>8.0</v>
      </c>
      <c r="D44" s="14" t="s">
        <v>38</v>
      </c>
      <c r="E44" s="14" t="s">
        <v>99</v>
      </c>
      <c r="F44" s="14">
        <v>123.0</v>
      </c>
      <c r="G44" s="14">
        <v>34.0</v>
      </c>
      <c r="H44" s="14">
        <v>19.0</v>
      </c>
      <c r="I44" s="60">
        <v>0.559</v>
      </c>
      <c r="J44" s="14">
        <v>1.0</v>
      </c>
      <c r="K44" s="14">
        <v>0.0</v>
      </c>
      <c r="L44" s="14">
        <v>4.0</v>
      </c>
      <c r="M44" s="14">
        <v>4.0</v>
      </c>
      <c r="N44" s="14">
        <v>287.0</v>
      </c>
      <c r="O44" s="20">
        <v>2.113292</v>
      </c>
      <c r="P44" s="20">
        <v>29.973048965365326</v>
      </c>
      <c r="Q44" s="15"/>
      <c r="R44" s="20">
        <v>2.113292</v>
      </c>
      <c r="U44" s="14">
        <f t="array" ref="U44">XLOOKUP(E44, 'Conference Match'!$A$2:$A$25, 'Conference Match'!$C$2:$C$25)</f>
        <v>1</v>
      </c>
      <c r="V44" s="20">
        <f t="shared" si="1"/>
        <v>0.3169938</v>
      </c>
      <c r="W44" s="20">
        <f t="shared" si="2"/>
        <v>6.74275565</v>
      </c>
      <c r="Y44" s="20">
        <f>IFERROR(__xludf.DUMMYFUNCTION("iferror(PERCENTRANK.INC(FILTER($V$2:$V$425, $T$2:$T$425&lt;3.75), $V44), 1)"),0.726)</f>
        <v>0.726</v>
      </c>
      <c r="Z44" s="20">
        <f>IFERROR(__xludf.DUMMYFUNCTION("iferror(PERCENTRANK.INC(FILTER($V$2:$V$425, $T$2:$T$425&lt;4.5), $V44), 1)"),0.596)</f>
        <v>0.596</v>
      </c>
      <c r="AA44" s="20">
        <f>IFERROR(__xludf.DUMMYFUNCTION("iferror(PERCENTRANK.INC(FILTER($V$2:$V$425, $T$2:$T$425&gt;4.1), $V44), 0.01)"),0.01)</f>
        <v>0.01</v>
      </c>
    </row>
    <row r="45" ht="14.25" customHeight="1">
      <c r="A45" s="14" t="s">
        <v>1534</v>
      </c>
      <c r="B45" s="14" t="s">
        <v>509</v>
      </c>
      <c r="C45" s="14">
        <v>10.0</v>
      </c>
      <c r="D45" s="14" t="s">
        <v>38</v>
      </c>
      <c r="E45" s="14" t="s">
        <v>99</v>
      </c>
      <c r="F45" s="14">
        <v>34.0</v>
      </c>
      <c r="G45" s="14">
        <v>15.0</v>
      </c>
      <c r="H45" s="14">
        <v>6.0</v>
      </c>
      <c r="I45" s="60">
        <v>0.4</v>
      </c>
      <c r="J45" s="14">
        <v>0.0</v>
      </c>
      <c r="K45" s="14">
        <v>0.0</v>
      </c>
      <c r="L45" s="14">
        <v>1.0</v>
      </c>
      <c r="M45" s="14">
        <v>2.0</v>
      </c>
      <c r="N45" s="14">
        <v>90.0</v>
      </c>
      <c r="O45" s="20">
        <v>1.4551999999999998</v>
      </c>
      <c r="P45" s="20">
        <v>8.655428430750089</v>
      </c>
      <c r="Q45" s="15"/>
      <c r="R45" s="20">
        <v>1.4551999999999998</v>
      </c>
      <c r="U45" s="14">
        <f t="array" ref="U45">XLOOKUP(E45, 'Conference Match'!$A$2:$A$25, 'Conference Match'!$C$2:$C$25)</f>
        <v>1</v>
      </c>
      <c r="V45" s="20">
        <f t="shared" si="1"/>
        <v>0.21828</v>
      </c>
      <c r="W45" s="20">
        <f t="shared" si="2"/>
        <v>4.643020473</v>
      </c>
      <c r="Y45" s="20">
        <f>IFERROR(__xludf.DUMMYFUNCTION("iferror(PERCENTRANK.INC(FILTER($V$2:$V$425, $T$2:$T$425&lt;3.75), $V45), 1)"),0.247)</f>
        <v>0.247</v>
      </c>
      <c r="Z45" s="20">
        <f>IFERROR(__xludf.DUMMYFUNCTION("iferror(PERCENTRANK.INC(FILTER($V$2:$V$425, $T$2:$T$425&lt;4.5), $V45), 1)"),0.202)</f>
        <v>0.202</v>
      </c>
      <c r="AA45" s="20">
        <f>IFERROR(__xludf.DUMMYFUNCTION("iferror(PERCENTRANK.INC(FILTER($V$2:$V$425, $T$2:$T$425&gt;4.1), $V45), 0.01)"),0.01)</f>
        <v>0.01</v>
      </c>
    </row>
    <row r="46" ht="14.25" customHeight="1">
      <c r="A46" s="14" t="s">
        <v>794</v>
      </c>
      <c r="B46" s="14" t="s">
        <v>509</v>
      </c>
      <c r="C46" s="14">
        <v>5.0</v>
      </c>
      <c r="D46" s="14" t="s">
        <v>38</v>
      </c>
      <c r="E46" s="14" t="s">
        <v>99</v>
      </c>
      <c r="F46" s="14">
        <v>33.0</v>
      </c>
      <c r="G46" s="14">
        <v>9.0</v>
      </c>
      <c r="H46" s="14">
        <v>4.0</v>
      </c>
      <c r="I46" s="60">
        <v>0.444</v>
      </c>
      <c r="J46" s="14">
        <v>1.0</v>
      </c>
      <c r="K46" s="14">
        <v>0.0</v>
      </c>
      <c r="L46" s="14">
        <v>0.0</v>
      </c>
      <c r="M46" s="14">
        <v>0.0</v>
      </c>
      <c r="N46" s="14">
        <v>59.0</v>
      </c>
      <c r="O46" s="20">
        <v>1.394672</v>
      </c>
      <c r="P46" s="20">
        <v>6.69474066107778</v>
      </c>
      <c r="Q46" s="15"/>
      <c r="R46" s="20">
        <v>1.394672</v>
      </c>
      <c r="U46" s="14">
        <f t="array" ref="U46">XLOOKUP(E46, 'Conference Match'!$A$2:$A$25, 'Conference Match'!$C$2:$C$25)</f>
        <v>1</v>
      </c>
      <c r="V46" s="20">
        <f t="shared" si="1"/>
        <v>0.2092008</v>
      </c>
      <c r="W46" s="20">
        <f t="shared" si="2"/>
        <v>4.449897368</v>
      </c>
      <c r="Y46" s="20">
        <f>IFERROR(__xludf.DUMMYFUNCTION("iferror(PERCENTRANK.INC(FILTER($V$2:$V$425, $T$2:$T$425&lt;3.75), $V46), 1)"),0.192)</f>
        <v>0.192</v>
      </c>
      <c r="Z46" s="20">
        <f>IFERROR(__xludf.DUMMYFUNCTION("iferror(PERCENTRANK.INC(FILTER($V$2:$V$425, $T$2:$T$425&lt;4.5), $V46), 1)"),0.157)</f>
        <v>0.157</v>
      </c>
      <c r="AA46" s="20">
        <f>IFERROR(__xludf.DUMMYFUNCTION("iferror(PERCENTRANK.INC(FILTER($V$2:$V$425, $T$2:$T$425&gt;4.1), $V46), 0.01)"),0.01)</f>
        <v>0.01</v>
      </c>
    </row>
    <row r="47" ht="14.25" customHeight="1">
      <c r="A47" s="14" t="s">
        <v>1535</v>
      </c>
      <c r="B47" s="14" t="s">
        <v>165</v>
      </c>
      <c r="C47" s="14">
        <v>22.0</v>
      </c>
      <c r="D47" s="14" t="s">
        <v>38</v>
      </c>
      <c r="E47" s="14" t="s">
        <v>135</v>
      </c>
      <c r="F47" s="14">
        <v>36.0</v>
      </c>
      <c r="G47" s="14">
        <v>15.0</v>
      </c>
      <c r="H47" s="14">
        <v>9.0</v>
      </c>
      <c r="I47" s="60">
        <v>0.6</v>
      </c>
      <c r="J47" s="14">
        <v>2.0</v>
      </c>
      <c r="K47" s="14">
        <v>0.0</v>
      </c>
      <c r="L47" s="14">
        <v>0.0</v>
      </c>
      <c r="M47" s="14">
        <v>1.0</v>
      </c>
      <c r="N47" s="14">
        <v>71.0</v>
      </c>
      <c r="O47" s="20">
        <v>1.6728</v>
      </c>
      <c r="P47" s="20">
        <v>15.70416056597173</v>
      </c>
      <c r="Q47" s="15"/>
      <c r="R47" s="20">
        <v>1.6728</v>
      </c>
      <c r="U47" s="14">
        <f t="array" ref="U47">XLOOKUP(E47, 'Conference Match'!$A$2:$A$25, 'Conference Match'!$C$2:$C$25)</f>
        <v>1</v>
      </c>
      <c r="V47" s="20">
        <f t="shared" si="1"/>
        <v>0.25092</v>
      </c>
      <c r="W47" s="20">
        <f t="shared" si="2"/>
        <v>5.337303909</v>
      </c>
      <c r="Y47" s="20">
        <f>IFERROR(__xludf.DUMMYFUNCTION("iferror(PERCENTRANK.INC(FILTER($V$2:$V$425, $T$2:$T$425&lt;3.75), $V47), 1)"),0.438)</f>
        <v>0.438</v>
      </c>
      <c r="Z47" s="20">
        <f>IFERROR(__xludf.DUMMYFUNCTION("iferror(PERCENTRANK.INC(FILTER($V$2:$V$425, $T$2:$T$425&lt;4.5), $V47), 1)"),0.36)</f>
        <v>0.36</v>
      </c>
      <c r="AA47" s="20">
        <f>IFERROR(__xludf.DUMMYFUNCTION("iferror(PERCENTRANK.INC(FILTER($V$2:$V$425, $T$2:$T$425&gt;4.1), $V47), 0.01)"),0.01)</f>
        <v>0.01</v>
      </c>
    </row>
    <row r="48" ht="14.25" customHeight="1">
      <c r="A48" s="14" t="s">
        <v>1536</v>
      </c>
      <c r="B48" s="14" t="s">
        <v>165</v>
      </c>
      <c r="C48" s="14">
        <v>21.0</v>
      </c>
      <c r="D48" s="14" t="s">
        <v>38</v>
      </c>
      <c r="E48" s="14" t="s">
        <v>135</v>
      </c>
      <c r="F48" s="14">
        <v>97.0</v>
      </c>
      <c r="G48" s="14">
        <v>31.0</v>
      </c>
      <c r="H48" s="14">
        <v>21.0</v>
      </c>
      <c r="I48" s="60">
        <v>0.677</v>
      </c>
      <c r="J48" s="14">
        <v>1.0</v>
      </c>
      <c r="K48" s="14">
        <v>0.0</v>
      </c>
      <c r="L48" s="14">
        <v>1.0</v>
      </c>
      <c r="M48" s="14">
        <v>2.0</v>
      </c>
      <c r="N48" s="14">
        <v>213.0</v>
      </c>
      <c r="O48" s="20">
        <v>1.6518759999999997</v>
      </c>
      <c r="P48" s="20">
        <v>15.026367959366121</v>
      </c>
      <c r="Q48" s="15"/>
      <c r="R48" s="20">
        <v>1.6518759999999997</v>
      </c>
      <c r="U48" s="14">
        <f t="array" ref="U48">XLOOKUP(E48, 'Conference Match'!$A$2:$A$25, 'Conference Match'!$C$2:$C$25)</f>
        <v>1</v>
      </c>
      <c r="V48" s="20">
        <f t="shared" si="1"/>
        <v>0.2477814</v>
      </c>
      <c r="W48" s="20">
        <f t="shared" si="2"/>
        <v>5.270542941</v>
      </c>
      <c r="Y48" s="20">
        <f>IFERROR(__xludf.DUMMYFUNCTION("iferror(PERCENTRANK.INC(FILTER($V$2:$V$425, $T$2:$T$425&lt;3.75), $V48), 1)"),0.411)</f>
        <v>0.411</v>
      </c>
      <c r="Z48" s="20">
        <f>IFERROR(__xludf.DUMMYFUNCTION("iferror(PERCENTRANK.INC(FILTER($V$2:$V$425, $T$2:$T$425&lt;4.5), $V48), 1)"),0.337)</f>
        <v>0.337</v>
      </c>
      <c r="AA48" s="20">
        <f>IFERROR(__xludf.DUMMYFUNCTION("iferror(PERCENTRANK.INC(FILTER($V$2:$V$425, $T$2:$T$425&gt;4.1), $V48), 0.01)"),0.01)</f>
        <v>0.01</v>
      </c>
    </row>
    <row r="49" ht="14.25" customHeight="1">
      <c r="A49" s="14" t="s">
        <v>1537</v>
      </c>
      <c r="B49" s="14" t="s">
        <v>165</v>
      </c>
      <c r="C49" s="14">
        <v>5.0</v>
      </c>
      <c r="D49" s="14" t="s">
        <v>38</v>
      </c>
      <c r="E49" s="14" t="s">
        <v>135</v>
      </c>
      <c r="F49" s="14">
        <v>89.0</v>
      </c>
      <c r="G49" s="14">
        <v>26.0</v>
      </c>
      <c r="H49" s="14">
        <v>10.0</v>
      </c>
      <c r="I49" s="60">
        <v>0.385</v>
      </c>
      <c r="J49" s="14">
        <v>0.0</v>
      </c>
      <c r="K49" s="14">
        <v>0.0</v>
      </c>
      <c r="L49" s="14">
        <v>2.0</v>
      </c>
      <c r="M49" s="14">
        <v>2.0</v>
      </c>
      <c r="N49" s="14">
        <v>192.0</v>
      </c>
      <c r="O49" s="20">
        <v>1.5553799999999998</v>
      </c>
      <c r="P49" s="20">
        <v>11.900566230871886</v>
      </c>
      <c r="Q49" s="15"/>
      <c r="R49" s="20">
        <v>1.5553799999999998</v>
      </c>
      <c r="U49" s="14">
        <f t="array" ref="U49">XLOOKUP(E49, 'Conference Match'!$A$2:$A$25, 'Conference Match'!$C$2:$C$25)</f>
        <v>1</v>
      </c>
      <c r="V49" s="20">
        <f t="shared" si="1"/>
        <v>0.233307</v>
      </c>
      <c r="W49" s="20">
        <f t="shared" si="2"/>
        <v>4.962658867</v>
      </c>
      <c r="Y49" s="20">
        <f>IFERROR(__xludf.DUMMYFUNCTION("iferror(PERCENTRANK.INC(FILTER($V$2:$V$425, $T$2:$T$425&lt;3.75), $V49), 1)"),0.329)</f>
        <v>0.329</v>
      </c>
      <c r="Z49" s="20">
        <f>IFERROR(__xludf.DUMMYFUNCTION("iferror(PERCENTRANK.INC(FILTER($V$2:$V$425, $T$2:$T$425&lt;4.5), $V49), 1)"),0.27)</f>
        <v>0.27</v>
      </c>
      <c r="AA49" s="20">
        <f>IFERROR(__xludf.DUMMYFUNCTION("iferror(PERCENTRANK.INC(FILTER($V$2:$V$425, $T$2:$T$425&gt;4.1), $V49), 0.01)"),0.01)</f>
        <v>0.01</v>
      </c>
    </row>
    <row r="50" ht="14.25" customHeight="1">
      <c r="A50" s="14" t="s">
        <v>1538</v>
      </c>
      <c r="B50" s="14" t="s">
        <v>333</v>
      </c>
      <c r="C50" s="14">
        <v>16.0</v>
      </c>
      <c r="D50" s="14" t="s">
        <v>38</v>
      </c>
      <c r="E50" s="14" t="s">
        <v>147</v>
      </c>
      <c r="F50" s="14">
        <v>25.0</v>
      </c>
      <c r="G50" s="14">
        <v>12.0</v>
      </c>
      <c r="H50" s="14">
        <v>6.0</v>
      </c>
      <c r="I50" s="60">
        <v>0.5</v>
      </c>
      <c r="J50" s="14">
        <v>0.0</v>
      </c>
      <c r="K50" s="14">
        <v>1.0</v>
      </c>
      <c r="L50" s="14">
        <v>3.0</v>
      </c>
      <c r="M50" s="14">
        <v>3.0</v>
      </c>
      <c r="N50" s="14">
        <v>63.0</v>
      </c>
      <c r="O50" s="20">
        <v>1.8339999999999999</v>
      </c>
      <c r="P50" s="20">
        <v>20.92592352643922</v>
      </c>
      <c r="Q50" s="15"/>
      <c r="R50" s="20">
        <v>1.8339999999999999</v>
      </c>
      <c r="U50" s="14">
        <f t="array" ref="U50">XLOOKUP(E50, 'Conference Match'!$A$2:$A$25, 'Conference Match'!$C$2:$C$25)</f>
        <v>0.95</v>
      </c>
      <c r="V50" s="20">
        <f t="shared" si="1"/>
        <v>0.261345</v>
      </c>
      <c r="W50" s="20">
        <f t="shared" si="2"/>
        <v>5.559053443</v>
      </c>
      <c r="Y50" s="20">
        <f>IFERROR(__xludf.DUMMYFUNCTION("iferror(PERCENTRANK.INC(FILTER($V$2:$V$425, $T$2:$T$425&lt;3.75), $V50), 1)"),0.452)</f>
        <v>0.452</v>
      </c>
      <c r="Z50" s="20">
        <f>IFERROR(__xludf.DUMMYFUNCTION("iferror(PERCENTRANK.INC(FILTER($V$2:$V$425, $T$2:$T$425&lt;4.5), $V50), 1)"),0.371)</f>
        <v>0.371</v>
      </c>
      <c r="AA50" s="20">
        <f>IFERROR(__xludf.DUMMYFUNCTION("iferror(PERCENTRANK.INC(FILTER($V$2:$V$425, $T$2:$T$425&gt;4.1), $V50), 0.01)"),0.01)</f>
        <v>0.01</v>
      </c>
    </row>
    <row r="51" ht="14.25" customHeight="1">
      <c r="A51" s="14" t="s">
        <v>1539</v>
      </c>
      <c r="B51" s="14" t="s">
        <v>333</v>
      </c>
      <c r="C51" s="14">
        <v>17.0</v>
      </c>
      <c r="D51" s="14" t="s">
        <v>38</v>
      </c>
      <c r="E51" s="14" t="s">
        <v>147</v>
      </c>
      <c r="F51" s="14">
        <v>52.0</v>
      </c>
      <c r="G51" s="14">
        <v>25.0</v>
      </c>
      <c r="H51" s="14">
        <v>13.0</v>
      </c>
      <c r="I51" s="60">
        <v>0.52</v>
      </c>
      <c r="J51" s="14">
        <v>1.0</v>
      </c>
      <c r="K51" s="14">
        <v>0.0</v>
      </c>
      <c r="L51" s="14">
        <v>2.0</v>
      </c>
      <c r="M51" s="14">
        <v>2.0</v>
      </c>
      <c r="N51" s="14">
        <v>122.0</v>
      </c>
      <c r="O51" s="20">
        <v>1.75376</v>
      </c>
      <c r="P51" s="20">
        <v>18.326703551576248</v>
      </c>
      <c r="Q51" s="15"/>
      <c r="R51" s="20">
        <v>1.75376</v>
      </c>
      <c r="U51" s="14">
        <f t="array" ref="U51">XLOOKUP(E51, 'Conference Match'!$A$2:$A$25, 'Conference Match'!$C$2:$C$25)</f>
        <v>0.95</v>
      </c>
      <c r="V51" s="20">
        <f t="shared" si="1"/>
        <v>0.2499108</v>
      </c>
      <c r="W51" s="20">
        <f t="shared" si="2"/>
        <v>5.315837277</v>
      </c>
      <c r="Y51" s="20">
        <f>IFERROR(__xludf.DUMMYFUNCTION("iferror(PERCENTRANK.INC(FILTER($V$2:$V$425, $T$2:$T$425&lt;3.75), $V51), 1)"),0.425)</f>
        <v>0.425</v>
      </c>
      <c r="Z51" s="20">
        <f>IFERROR(__xludf.DUMMYFUNCTION("iferror(PERCENTRANK.INC(FILTER($V$2:$V$425, $T$2:$T$425&lt;4.5), $V51), 1)"),0.348)</f>
        <v>0.348</v>
      </c>
      <c r="AA51" s="20">
        <f>IFERROR(__xludf.DUMMYFUNCTION("iferror(PERCENTRANK.INC(FILTER($V$2:$V$425, $T$2:$T$425&gt;4.1), $V51), 0.01)"),0.01)</f>
        <v>0.01</v>
      </c>
    </row>
    <row r="52" ht="14.25" customHeight="1">
      <c r="A52" s="14" t="s">
        <v>1540</v>
      </c>
      <c r="B52" s="14" t="s">
        <v>333</v>
      </c>
      <c r="C52" s="14">
        <v>8.0</v>
      </c>
      <c r="D52" s="14" t="s">
        <v>38</v>
      </c>
      <c r="E52" s="14" t="s">
        <v>147</v>
      </c>
      <c r="F52" s="14">
        <v>23.0</v>
      </c>
      <c r="G52" s="14">
        <v>7.0</v>
      </c>
      <c r="H52" s="14">
        <v>5.0</v>
      </c>
      <c r="I52" s="60">
        <v>0.714</v>
      </c>
      <c r="J52" s="14">
        <v>0.0</v>
      </c>
      <c r="K52" s="14">
        <v>1.0</v>
      </c>
      <c r="L52" s="14">
        <v>1.0</v>
      </c>
      <c r="M52" s="14">
        <v>1.0</v>
      </c>
      <c r="N52" s="14">
        <v>118.0</v>
      </c>
      <c r="O52" s="20">
        <v>1.4714319999999999</v>
      </c>
      <c r="P52" s="20">
        <v>9.181232750689968</v>
      </c>
      <c r="Q52" s="15"/>
      <c r="R52" s="20">
        <v>1.4714319999999999</v>
      </c>
      <c r="U52" s="14">
        <f t="array" ref="U52">XLOOKUP(E52, 'Conference Match'!$A$2:$A$25, 'Conference Match'!$C$2:$C$25)</f>
        <v>0.95</v>
      </c>
      <c r="V52" s="20">
        <f t="shared" si="1"/>
        <v>0.20967906</v>
      </c>
      <c r="W52" s="20">
        <f t="shared" si="2"/>
        <v>4.460070407</v>
      </c>
      <c r="Y52" s="20">
        <f>IFERROR(__xludf.DUMMYFUNCTION("iferror(PERCENTRANK.INC(FILTER($V$2:$V$425, $T$2:$T$425&lt;3.75), $V52), 1)"),0.219)</f>
        <v>0.219</v>
      </c>
      <c r="Z52" s="20">
        <f>IFERROR(__xludf.DUMMYFUNCTION("iferror(PERCENTRANK.INC(FILTER($V$2:$V$425, $T$2:$T$425&lt;4.5), $V52), 1)"),0.18)</f>
        <v>0.18</v>
      </c>
      <c r="AA52" s="20">
        <f>IFERROR(__xludf.DUMMYFUNCTION("iferror(PERCENTRANK.INC(FILTER($V$2:$V$425, $T$2:$T$425&gt;4.1), $V52), 0.01)"),0.01)</f>
        <v>0.01</v>
      </c>
    </row>
    <row r="53" ht="14.25" customHeight="1">
      <c r="A53" s="14" t="s">
        <v>1541</v>
      </c>
      <c r="B53" s="14" t="s">
        <v>333</v>
      </c>
      <c r="C53" s="14">
        <v>29.0</v>
      </c>
      <c r="D53" s="14" t="s">
        <v>38</v>
      </c>
      <c r="E53" s="14" t="s">
        <v>147</v>
      </c>
      <c r="F53" s="14">
        <v>29.0</v>
      </c>
      <c r="G53" s="14">
        <v>14.0</v>
      </c>
      <c r="H53" s="14">
        <v>6.0</v>
      </c>
      <c r="I53" s="60">
        <v>0.429</v>
      </c>
      <c r="J53" s="14">
        <v>0.0</v>
      </c>
      <c r="K53" s="14">
        <v>0.0</v>
      </c>
      <c r="L53" s="14">
        <v>0.0</v>
      </c>
      <c r="M53" s="14">
        <v>1.0</v>
      </c>
      <c r="N53" s="14">
        <v>83.0</v>
      </c>
      <c r="O53" s="20">
        <v>1.2748519999999999</v>
      </c>
      <c r="P53" s="20">
        <v>2.8134029568394703</v>
      </c>
      <c r="Q53" s="15"/>
      <c r="R53" s="20">
        <v>1.2748519999999999</v>
      </c>
      <c r="U53" s="14">
        <f t="array" ref="U53">XLOOKUP(E53, 'Conference Match'!$A$2:$A$25, 'Conference Match'!$C$2:$C$25)</f>
        <v>0.95</v>
      </c>
      <c r="V53" s="20">
        <f t="shared" si="1"/>
        <v>0.18166641</v>
      </c>
      <c r="W53" s="20">
        <f t="shared" si="2"/>
        <v>3.864215049</v>
      </c>
      <c r="Y53" s="20">
        <f>IFERROR(__xludf.DUMMYFUNCTION("iferror(PERCENTRANK.INC(FILTER($V$2:$V$425, $T$2:$T$425&lt;3.75), $V53), 1)"),0.11)</f>
        <v>0.11</v>
      </c>
      <c r="Z53" s="20">
        <f>IFERROR(__xludf.DUMMYFUNCTION("iferror(PERCENTRANK.INC(FILTER($V$2:$V$425, $T$2:$T$425&lt;4.5), $V53), 1)"),0.09)</f>
        <v>0.09</v>
      </c>
      <c r="AA53" s="20">
        <f>IFERROR(__xludf.DUMMYFUNCTION("iferror(PERCENTRANK.INC(FILTER($V$2:$V$425, $T$2:$T$425&gt;4.1), $V53), 0.01)"),0.01)</f>
        <v>0.01</v>
      </c>
    </row>
    <row r="54" ht="14.25" customHeight="1">
      <c r="A54" s="14" t="s">
        <v>1542</v>
      </c>
      <c r="B54" s="14" t="s">
        <v>333</v>
      </c>
      <c r="C54" s="14">
        <v>21.0</v>
      </c>
      <c r="D54" s="14" t="s">
        <v>38</v>
      </c>
      <c r="E54" s="14" t="s">
        <v>147</v>
      </c>
      <c r="F54" s="14">
        <v>37.0</v>
      </c>
      <c r="G54" s="14">
        <v>12.0</v>
      </c>
      <c r="H54" s="14">
        <v>6.0</v>
      </c>
      <c r="I54" s="60">
        <v>0.5</v>
      </c>
      <c r="J54" s="14">
        <v>0.0</v>
      </c>
      <c r="K54" s="14">
        <v>0.0</v>
      </c>
      <c r="L54" s="14">
        <v>0.0</v>
      </c>
      <c r="M54" s="14">
        <v>0.0</v>
      </c>
      <c r="N54" s="14">
        <v>63.0</v>
      </c>
      <c r="O54" s="20">
        <v>1.194</v>
      </c>
      <c r="P54" s="20">
        <v>0.1943584228461849</v>
      </c>
      <c r="Q54" s="15"/>
      <c r="R54" s="20">
        <v>1.194</v>
      </c>
      <c r="U54" s="14">
        <f t="array" ref="U54">XLOOKUP(E54, 'Conference Match'!$A$2:$A$25, 'Conference Match'!$C$2:$C$25)</f>
        <v>0.95</v>
      </c>
      <c r="V54" s="20">
        <f t="shared" si="1"/>
        <v>0.170145</v>
      </c>
      <c r="W54" s="20">
        <f t="shared" si="2"/>
        <v>3.619143845</v>
      </c>
      <c r="Y54" s="20">
        <f>IFERROR(__xludf.DUMMYFUNCTION("iferror(PERCENTRANK.INC(FILTER($V$2:$V$425, $T$2:$T$425&lt;3.75), $V54), 1)"),0.055)</f>
        <v>0.055</v>
      </c>
      <c r="Z54" s="20">
        <f>IFERROR(__xludf.DUMMYFUNCTION("iferror(PERCENTRANK.INC(FILTER($V$2:$V$425, $T$2:$T$425&lt;4.5), $V54), 1)"),0.045)</f>
        <v>0.045</v>
      </c>
      <c r="AA54" s="20">
        <f>IFERROR(__xludf.DUMMYFUNCTION("iferror(PERCENTRANK.INC(FILTER($V$2:$V$425, $T$2:$T$425&gt;4.1), $V54), 0.01)"),0.01)</f>
        <v>0.01</v>
      </c>
    </row>
    <row r="55" ht="14.25" customHeight="1">
      <c r="Q55" s="53"/>
    </row>
    <row r="56" ht="14.25" customHeight="1">
      <c r="A56" s="14" t="s">
        <v>1543</v>
      </c>
      <c r="B56" s="14" t="s">
        <v>935</v>
      </c>
      <c r="C56" s="14">
        <v>16.0</v>
      </c>
      <c r="D56" s="14" t="s">
        <v>38</v>
      </c>
      <c r="E56" s="14" t="s">
        <v>108</v>
      </c>
      <c r="F56" s="14">
        <v>15.0</v>
      </c>
      <c r="G56" s="14">
        <v>32.0</v>
      </c>
      <c r="H56" s="14">
        <v>21.0</v>
      </c>
      <c r="I56" s="60">
        <v>0.656</v>
      </c>
      <c r="J56" s="14">
        <v>1.0</v>
      </c>
      <c r="K56" s="14">
        <v>1.0</v>
      </c>
      <c r="L56" s="14">
        <v>2.0</v>
      </c>
      <c r="M56" s="14">
        <v>2.0</v>
      </c>
      <c r="N56" s="14">
        <v>211.0</v>
      </c>
      <c r="O56" s="20">
        <v>1.8521279999999998</v>
      </c>
      <c r="P56" s="20">
        <v>21.513145107998486</v>
      </c>
      <c r="Q56" s="15"/>
      <c r="R56" s="20">
        <v>1.8521279999999998</v>
      </c>
      <c r="U56" s="14">
        <f t="array" ref="U56">XLOOKUP(E56, 'Conference Match'!$A$2:$A$25, 'Conference Match'!$C$2:$C$25)</f>
        <v>1</v>
      </c>
      <c r="V56" s="20">
        <f t="shared" ref="V56:V61" si="3">IFERROR(T56*0.7+R56*U56*0.15+S56*0.15, 0)</f>
        <v>0.2778192</v>
      </c>
      <c r="W56" s="20">
        <f t="shared" ref="W56:W61" si="4">100*(V56-MIN($V$2:$V$126))/(MAX($V$2:$V$126) - MIN($V$2:$V$126))</f>
        <v>5.90947514</v>
      </c>
      <c r="Y56" s="20">
        <f>IFERROR(__xludf.DUMMYFUNCTION("iferror(PERCENTRANK.INC(FILTER($V$2:$V$425, $T$2:$T$425&lt;3.75), $V56), 1)"),0.575)</f>
        <v>0.575</v>
      </c>
      <c r="Z56" s="20">
        <f>IFERROR(__xludf.DUMMYFUNCTION("iferror(PERCENTRANK.INC(FILTER($V$2:$V$425, $T$2:$T$425&lt;4.5), $V56), 1)"),0.472)</f>
        <v>0.472</v>
      </c>
      <c r="AA56" s="20">
        <f>IFERROR(__xludf.DUMMYFUNCTION("iferror(PERCENTRANK.INC(FILTER($V$2:$V$425, $T$2:$T$425&gt;4.1), $V56), 0.01)"),0.01)</f>
        <v>0.01</v>
      </c>
    </row>
    <row r="57" ht="14.25" customHeight="1">
      <c r="A57" s="14" t="s">
        <v>1544</v>
      </c>
      <c r="B57" s="14" t="s">
        <v>935</v>
      </c>
      <c r="C57" s="14">
        <v>6.0</v>
      </c>
      <c r="D57" s="14" t="s">
        <v>38</v>
      </c>
      <c r="E57" s="14" t="s">
        <v>108</v>
      </c>
      <c r="F57" s="14">
        <v>23.0</v>
      </c>
      <c r="G57" s="14">
        <v>38.0</v>
      </c>
      <c r="H57" s="14">
        <v>22.0</v>
      </c>
      <c r="I57" s="60">
        <v>0.579</v>
      </c>
      <c r="J57" s="14">
        <v>0.0</v>
      </c>
      <c r="K57" s="14">
        <v>0.0</v>
      </c>
      <c r="L57" s="14">
        <v>2.0</v>
      </c>
      <c r="M57" s="14">
        <v>5.0</v>
      </c>
      <c r="N57" s="14">
        <v>203.0</v>
      </c>
      <c r="O57" s="20">
        <v>1.793052</v>
      </c>
      <c r="P57" s="20">
        <v>19.599492076654965</v>
      </c>
      <c r="Q57" s="15"/>
      <c r="R57" s="20">
        <v>1.793052</v>
      </c>
      <c r="U57" s="14">
        <f t="array" ref="U57">XLOOKUP(E57, 'Conference Match'!$A$2:$A$25, 'Conference Match'!$C$2:$C$25)</f>
        <v>1</v>
      </c>
      <c r="V57" s="20">
        <f t="shared" si="3"/>
        <v>0.2689578</v>
      </c>
      <c r="W57" s="20">
        <f t="shared" si="4"/>
        <v>5.720984844</v>
      </c>
      <c r="Y57" s="20">
        <f>IFERROR(__xludf.DUMMYFUNCTION("iferror(PERCENTRANK.INC(FILTER($V$2:$V$425, $T$2:$T$425&lt;3.75), $V57), 1)"),0.493)</f>
        <v>0.493</v>
      </c>
      <c r="Z57" s="20">
        <f>IFERROR(__xludf.DUMMYFUNCTION("iferror(PERCENTRANK.INC(FILTER($V$2:$V$425, $T$2:$T$425&lt;4.5), $V57), 1)"),0.404)</f>
        <v>0.404</v>
      </c>
      <c r="AA57" s="20">
        <f>IFERROR(__xludf.DUMMYFUNCTION("iferror(PERCENTRANK.INC(FILTER($V$2:$V$425, $T$2:$T$425&gt;4.1), $V57), 0.01)"),0.01)</f>
        <v>0.01</v>
      </c>
    </row>
    <row r="58" ht="14.25" customHeight="1">
      <c r="A58" s="14" t="s">
        <v>1545</v>
      </c>
      <c r="B58" s="14" t="s">
        <v>935</v>
      </c>
      <c r="C58" s="14">
        <v>1.0</v>
      </c>
      <c r="D58" s="14" t="s">
        <v>38</v>
      </c>
      <c r="E58" s="14" t="s">
        <v>108</v>
      </c>
      <c r="F58" s="14">
        <v>24.0</v>
      </c>
      <c r="G58" s="14">
        <v>25.0</v>
      </c>
      <c r="H58" s="14">
        <v>17.0</v>
      </c>
      <c r="I58" s="60">
        <v>0.68</v>
      </c>
      <c r="J58" s="14">
        <v>0.0</v>
      </c>
      <c r="K58" s="14">
        <v>0.0</v>
      </c>
      <c r="L58" s="14">
        <v>2.0</v>
      </c>
      <c r="M58" s="14">
        <v>3.0</v>
      </c>
      <c r="N58" s="14">
        <v>121.0</v>
      </c>
      <c r="O58" s="20">
        <v>1.6318399999999997</v>
      </c>
      <c r="P58" s="20">
        <v>14.377340399341765</v>
      </c>
      <c r="Q58" s="15"/>
      <c r="R58" s="20">
        <v>1.6318399999999997</v>
      </c>
      <c r="U58" s="14">
        <f t="array" ref="U58">XLOOKUP(E58, 'Conference Match'!$A$2:$A$25, 'Conference Match'!$C$2:$C$25)</f>
        <v>1</v>
      </c>
      <c r="V58" s="20">
        <f t="shared" si="3"/>
        <v>0.244776</v>
      </c>
      <c r="W58" s="20">
        <f t="shared" si="4"/>
        <v>5.206615262</v>
      </c>
      <c r="Y58" s="20">
        <f>IFERROR(__xludf.DUMMYFUNCTION("iferror(PERCENTRANK.INC(FILTER($V$2:$V$425, $T$2:$T$425&lt;3.75), $V58), 1)"),0.37)</f>
        <v>0.37</v>
      </c>
      <c r="Z58" s="20">
        <f>IFERROR(__xludf.DUMMYFUNCTION("iferror(PERCENTRANK.INC(FILTER($V$2:$V$425, $T$2:$T$425&lt;4.5), $V58), 1)"),0.303)</f>
        <v>0.303</v>
      </c>
      <c r="AA58" s="20">
        <f>IFERROR(__xludf.DUMMYFUNCTION("iferror(PERCENTRANK.INC(FILTER($V$2:$V$425, $T$2:$T$425&gt;4.1), $V58), 0.01)"),0.01)</f>
        <v>0.01</v>
      </c>
    </row>
    <row r="59" ht="14.25" customHeight="1">
      <c r="A59" s="14" t="s">
        <v>1546</v>
      </c>
      <c r="B59" s="14" t="s">
        <v>287</v>
      </c>
      <c r="C59" s="14">
        <v>30.0</v>
      </c>
      <c r="D59" s="14" t="s">
        <v>38</v>
      </c>
      <c r="E59" s="14" t="s">
        <v>117</v>
      </c>
      <c r="F59" s="14">
        <v>16.0</v>
      </c>
      <c r="G59" s="14">
        <v>47.0</v>
      </c>
      <c r="H59" s="14">
        <v>25.0</v>
      </c>
      <c r="I59" s="60">
        <v>0.532</v>
      </c>
      <c r="J59" s="14">
        <v>3.0</v>
      </c>
      <c r="K59" s="14">
        <v>0.0</v>
      </c>
      <c r="L59" s="14">
        <v>6.0</v>
      </c>
      <c r="M59" s="14">
        <v>7.0</v>
      </c>
      <c r="N59" s="14">
        <v>264.0</v>
      </c>
      <c r="O59" s="20">
        <v>2.9536160000000002</v>
      </c>
      <c r="P59" s="20">
        <v>57.19372351866489</v>
      </c>
      <c r="Q59" s="15"/>
      <c r="R59" s="20">
        <v>2.9536160000000002</v>
      </c>
      <c r="U59" s="14">
        <f t="array" ref="U59">XLOOKUP(E59, 'Conference Match'!$A$2:$A$25, 'Conference Match'!$C$2:$C$25)</f>
        <v>0.95</v>
      </c>
      <c r="V59" s="20">
        <f t="shared" si="3"/>
        <v>0.42089028</v>
      </c>
      <c r="W59" s="20">
        <f t="shared" si="4"/>
        <v>8.952731295</v>
      </c>
      <c r="Y59" s="20">
        <f>IFERROR(__xludf.DUMMYFUNCTION("iferror(PERCENTRANK.INC(FILTER($V$2:$V$425, $T$2:$T$425&lt;3.75), $V59), 1)"),0.918)</f>
        <v>0.918</v>
      </c>
      <c r="Z59" s="20">
        <f>IFERROR(__xludf.DUMMYFUNCTION("iferror(PERCENTRANK.INC(FILTER($V$2:$V$425, $T$2:$T$425&lt;4.5), $V59), 1)"),0.753)</f>
        <v>0.753</v>
      </c>
      <c r="AA59" s="20">
        <f>IFERROR(__xludf.DUMMYFUNCTION("iferror(PERCENTRANK.INC(FILTER($V$2:$V$425, $T$2:$T$425&gt;4.1), $V59), 0.01)"),0.01)</f>
        <v>0.01</v>
      </c>
    </row>
    <row r="60" ht="14.25" customHeight="1">
      <c r="A60" s="14" t="s">
        <v>1547</v>
      </c>
      <c r="B60" s="14" t="s">
        <v>287</v>
      </c>
      <c r="C60" s="14">
        <v>32.0</v>
      </c>
      <c r="D60" s="14" t="s">
        <v>38</v>
      </c>
      <c r="E60" s="14" t="s">
        <v>117</v>
      </c>
      <c r="F60" s="14">
        <v>104.0</v>
      </c>
      <c r="G60" s="14">
        <v>43.0</v>
      </c>
      <c r="H60" s="14">
        <v>23.0</v>
      </c>
      <c r="I60" s="60">
        <v>0.535</v>
      </c>
      <c r="J60" s="14">
        <v>2.0</v>
      </c>
      <c r="K60" s="14">
        <v>1.0</v>
      </c>
      <c r="L60" s="14">
        <v>5.0</v>
      </c>
      <c r="M60" s="14">
        <v>7.0</v>
      </c>
      <c r="N60" s="14">
        <v>288.0</v>
      </c>
      <c r="O60" s="20">
        <v>2.75358</v>
      </c>
      <c r="P60" s="20">
        <v>50.713943273254976</v>
      </c>
      <c r="Q60" s="15"/>
      <c r="R60" s="20">
        <v>2.75358</v>
      </c>
      <c r="U60" s="14">
        <f t="array" ref="U60">XLOOKUP(E60, 'Conference Match'!$A$2:$A$25, 'Conference Match'!$C$2:$C$25)</f>
        <v>0.95</v>
      </c>
      <c r="V60" s="20">
        <f t="shared" si="3"/>
        <v>0.39238515</v>
      </c>
      <c r="W60" s="20">
        <f t="shared" si="4"/>
        <v>8.346400425</v>
      </c>
      <c r="Y60" s="20">
        <f>IFERROR(__xludf.DUMMYFUNCTION("iferror(PERCENTRANK.INC(FILTER($V$2:$V$425, $T$2:$T$425&lt;3.75), $V60), 1)"),0.863)</f>
        <v>0.863</v>
      </c>
      <c r="Z60" s="20">
        <f>IFERROR(__xludf.DUMMYFUNCTION("iferror(PERCENTRANK.INC(FILTER($V$2:$V$425, $T$2:$T$425&lt;4.5), $V60), 1)"),0.708)</f>
        <v>0.708</v>
      </c>
      <c r="AA60" s="20">
        <f>IFERROR(__xludf.DUMMYFUNCTION("iferror(PERCENTRANK.INC(FILTER($V$2:$V$425, $T$2:$T$425&gt;4.1), $V60), 0.01)"),0.01)</f>
        <v>0.01</v>
      </c>
    </row>
    <row r="61" ht="14.25" customHeight="1">
      <c r="A61" s="17" t="s">
        <v>1548</v>
      </c>
      <c r="B61" s="17" t="s">
        <v>143</v>
      </c>
      <c r="C61" s="18">
        <v>1.0</v>
      </c>
      <c r="D61" s="17" t="s">
        <v>38</v>
      </c>
      <c r="E61" s="17" t="s">
        <v>144</v>
      </c>
      <c r="F61" s="18">
        <v>95.0</v>
      </c>
      <c r="G61" s="18">
        <v>51.0</v>
      </c>
      <c r="H61" s="18">
        <v>27.0</v>
      </c>
      <c r="I61" s="19">
        <v>0.529</v>
      </c>
      <c r="J61" s="18">
        <v>0.0</v>
      </c>
      <c r="K61" s="18">
        <v>0.0</v>
      </c>
      <c r="L61" s="18">
        <v>7.0</v>
      </c>
      <c r="M61" s="18">
        <v>9.0</v>
      </c>
      <c r="N61" s="18">
        <v>389.0</v>
      </c>
      <c r="O61" s="22">
        <v>2.61</v>
      </c>
      <c r="P61" s="22">
        <v>46.18</v>
      </c>
      <c r="Q61" s="15"/>
      <c r="R61" s="38">
        <v>2.61</v>
      </c>
      <c r="T61" s="16"/>
      <c r="U61" s="16">
        <v>0.0</v>
      </c>
      <c r="V61" s="20">
        <f t="shared" si="3"/>
        <v>0</v>
      </c>
      <c r="W61" s="20">
        <f t="shared" si="4"/>
        <v>0</v>
      </c>
      <c r="Y61" s="20">
        <f>IFERROR(__xludf.DUMMYFUNCTION("iferror(PERCENTRANK.INC(FILTER($V$2:$V$425, $T$2:$T$425&lt;3.75), $V61), 1)"),0.0)</f>
        <v>0</v>
      </c>
      <c r="Z61" s="20">
        <f>IFERROR(__xludf.DUMMYFUNCTION("iferror(PERCENTRANK.INC(FILTER($V$2:$V$425, $T$2:$T$425&lt;4.5), $V61), 1)"),0.0)</f>
        <v>0</v>
      </c>
      <c r="AA61" s="20">
        <f>IFERROR(__xludf.DUMMYFUNCTION("iferror(PERCENTRANK.INC(FILTER($V$2:$V$425, $T$2:$T$425&gt;4.1), $V61), 0.01)"),0.01)</f>
        <v>0.01</v>
      </c>
    </row>
    <row r="62" ht="14.25" customHeight="1">
      <c r="Q62" s="53"/>
    </row>
    <row r="63" ht="14.25" customHeight="1">
      <c r="A63" s="14" t="s">
        <v>1549</v>
      </c>
      <c r="B63" s="14" t="s">
        <v>858</v>
      </c>
      <c r="C63" s="14">
        <v>11.0</v>
      </c>
      <c r="D63" s="14" t="s">
        <v>38</v>
      </c>
      <c r="E63" s="14" t="s">
        <v>182</v>
      </c>
      <c r="F63" s="14">
        <v>88.0</v>
      </c>
      <c r="G63" s="14">
        <v>35.0</v>
      </c>
      <c r="H63" s="14">
        <v>16.0</v>
      </c>
      <c r="I63" s="60">
        <v>0.457</v>
      </c>
      <c r="J63" s="14">
        <v>1.0</v>
      </c>
      <c r="K63" s="14">
        <v>1.0</v>
      </c>
      <c r="L63" s="14">
        <v>8.0</v>
      </c>
      <c r="M63" s="14">
        <v>9.0</v>
      </c>
      <c r="N63" s="14">
        <v>232.0</v>
      </c>
      <c r="O63" s="20">
        <v>3.014516</v>
      </c>
      <c r="P63" s="20">
        <v>59.16646151055366</v>
      </c>
      <c r="Q63" s="15"/>
      <c r="R63" s="20">
        <v>3.014516</v>
      </c>
      <c r="U63" s="14">
        <f t="array" ref="U63">XLOOKUP(E63, 'Conference Match'!$A$2:$A$25, 'Conference Match'!$C$2:$C$25)</f>
        <v>1</v>
      </c>
      <c r="V63" s="20">
        <f t="shared" ref="V63:V106" si="5">IFERROR(T63*0.7+R63*U63*0.15+S63*0.15, 0)</f>
        <v>0.4521774</v>
      </c>
      <c r="W63" s="20">
        <f t="shared" ref="W63:W106" si="6">100*(V63-MIN($V$2:$V$126))/(MAX($V$2:$V$126) - MIN($V$2:$V$126))</f>
        <v>9.618237703</v>
      </c>
      <c r="Y63" s="20">
        <f>IFERROR(__xludf.DUMMYFUNCTION("iferror(PERCENTRANK.INC(FILTER($V$2:$V$425, $T$2:$T$425&lt;3.75), $V63), 1)"),0.945)</f>
        <v>0.945</v>
      </c>
      <c r="Z63" s="20">
        <f>IFERROR(__xludf.DUMMYFUNCTION("iferror(PERCENTRANK.INC(FILTER($V$2:$V$425, $T$2:$T$425&lt;4.5), $V63), 1)"),0.775)</f>
        <v>0.775</v>
      </c>
      <c r="AA63" s="20">
        <f>IFERROR(__xludf.DUMMYFUNCTION("iferror(PERCENTRANK.INC(FILTER($V$2:$V$425, $T$2:$T$425&gt;4.1), $V63), 0.01)"),0.01)</f>
        <v>0.01</v>
      </c>
    </row>
    <row r="64" ht="14.25" customHeight="1">
      <c r="A64" s="14" t="s">
        <v>1550</v>
      </c>
      <c r="B64" s="14" t="s">
        <v>858</v>
      </c>
      <c r="C64" s="14">
        <v>3.0</v>
      </c>
      <c r="D64" s="14" t="s">
        <v>38</v>
      </c>
      <c r="E64" s="14" t="s">
        <v>182</v>
      </c>
      <c r="F64" s="14">
        <v>62.0</v>
      </c>
      <c r="G64" s="14">
        <v>21.0</v>
      </c>
      <c r="H64" s="14">
        <v>9.0</v>
      </c>
      <c r="I64" s="60">
        <v>0.429</v>
      </c>
      <c r="J64" s="14">
        <v>2.0</v>
      </c>
      <c r="K64" s="14">
        <v>0.0</v>
      </c>
      <c r="L64" s="14">
        <v>0.0</v>
      </c>
      <c r="M64" s="14">
        <v>0.0</v>
      </c>
      <c r="N64" s="14">
        <v>176.0</v>
      </c>
      <c r="O64" s="20">
        <v>1.594852</v>
      </c>
      <c r="P64" s="20">
        <v>13.179185508635992</v>
      </c>
      <c r="Q64" s="15"/>
      <c r="R64" s="20">
        <v>1.594852</v>
      </c>
      <c r="U64" s="14">
        <f t="array" ref="U64">XLOOKUP(E64, 'Conference Match'!$A$2:$A$25, 'Conference Match'!$C$2:$C$25)</f>
        <v>1</v>
      </c>
      <c r="V64" s="20">
        <f t="shared" si="5"/>
        <v>0.2392278</v>
      </c>
      <c r="W64" s="20">
        <f t="shared" si="6"/>
        <v>5.08859984</v>
      </c>
      <c r="Y64" s="20">
        <f>IFERROR(__xludf.DUMMYFUNCTION("iferror(PERCENTRANK.INC(FILTER($V$2:$V$425, $T$2:$T$425&lt;3.75), $V64), 1)"),0.356)</f>
        <v>0.356</v>
      </c>
      <c r="Z64" s="20">
        <f>IFERROR(__xludf.DUMMYFUNCTION("iferror(PERCENTRANK.INC(FILTER($V$2:$V$425, $T$2:$T$425&lt;4.5), $V64), 1)"),0.292)</f>
        <v>0.292</v>
      </c>
      <c r="AA64" s="20">
        <f>IFERROR(__xludf.DUMMYFUNCTION("iferror(PERCENTRANK.INC(FILTER($V$2:$V$425, $T$2:$T$425&gt;4.1), $V64), 0.01)"),0.01)</f>
        <v>0.01</v>
      </c>
    </row>
    <row r="65" ht="14.25" customHeight="1">
      <c r="A65" s="14" t="s">
        <v>1551</v>
      </c>
      <c r="B65" s="14" t="s">
        <v>311</v>
      </c>
      <c r="C65" s="14">
        <v>14.0</v>
      </c>
      <c r="D65" s="14" t="s">
        <v>38</v>
      </c>
      <c r="E65" s="14" t="s">
        <v>108</v>
      </c>
      <c r="F65" s="14">
        <v>87.0</v>
      </c>
      <c r="G65" s="14">
        <v>40.0</v>
      </c>
      <c r="H65" s="14">
        <v>19.0</v>
      </c>
      <c r="I65" s="60">
        <v>0.475</v>
      </c>
      <c r="J65" s="14">
        <v>3.0</v>
      </c>
      <c r="K65" s="14">
        <v>1.0</v>
      </c>
      <c r="L65" s="14">
        <v>3.0</v>
      </c>
      <c r="M65" s="14">
        <v>3.0</v>
      </c>
      <c r="N65" s="14">
        <v>229.0</v>
      </c>
      <c r="O65" s="20">
        <v>2.4343</v>
      </c>
      <c r="P65" s="20">
        <v>40.371483732200005</v>
      </c>
      <c r="Q65" s="15"/>
      <c r="R65" s="20">
        <v>2.4343</v>
      </c>
      <c r="U65" s="14">
        <f t="array" ref="U65">XLOOKUP(E65, 'Conference Match'!$A$2:$A$25, 'Conference Match'!$C$2:$C$25)</f>
        <v>1</v>
      </c>
      <c r="V65" s="20">
        <f t="shared" si="5"/>
        <v>0.365145</v>
      </c>
      <c r="W65" s="20">
        <f t="shared" si="6"/>
        <v>7.766976868</v>
      </c>
      <c r="Y65" s="20">
        <f>IFERROR(__xludf.DUMMYFUNCTION("iferror(PERCENTRANK.INC(FILTER($V$2:$V$425, $T$2:$T$425&lt;3.75), $V65), 1)"),0.822)</f>
        <v>0.822</v>
      </c>
      <c r="Z65" s="20">
        <f>IFERROR(__xludf.DUMMYFUNCTION("iferror(PERCENTRANK.INC(FILTER($V$2:$V$425, $T$2:$T$425&lt;4.5), $V65), 1)"),0.674)</f>
        <v>0.674</v>
      </c>
      <c r="AA65" s="20">
        <f>IFERROR(__xludf.DUMMYFUNCTION("iferror(PERCENTRANK.INC(FILTER($V$2:$V$425, $T$2:$T$425&gt;4.1), $V65), 0.01)"),0.01)</f>
        <v>0.01</v>
      </c>
    </row>
    <row r="66" ht="14.25" customHeight="1">
      <c r="A66" s="14" t="s">
        <v>1552</v>
      </c>
      <c r="B66" s="14" t="s">
        <v>311</v>
      </c>
      <c r="C66" s="14">
        <v>6.0</v>
      </c>
      <c r="D66" s="14" t="s">
        <v>38</v>
      </c>
      <c r="E66" s="14" t="s">
        <v>108</v>
      </c>
      <c r="F66" s="14">
        <v>49.0</v>
      </c>
      <c r="G66" s="14">
        <v>38.0</v>
      </c>
      <c r="H66" s="14">
        <v>24.0</v>
      </c>
      <c r="I66" s="60">
        <v>0.632</v>
      </c>
      <c r="J66" s="14">
        <v>2.0</v>
      </c>
      <c r="K66" s="14">
        <v>3.0</v>
      </c>
      <c r="L66" s="14">
        <v>2.0</v>
      </c>
      <c r="M66" s="14">
        <v>3.0</v>
      </c>
      <c r="N66" s="14">
        <v>299.0</v>
      </c>
      <c r="O66" s="20">
        <v>2.3324160000000003</v>
      </c>
      <c r="P66" s="20">
        <v>37.0711481399899</v>
      </c>
      <c r="Q66" s="15"/>
      <c r="R66" s="20">
        <v>2.3324160000000003</v>
      </c>
      <c r="U66" s="14">
        <f t="array" ref="U66">XLOOKUP(E66, 'Conference Match'!$A$2:$A$25, 'Conference Match'!$C$2:$C$25)</f>
        <v>1</v>
      </c>
      <c r="V66" s="20">
        <f t="shared" si="5"/>
        <v>0.3498624</v>
      </c>
      <c r="W66" s="20">
        <f t="shared" si="6"/>
        <v>7.441901622</v>
      </c>
      <c r="Y66" s="20">
        <f>IFERROR(__xludf.DUMMYFUNCTION("iferror(PERCENTRANK.INC(FILTER($V$2:$V$425, $T$2:$T$425&lt;3.75), $V66), 1)"),0.808)</f>
        <v>0.808</v>
      </c>
      <c r="Z66" s="20">
        <f>IFERROR(__xludf.DUMMYFUNCTION("iferror(PERCENTRANK.INC(FILTER($V$2:$V$425, $T$2:$T$425&lt;4.5), $V66), 1)"),0.663)</f>
        <v>0.663</v>
      </c>
      <c r="AA66" s="20">
        <f>IFERROR(__xludf.DUMMYFUNCTION("iferror(PERCENTRANK.INC(FILTER($V$2:$V$425, $T$2:$T$425&gt;4.1), $V66), 0.01)"),0.01)</f>
        <v>0.01</v>
      </c>
    </row>
    <row r="67" ht="14.25" customHeight="1">
      <c r="A67" s="14" t="s">
        <v>1553</v>
      </c>
      <c r="B67" s="14" t="s">
        <v>311</v>
      </c>
      <c r="C67" s="14">
        <v>27.0</v>
      </c>
      <c r="D67" s="14" t="s">
        <v>38</v>
      </c>
      <c r="E67" s="14" t="s">
        <v>108</v>
      </c>
      <c r="F67" s="14">
        <v>34.0</v>
      </c>
      <c r="G67" s="14">
        <v>18.0</v>
      </c>
      <c r="H67" s="14">
        <v>6.0</v>
      </c>
      <c r="I67" s="60">
        <v>0.333</v>
      </c>
      <c r="J67" s="14">
        <v>3.0</v>
      </c>
      <c r="K67" s="14">
        <v>0.0</v>
      </c>
      <c r="L67" s="14">
        <v>1.0</v>
      </c>
      <c r="M67" s="14">
        <v>2.0</v>
      </c>
      <c r="N67" s="14">
        <v>138.0</v>
      </c>
      <c r="O67" s="20">
        <v>2.0560039999999997</v>
      </c>
      <c r="P67" s="20">
        <v>28.117314744029947</v>
      </c>
      <c r="Q67" s="15"/>
      <c r="R67" s="20">
        <v>2.0560039999999997</v>
      </c>
      <c r="U67" s="14">
        <f t="array" ref="U67">XLOOKUP(E67, 'Conference Match'!$A$2:$A$25, 'Conference Match'!$C$2:$C$25)</f>
        <v>1</v>
      </c>
      <c r="V67" s="20">
        <f t="shared" si="5"/>
        <v>0.3084006</v>
      </c>
      <c r="W67" s="20">
        <f t="shared" si="6"/>
        <v>6.559970221</v>
      </c>
      <c r="Y67" s="20">
        <f>IFERROR(__xludf.DUMMYFUNCTION("iferror(PERCENTRANK.INC(FILTER($V$2:$V$425, $T$2:$T$425&lt;3.75), $V67), 1)"),0.685)</f>
        <v>0.685</v>
      </c>
      <c r="Z67" s="20">
        <f>IFERROR(__xludf.DUMMYFUNCTION("iferror(PERCENTRANK.INC(FILTER($V$2:$V$425, $T$2:$T$425&lt;4.5), $V67), 1)"),0.562)</f>
        <v>0.562</v>
      </c>
      <c r="AA67" s="20">
        <f>IFERROR(__xludf.DUMMYFUNCTION("iferror(PERCENTRANK.INC(FILTER($V$2:$V$425, $T$2:$T$425&gt;4.1), $V67), 0.01)"),0.01)</f>
        <v>0.01</v>
      </c>
    </row>
    <row r="68" ht="14.25" customHeight="1">
      <c r="A68" s="14" t="s">
        <v>1554</v>
      </c>
      <c r="B68" s="14" t="s">
        <v>311</v>
      </c>
      <c r="C68" s="14">
        <v>2.0</v>
      </c>
      <c r="D68" s="14" t="s">
        <v>38</v>
      </c>
      <c r="E68" s="14" t="s">
        <v>108</v>
      </c>
      <c r="F68" s="14">
        <v>21.0</v>
      </c>
      <c r="G68" s="14">
        <v>16.0</v>
      </c>
      <c r="H68" s="14">
        <v>7.0</v>
      </c>
      <c r="I68" s="60">
        <v>0.438</v>
      </c>
      <c r="J68" s="14">
        <v>1.0</v>
      </c>
      <c r="K68" s="14">
        <v>1.0</v>
      </c>
      <c r="L68" s="14">
        <v>0.0</v>
      </c>
      <c r="M68" s="14">
        <v>1.0</v>
      </c>
      <c r="N68" s="14">
        <v>108.0</v>
      </c>
      <c r="O68" s="20">
        <v>1.574744</v>
      </c>
      <c r="P68" s="20">
        <v>12.527825647537478</v>
      </c>
      <c r="Q68" s="15"/>
      <c r="R68" s="20">
        <v>1.574744</v>
      </c>
      <c r="U68" s="14">
        <f t="array" ref="U68">XLOOKUP(E68, 'Conference Match'!$A$2:$A$25, 'Conference Match'!$C$2:$C$25)</f>
        <v>1</v>
      </c>
      <c r="V68" s="20">
        <f t="shared" si="5"/>
        <v>0.2362116</v>
      </c>
      <c r="W68" s="20">
        <f t="shared" si="6"/>
        <v>5.024442436</v>
      </c>
      <c r="Y68" s="20">
        <f>IFERROR(__xludf.DUMMYFUNCTION("iferror(PERCENTRANK.INC(FILTER($V$2:$V$425, $T$2:$T$425&lt;3.75), $V68), 1)"),0.342)</f>
        <v>0.342</v>
      </c>
      <c r="Z68" s="20">
        <f>IFERROR(__xludf.DUMMYFUNCTION("iferror(PERCENTRANK.INC(FILTER($V$2:$V$425, $T$2:$T$425&lt;4.5), $V68), 1)"),0.281)</f>
        <v>0.281</v>
      </c>
      <c r="AA68" s="20">
        <f>IFERROR(__xludf.DUMMYFUNCTION("iferror(PERCENTRANK.INC(FILTER($V$2:$V$425, $T$2:$T$425&gt;4.1), $V68), 0.01)"),0.01)</f>
        <v>0.01</v>
      </c>
    </row>
    <row r="69" ht="14.25" customHeight="1">
      <c r="A69" s="14" t="s">
        <v>1555</v>
      </c>
      <c r="B69" s="14" t="s">
        <v>311</v>
      </c>
      <c r="C69" s="14">
        <v>12.0</v>
      </c>
      <c r="D69" s="14" t="s">
        <v>38</v>
      </c>
      <c r="E69" s="14" t="s">
        <v>108</v>
      </c>
      <c r="F69" s="14">
        <v>29.0</v>
      </c>
      <c r="G69" s="14">
        <v>9.0</v>
      </c>
      <c r="H69" s="14">
        <v>7.0</v>
      </c>
      <c r="I69" s="60">
        <v>0.778</v>
      </c>
      <c r="J69" s="14">
        <v>0.0</v>
      </c>
      <c r="K69" s="14">
        <v>0.0</v>
      </c>
      <c r="L69" s="14">
        <v>1.0</v>
      </c>
      <c r="M69" s="14">
        <v>1.0</v>
      </c>
      <c r="N69" s="14">
        <v>74.0</v>
      </c>
      <c r="O69" s="20">
        <v>1.3706639999999999</v>
      </c>
      <c r="P69" s="20">
        <v>5.917047825129246</v>
      </c>
      <c r="Q69" s="15"/>
      <c r="R69" s="20">
        <v>1.3706639999999999</v>
      </c>
      <c r="U69" s="14">
        <f t="array" ref="U69">XLOOKUP(E69, 'Conference Match'!$A$2:$A$25, 'Conference Match'!$C$2:$C$25)</f>
        <v>1</v>
      </c>
      <c r="V69" s="20">
        <f t="shared" si="5"/>
        <v>0.2055996</v>
      </c>
      <c r="W69" s="20">
        <f t="shared" si="6"/>
        <v>4.373296464</v>
      </c>
      <c r="Y69" s="20">
        <f>IFERROR(__xludf.DUMMYFUNCTION("iferror(PERCENTRANK.INC(FILTER($V$2:$V$425, $T$2:$T$425&lt;3.75), $V69), 1)"),0.164)</f>
        <v>0.164</v>
      </c>
      <c r="Z69" s="20">
        <f>IFERROR(__xludf.DUMMYFUNCTION("iferror(PERCENTRANK.INC(FILTER($V$2:$V$425, $T$2:$T$425&lt;4.5), $V69), 1)"),0.135)</f>
        <v>0.135</v>
      </c>
      <c r="AA69" s="20">
        <f>IFERROR(__xludf.DUMMYFUNCTION("iferror(PERCENTRANK.INC(FILTER($V$2:$V$425, $T$2:$T$425&gt;4.1), $V69), 0.01)"),0.01)</f>
        <v>0.01</v>
      </c>
    </row>
    <row r="70" ht="14.25" customHeight="1">
      <c r="A70" s="14" t="s">
        <v>1556</v>
      </c>
      <c r="B70" s="14" t="s">
        <v>311</v>
      </c>
      <c r="C70" s="14">
        <v>4.0</v>
      </c>
      <c r="D70" s="14" t="s">
        <v>38</v>
      </c>
      <c r="E70" s="14" t="s">
        <v>108</v>
      </c>
      <c r="F70" s="14">
        <v>93.0</v>
      </c>
      <c r="G70" s="14">
        <v>28.0</v>
      </c>
      <c r="H70" s="14">
        <v>22.0</v>
      </c>
      <c r="I70" s="60">
        <v>0.786</v>
      </c>
      <c r="J70" s="14">
        <v>0.0</v>
      </c>
      <c r="K70" s="14">
        <v>0.0</v>
      </c>
      <c r="L70" s="14">
        <v>1.0</v>
      </c>
      <c r="M70" s="14">
        <v>1.0</v>
      </c>
      <c r="N70" s="14">
        <v>190.0</v>
      </c>
      <c r="O70" s="20">
        <v>1.370568</v>
      </c>
      <c r="P70" s="20">
        <v>5.91393809036371</v>
      </c>
      <c r="Q70" s="15"/>
      <c r="R70" s="20">
        <v>1.370568</v>
      </c>
      <c r="U70" s="14">
        <f t="array" ref="U70">XLOOKUP(E70, 'Conference Match'!$A$2:$A$25, 'Conference Match'!$C$2:$C$25)</f>
        <v>1</v>
      </c>
      <c r="V70" s="20">
        <f t="shared" si="5"/>
        <v>0.2055852</v>
      </c>
      <c r="W70" s="20">
        <f t="shared" si="6"/>
        <v>4.372990162</v>
      </c>
      <c r="Y70" s="20">
        <f>IFERROR(__xludf.DUMMYFUNCTION("iferror(PERCENTRANK.INC(FILTER($V$2:$V$425, $T$2:$T$425&lt;3.75), $V70), 1)"),0.151)</f>
        <v>0.151</v>
      </c>
      <c r="Z70" s="20">
        <f>IFERROR(__xludf.DUMMYFUNCTION("iferror(PERCENTRANK.INC(FILTER($V$2:$V$425, $T$2:$T$425&lt;4.5), $V70), 1)"),0.124)</f>
        <v>0.124</v>
      </c>
      <c r="AA70" s="20">
        <f>IFERROR(__xludf.DUMMYFUNCTION("iferror(PERCENTRANK.INC(FILTER($V$2:$V$425, $T$2:$T$425&gt;4.1), $V70), 0.01)"),0.01)</f>
        <v>0.01</v>
      </c>
    </row>
    <row r="71" ht="14.25" customHeight="1">
      <c r="A71" s="14" t="s">
        <v>1557</v>
      </c>
      <c r="B71" s="14" t="s">
        <v>345</v>
      </c>
      <c r="C71" s="14">
        <v>25.0</v>
      </c>
      <c r="D71" s="14" t="s">
        <v>38</v>
      </c>
      <c r="E71" s="14" t="s">
        <v>144</v>
      </c>
      <c r="F71" s="14">
        <v>100.0</v>
      </c>
      <c r="G71" s="14">
        <v>35.0</v>
      </c>
      <c r="H71" s="14">
        <v>22.0</v>
      </c>
      <c r="I71" s="60">
        <v>0.629</v>
      </c>
      <c r="J71" s="14">
        <v>1.0</v>
      </c>
      <c r="K71" s="14">
        <v>0.0</v>
      </c>
      <c r="L71" s="14">
        <v>2.0</v>
      </c>
      <c r="M71" s="14">
        <v>4.0</v>
      </c>
      <c r="N71" s="14">
        <v>236.0</v>
      </c>
      <c r="O71" s="20">
        <v>1.9124519999999998</v>
      </c>
      <c r="P71" s="20">
        <v>23.46722469129403</v>
      </c>
      <c r="Q71" s="15"/>
      <c r="R71" s="20">
        <v>1.9124519999999998</v>
      </c>
      <c r="U71" s="14">
        <f t="array" ref="U71">XLOOKUP(E71, 'Conference Match'!$A$2:$A$25, 'Conference Match'!$C$2:$C$25)</f>
        <v>0.95</v>
      </c>
      <c r="V71" s="20">
        <f t="shared" si="5"/>
        <v>0.27252441</v>
      </c>
      <c r="W71" s="20">
        <f t="shared" si="6"/>
        <v>5.796849987</v>
      </c>
      <c r="Y71" s="20">
        <f>IFERROR(__xludf.DUMMYFUNCTION("iferror(PERCENTRANK.INC(FILTER($V$2:$V$425, $T$2:$T$425&lt;3.75), $V71), 1)"),0.548)</f>
        <v>0.548</v>
      </c>
      <c r="Z71" s="20">
        <f>IFERROR(__xludf.DUMMYFUNCTION("iferror(PERCENTRANK.INC(FILTER($V$2:$V$425, $T$2:$T$425&lt;4.5), $V71), 1)"),0.449)</f>
        <v>0.449</v>
      </c>
      <c r="AA71" s="20">
        <f>IFERROR(__xludf.DUMMYFUNCTION("iferror(PERCENTRANK.INC(FILTER($V$2:$V$425, $T$2:$T$425&gt;4.1), $V71), 0.01)"),0.01)</f>
        <v>0.01</v>
      </c>
    </row>
    <row r="72" ht="14.25" customHeight="1">
      <c r="A72" s="14" t="s">
        <v>1558</v>
      </c>
      <c r="B72" s="14" t="s">
        <v>345</v>
      </c>
      <c r="C72" s="14">
        <v>15.0</v>
      </c>
      <c r="D72" s="14" t="s">
        <v>38</v>
      </c>
      <c r="E72" s="14" t="s">
        <v>144</v>
      </c>
      <c r="F72" s="14">
        <v>16.0</v>
      </c>
      <c r="G72" s="14">
        <v>6.0</v>
      </c>
      <c r="H72" s="14">
        <v>4.0</v>
      </c>
      <c r="I72" s="60">
        <v>0.667</v>
      </c>
      <c r="J72" s="14">
        <v>0.0</v>
      </c>
      <c r="K72" s="14">
        <v>0.0</v>
      </c>
      <c r="L72" s="14">
        <v>0.0</v>
      </c>
      <c r="M72" s="14">
        <v>0.0</v>
      </c>
      <c r="N72" s="14">
        <v>61.0</v>
      </c>
      <c r="O72" s="20">
        <v>1.1919959999999998</v>
      </c>
      <c r="P72" s="20">
        <v>0.12944270961555543</v>
      </c>
      <c r="Q72" s="15"/>
      <c r="R72" s="20">
        <v>1.1919959999999998</v>
      </c>
      <c r="U72" s="14">
        <f t="array" ref="U72">XLOOKUP(E72, 'Conference Match'!$A$2:$A$25, 'Conference Match'!$C$2:$C$25)</f>
        <v>0.95</v>
      </c>
      <c r="V72" s="20">
        <f t="shared" si="5"/>
        <v>0.16985943</v>
      </c>
      <c r="W72" s="20">
        <f t="shared" si="6"/>
        <v>3.613069503</v>
      </c>
      <c r="Y72" s="20">
        <f>IFERROR(__xludf.DUMMYFUNCTION("iferror(PERCENTRANK.INC(FILTER($V$2:$V$425, $T$2:$T$425&lt;3.75), $V72), 1)"),0.041)</f>
        <v>0.041</v>
      </c>
      <c r="Z72" s="20">
        <f>IFERROR(__xludf.DUMMYFUNCTION("iferror(PERCENTRANK.INC(FILTER($V$2:$V$425, $T$2:$T$425&lt;4.5), $V72), 1)"),0.034)</f>
        <v>0.034</v>
      </c>
      <c r="AA72" s="20">
        <f>IFERROR(__xludf.DUMMYFUNCTION("iferror(PERCENTRANK.INC(FILTER($V$2:$V$425, $T$2:$T$425&gt;4.1), $V72), 0.01)"),0.01)</f>
        <v>0.01</v>
      </c>
    </row>
    <row r="73" ht="14.25" customHeight="1">
      <c r="A73" s="14" t="s">
        <v>1559</v>
      </c>
      <c r="B73" s="14" t="s">
        <v>349</v>
      </c>
      <c r="C73" s="14">
        <v>17.0</v>
      </c>
      <c r="D73" s="14" t="s">
        <v>38</v>
      </c>
      <c r="E73" s="14" t="s">
        <v>108</v>
      </c>
      <c r="F73" s="14">
        <v>70.0</v>
      </c>
      <c r="G73" s="14">
        <v>49.0</v>
      </c>
      <c r="H73" s="14">
        <v>27.0</v>
      </c>
      <c r="I73" s="60">
        <v>0.551</v>
      </c>
      <c r="J73" s="14">
        <v>3.0</v>
      </c>
      <c r="K73" s="14">
        <v>1.0</v>
      </c>
      <c r="L73" s="14">
        <v>5.0</v>
      </c>
      <c r="M73" s="14">
        <v>5.0</v>
      </c>
      <c r="N73" s="14">
        <v>252.0</v>
      </c>
      <c r="O73" s="20">
        <v>2.7933879999999998</v>
      </c>
      <c r="P73" s="20">
        <v>52.00344662269846</v>
      </c>
      <c r="Q73" s="15"/>
      <c r="R73" s="20">
        <v>2.7933879999999998</v>
      </c>
      <c r="U73" s="14">
        <f t="array" ref="U73">XLOOKUP(E73, 'Conference Match'!$A$2:$A$25, 'Conference Match'!$C$2:$C$25)</f>
        <v>1</v>
      </c>
      <c r="V73" s="20">
        <f t="shared" si="5"/>
        <v>0.4190082</v>
      </c>
      <c r="W73" s="20">
        <f t="shared" si="6"/>
        <v>8.912697687</v>
      </c>
      <c r="Y73" s="20">
        <f>IFERROR(__xludf.DUMMYFUNCTION("iferror(PERCENTRANK.INC(FILTER($V$2:$V$425, $T$2:$T$425&lt;3.75), $V73), 1)"),0.904)</f>
        <v>0.904</v>
      </c>
      <c r="Z73" s="20">
        <f>IFERROR(__xludf.DUMMYFUNCTION("iferror(PERCENTRANK.INC(FILTER($V$2:$V$425, $T$2:$T$425&lt;4.5), $V73), 1)"),0.742)</f>
        <v>0.742</v>
      </c>
      <c r="AA73" s="20">
        <f>IFERROR(__xludf.DUMMYFUNCTION("iferror(PERCENTRANK.INC(FILTER($V$2:$V$425, $T$2:$T$425&gt;4.1), $V73), 0.01)"),0.01)</f>
        <v>0.01</v>
      </c>
    </row>
    <row r="74" ht="14.25" customHeight="1">
      <c r="A74" s="14" t="s">
        <v>1560</v>
      </c>
      <c r="B74" s="14" t="s">
        <v>349</v>
      </c>
      <c r="C74" s="14">
        <v>4.0</v>
      </c>
      <c r="D74" s="14" t="s">
        <v>38</v>
      </c>
      <c r="E74" s="14" t="s">
        <v>108</v>
      </c>
      <c r="F74" s="14">
        <v>77.0</v>
      </c>
      <c r="G74" s="14">
        <v>32.0</v>
      </c>
      <c r="H74" s="14">
        <v>21.0</v>
      </c>
      <c r="I74" s="60">
        <v>0.656</v>
      </c>
      <c r="J74" s="14">
        <v>0.0</v>
      </c>
      <c r="K74" s="14">
        <v>0.0</v>
      </c>
      <c r="L74" s="14">
        <v>2.0</v>
      </c>
      <c r="M74" s="14">
        <v>3.0</v>
      </c>
      <c r="N74" s="14">
        <v>211.0</v>
      </c>
      <c r="O74" s="20">
        <v>1.6321279999999998</v>
      </c>
      <c r="P74" s="20">
        <v>14.386669603638383</v>
      </c>
      <c r="Q74" s="15"/>
      <c r="R74" s="20">
        <v>1.6321279999999998</v>
      </c>
      <c r="U74" s="14">
        <f t="array" ref="U74">XLOOKUP(E74, 'Conference Match'!$A$2:$A$25, 'Conference Match'!$C$2:$C$25)</f>
        <v>1</v>
      </c>
      <c r="V74" s="20">
        <f t="shared" si="5"/>
        <v>0.2448192</v>
      </c>
      <c r="W74" s="20">
        <f t="shared" si="6"/>
        <v>5.207534166</v>
      </c>
      <c r="Y74" s="20">
        <f>IFERROR(__xludf.DUMMYFUNCTION("iferror(PERCENTRANK.INC(FILTER($V$2:$V$425, $T$2:$T$425&lt;3.75), $V74), 1)"),0.384)</f>
        <v>0.384</v>
      </c>
      <c r="Z74" s="20">
        <f>IFERROR(__xludf.DUMMYFUNCTION("iferror(PERCENTRANK.INC(FILTER($V$2:$V$425, $T$2:$T$425&lt;4.5), $V74), 1)"),0.315)</f>
        <v>0.315</v>
      </c>
      <c r="AA74" s="20">
        <f>IFERROR(__xludf.DUMMYFUNCTION("iferror(PERCENTRANK.INC(FILTER($V$2:$V$425, $T$2:$T$425&gt;4.1), $V74), 0.01)"),0.01)</f>
        <v>0.01</v>
      </c>
    </row>
    <row r="75" ht="14.25" customHeight="1">
      <c r="A75" s="14" t="s">
        <v>1561</v>
      </c>
      <c r="B75" s="14" t="s">
        <v>441</v>
      </c>
      <c r="C75" s="14">
        <v>21.0</v>
      </c>
      <c r="D75" s="14" t="s">
        <v>38</v>
      </c>
      <c r="E75" s="14" t="s">
        <v>135</v>
      </c>
      <c r="F75" s="14">
        <v>34.0</v>
      </c>
      <c r="G75" s="14">
        <v>41.0</v>
      </c>
      <c r="H75" s="14">
        <v>25.0</v>
      </c>
      <c r="I75" s="60">
        <v>0.61</v>
      </c>
      <c r="J75" s="14">
        <v>2.0</v>
      </c>
      <c r="K75" s="14">
        <v>0.0</v>
      </c>
      <c r="L75" s="14">
        <v>4.0</v>
      </c>
      <c r="M75" s="14">
        <v>4.0</v>
      </c>
      <c r="N75" s="14">
        <v>220.0</v>
      </c>
      <c r="O75" s="20">
        <v>2.31268</v>
      </c>
      <c r="P75" s="20">
        <v>36.43183850110783</v>
      </c>
      <c r="Q75" s="15"/>
      <c r="R75" s="20">
        <v>2.31268</v>
      </c>
      <c r="U75" s="14">
        <f t="array" ref="U75">XLOOKUP(E75, 'Conference Match'!$A$2:$A$25, 'Conference Match'!$C$2:$C$25)</f>
        <v>1</v>
      </c>
      <c r="V75" s="20">
        <f t="shared" si="5"/>
        <v>0.346902</v>
      </c>
      <c r="W75" s="20">
        <f t="shared" si="6"/>
        <v>7.378931135</v>
      </c>
      <c r="Y75" s="20">
        <f>IFERROR(__xludf.DUMMYFUNCTION("iferror(PERCENTRANK.INC(FILTER($V$2:$V$425, $T$2:$T$425&lt;3.75), $V75), 1)"),0.795)</f>
        <v>0.795</v>
      </c>
      <c r="Z75" s="20">
        <f>IFERROR(__xludf.DUMMYFUNCTION("iferror(PERCENTRANK.INC(FILTER($V$2:$V$425, $T$2:$T$425&lt;4.5), $V75), 1)"),0.652)</f>
        <v>0.652</v>
      </c>
      <c r="AA75" s="20">
        <f>IFERROR(__xludf.DUMMYFUNCTION("iferror(PERCENTRANK.INC(FILTER($V$2:$V$425, $T$2:$T$425&gt;4.1), $V75), 0.01)"),0.01)</f>
        <v>0.01</v>
      </c>
    </row>
    <row r="76" ht="14.25" customHeight="1">
      <c r="A76" s="14" t="s">
        <v>1562</v>
      </c>
      <c r="B76" s="14" t="s">
        <v>441</v>
      </c>
      <c r="C76" s="14">
        <v>18.0</v>
      </c>
      <c r="D76" s="14" t="s">
        <v>38</v>
      </c>
      <c r="E76" s="14" t="s">
        <v>135</v>
      </c>
      <c r="F76" s="14">
        <v>101.0</v>
      </c>
      <c r="G76" s="14">
        <v>30.0</v>
      </c>
      <c r="H76" s="14">
        <v>17.0</v>
      </c>
      <c r="I76" s="60">
        <v>0.567</v>
      </c>
      <c r="J76" s="14">
        <v>1.0</v>
      </c>
      <c r="K76" s="14">
        <v>0.0</v>
      </c>
      <c r="L76" s="14">
        <v>4.0</v>
      </c>
      <c r="M76" s="14">
        <v>4.0</v>
      </c>
      <c r="N76" s="14">
        <v>219.0</v>
      </c>
      <c r="O76" s="20">
        <v>2.1131960000000003</v>
      </c>
      <c r="P76" s="20">
        <v>29.9699392305998</v>
      </c>
      <c r="Q76" s="15"/>
      <c r="R76" s="20">
        <v>2.1131960000000003</v>
      </c>
      <c r="U76" s="14">
        <f t="array" ref="U76">XLOOKUP(E76, 'Conference Match'!$A$2:$A$25, 'Conference Match'!$C$2:$C$25)</f>
        <v>1</v>
      </c>
      <c r="V76" s="20">
        <f t="shared" si="5"/>
        <v>0.3169794</v>
      </c>
      <c r="W76" s="20">
        <f t="shared" si="6"/>
        <v>6.742449349</v>
      </c>
      <c r="Y76" s="20">
        <f>IFERROR(__xludf.DUMMYFUNCTION("iferror(PERCENTRANK.INC(FILTER($V$2:$V$425, $T$2:$T$425&lt;3.75), $V76), 1)"),0.712)</f>
        <v>0.712</v>
      </c>
      <c r="Z76" s="20">
        <f>IFERROR(__xludf.DUMMYFUNCTION("iferror(PERCENTRANK.INC(FILTER($V$2:$V$425, $T$2:$T$425&lt;4.5), $V76), 1)"),0.584)</f>
        <v>0.584</v>
      </c>
      <c r="AA76" s="20">
        <f>IFERROR(__xludf.DUMMYFUNCTION("iferror(PERCENTRANK.INC(FILTER($V$2:$V$425, $T$2:$T$425&gt;4.1), $V76), 0.01)"),0.01)</f>
        <v>0.01</v>
      </c>
    </row>
    <row r="77" ht="14.25" customHeight="1">
      <c r="A77" s="14" t="s">
        <v>1563</v>
      </c>
      <c r="B77" s="14" t="s">
        <v>441</v>
      </c>
      <c r="C77" s="14">
        <v>15.0</v>
      </c>
      <c r="D77" s="14" t="s">
        <v>38</v>
      </c>
      <c r="E77" s="14" t="s">
        <v>135</v>
      </c>
      <c r="F77" s="14">
        <v>5.0</v>
      </c>
      <c r="G77" s="14">
        <v>11.0</v>
      </c>
      <c r="H77" s="14">
        <v>10.0</v>
      </c>
      <c r="I77" s="60">
        <v>0.909</v>
      </c>
      <c r="J77" s="14">
        <v>0.0</v>
      </c>
      <c r="K77" s="14">
        <v>0.0</v>
      </c>
      <c r="L77" s="14">
        <v>0.0</v>
      </c>
      <c r="M77" s="14">
        <v>0.0</v>
      </c>
      <c r="N77" s="14">
        <v>71.0</v>
      </c>
      <c r="O77" s="20">
        <v>1.1890919999999998</v>
      </c>
      <c r="P77" s="20">
        <v>0.03537323295800144</v>
      </c>
      <c r="Q77" s="15"/>
      <c r="R77" s="20">
        <v>1.1890919999999998</v>
      </c>
      <c r="U77" s="14">
        <f t="array" ref="U77">XLOOKUP(E77, 'Conference Match'!$A$2:$A$25, 'Conference Match'!$C$2:$C$25)</f>
        <v>1</v>
      </c>
      <c r="V77" s="20">
        <f t="shared" si="5"/>
        <v>0.1783638</v>
      </c>
      <c r="W77" s="20">
        <f t="shared" si="6"/>
        <v>3.793965435</v>
      </c>
      <c r="Y77" s="20">
        <f>IFERROR(__xludf.DUMMYFUNCTION("iferror(PERCENTRANK.INC(FILTER($V$2:$V$425, $T$2:$T$425&lt;3.75), $V77), 1)"),0.068)</f>
        <v>0.068</v>
      </c>
      <c r="Z77" s="20">
        <f>IFERROR(__xludf.DUMMYFUNCTION("iferror(PERCENTRANK.INC(FILTER($V$2:$V$425, $T$2:$T$425&lt;4.5), $V77), 1)"),0.056)</f>
        <v>0.056</v>
      </c>
      <c r="AA77" s="20">
        <f>IFERROR(__xludf.DUMMYFUNCTION("iferror(PERCENTRANK.INC(FILTER($V$2:$V$425, $T$2:$T$425&gt;4.1), $V77), 0.01)"),0.01)</f>
        <v>0.01</v>
      </c>
    </row>
    <row r="78" ht="14.25" customHeight="1">
      <c r="A78" s="14" t="s">
        <v>1564</v>
      </c>
      <c r="B78" s="14" t="s">
        <v>107</v>
      </c>
      <c r="C78" s="14">
        <v>10.0</v>
      </c>
      <c r="D78" s="14" t="s">
        <v>38</v>
      </c>
      <c r="E78" s="14" t="s">
        <v>108</v>
      </c>
      <c r="F78" s="14">
        <v>66.0</v>
      </c>
      <c r="G78" s="14">
        <v>43.0</v>
      </c>
      <c r="H78" s="14">
        <v>18.0</v>
      </c>
      <c r="I78" s="60">
        <v>0.419</v>
      </c>
      <c r="J78" s="14">
        <v>2.0</v>
      </c>
      <c r="K78" s="14">
        <v>0.0</v>
      </c>
      <c r="L78" s="14">
        <v>3.0</v>
      </c>
      <c r="M78" s="14">
        <v>5.0</v>
      </c>
      <c r="N78" s="14">
        <v>280.0</v>
      </c>
      <c r="O78" s="20">
        <v>2.294972</v>
      </c>
      <c r="P78" s="20">
        <v>35.8582220091478</v>
      </c>
      <c r="Q78" s="15"/>
      <c r="R78" s="20">
        <v>2.294972</v>
      </c>
      <c r="U78" s="14">
        <f t="array" ref="U78">XLOOKUP(E78, 'Conference Match'!$A$2:$A$25, 'Conference Match'!$C$2:$C$25)</f>
        <v>1</v>
      </c>
      <c r="V78" s="20">
        <f t="shared" si="5"/>
        <v>0.3442458</v>
      </c>
      <c r="W78" s="20">
        <f t="shared" si="6"/>
        <v>7.322431268</v>
      </c>
      <c r="Y78" s="20">
        <f>IFERROR(__xludf.DUMMYFUNCTION("iferror(PERCENTRANK.INC(FILTER($V$2:$V$425, $T$2:$T$425&lt;3.75), $V78), 1)"),0.781)</f>
        <v>0.781</v>
      </c>
      <c r="Z78" s="20">
        <f>IFERROR(__xludf.DUMMYFUNCTION("iferror(PERCENTRANK.INC(FILTER($V$2:$V$425, $T$2:$T$425&lt;4.5), $V78), 1)"),0.64)</f>
        <v>0.64</v>
      </c>
      <c r="AA78" s="20">
        <f>IFERROR(__xludf.DUMMYFUNCTION("iferror(PERCENTRANK.INC(FILTER($V$2:$V$425, $T$2:$T$425&gt;4.1), $V78), 0.01)"),0.01)</f>
        <v>0.01</v>
      </c>
    </row>
    <row r="79" ht="14.25" customHeight="1">
      <c r="A79" s="14" t="s">
        <v>1565</v>
      </c>
      <c r="B79" s="14" t="s">
        <v>107</v>
      </c>
      <c r="C79" s="14">
        <v>37.0</v>
      </c>
      <c r="D79" s="14" t="s">
        <v>38</v>
      </c>
      <c r="E79" s="14" t="s">
        <v>108</v>
      </c>
      <c r="F79" s="14">
        <v>111.0</v>
      </c>
      <c r="G79" s="14">
        <v>32.0</v>
      </c>
      <c r="H79" s="14">
        <v>21.0</v>
      </c>
      <c r="I79" s="60">
        <v>0.656</v>
      </c>
      <c r="J79" s="14">
        <v>1.0</v>
      </c>
      <c r="K79" s="14">
        <v>0.0</v>
      </c>
      <c r="L79" s="14">
        <v>3.0</v>
      </c>
      <c r="M79" s="14">
        <v>3.0</v>
      </c>
      <c r="N79" s="14">
        <v>258.0</v>
      </c>
      <c r="O79" s="20">
        <v>1.9321279999999998</v>
      </c>
      <c r="P79" s="20">
        <v>24.104590745947622</v>
      </c>
      <c r="Q79" s="15"/>
      <c r="R79" s="20">
        <v>1.9321279999999998</v>
      </c>
      <c r="U79" s="14">
        <f t="array" ref="U79">XLOOKUP(E79, 'Conference Match'!$A$2:$A$25, 'Conference Match'!$C$2:$C$25)</f>
        <v>1</v>
      </c>
      <c r="V79" s="20">
        <f t="shared" si="5"/>
        <v>0.2898192</v>
      </c>
      <c r="W79" s="20">
        <f t="shared" si="6"/>
        <v>6.164726403</v>
      </c>
      <c r="Y79" s="20">
        <f>IFERROR(__xludf.DUMMYFUNCTION("iferror(PERCENTRANK.INC(FILTER($V$2:$V$425, $T$2:$T$425&lt;3.75), $V79), 1)"),0.603)</f>
        <v>0.603</v>
      </c>
      <c r="Z79" s="20">
        <f>IFERROR(__xludf.DUMMYFUNCTION("iferror(PERCENTRANK.INC(FILTER($V$2:$V$425, $T$2:$T$425&lt;4.5), $V79), 1)"),0.494)</f>
        <v>0.494</v>
      </c>
      <c r="AA79" s="20">
        <f>IFERROR(__xludf.DUMMYFUNCTION("iferror(PERCENTRANK.INC(FILTER($V$2:$V$425, $T$2:$T$425&gt;4.1), $V79), 0.01)"),0.01)</f>
        <v>0.01</v>
      </c>
    </row>
    <row r="80" ht="14.25" customHeight="1">
      <c r="A80" s="14" t="s">
        <v>1566</v>
      </c>
      <c r="B80" s="14" t="s">
        <v>219</v>
      </c>
      <c r="C80" s="14">
        <v>6.0</v>
      </c>
      <c r="D80" s="14" t="s">
        <v>38</v>
      </c>
      <c r="E80" s="14" t="s">
        <v>220</v>
      </c>
      <c r="F80" s="14">
        <v>113.0</v>
      </c>
      <c r="G80" s="14">
        <v>58.0</v>
      </c>
      <c r="H80" s="14">
        <v>30.0</v>
      </c>
      <c r="I80" s="60">
        <v>0.517</v>
      </c>
      <c r="J80" s="14">
        <v>2.0</v>
      </c>
      <c r="K80" s="14">
        <v>2.0</v>
      </c>
      <c r="L80" s="14">
        <v>7.0</v>
      </c>
      <c r="M80" s="14">
        <v>8.0</v>
      </c>
      <c r="N80" s="14">
        <v>304.0</v>
      </c>
      <c r="O80" s="20">
        <v>3.133796</v>
      </c>
      <c r="P80" s="20">
        <v>63.03030695673581</v>
      </c>
      <c r="Q80" s="15"/>
      <c r="R80" s="20">
        <v>3.133796</v>
      </c>
      <c r="U80" s="14">
        <f t="array" ref="U80">XLOOKUP(E80, 'Conference Match'!$A$2:$A$25, 'Conference Match'!$C$2:$C$25)</f>
        <v>1</v>
      </c>
      <c r="V80" s="20">
        <f t="shared" si="5"/>
        <v>0.4700694</v>
      </c>
      <c r="W80" s="20">
        <f t="shared" si="6"/>
        <v>9.998817336</v>
      </c>
      <c r="Y80" s="20">
        <f>IFERROR(__xludf.DUMMYFUNCTION("iferror(PERCENTRANK.INC(FILTER($V$2:$V$425, $T$2:$T$425&lt;3.75), $V80), 1)"),0.959)</f>
        <v>0.959</v>
      </c>
      <c r="Z80" s="20">
        <f>IFERROR(__xludf.DUMMYFUNCTION("iferror(PERCENTRANK.INC(FILTER($V$2:$V$425, $T$2:$T$425&lt;4.5), $V80), 1)"),0.787)</f>
        <v>0.787</v>
      </c>
      <c r="AA80" s="20">
        <f>IFERROR(__xludf.DUMMYFUNCTION("iferror(PERCENTRANK.INC(FILTER($V$2:$V$425, $T$2:$T$425&gt;4.1), $V80), 0.01)"),0.01)</f>
        <v>0.01</v>
      </c>
    </row>
    <row r="81" ht="14.25" customHeight="1">
      <c r="A81" s="14" t="s">
        <v>1567</v>
      </c>
      <c r="B81" s="14" t="s">
        <v>219</v>
      </c>
      <c r="C81" s="14">
        <v>15.0</v>
      </c>
      <c r="D81" s="14" t="s">
        <v>38</v>
      </c>
      <c r="E81" s="14" t="s">
        <v>220</v>
      </c>
      <c r="F81" s="14">
        <v>156.0</v>
      </c>
      <c r="G81" s="14">
        <v>33.0</v>
      </c>
      <c r="H81" s="14">
        <v>18.0</v>
      </c>
      <c r="I81" s="60">
        <v>0.545</v>
      </c>
      <c r="J81" s="14">
        <v>3.0</v>
      </c>
      <c r="K81" s="14">
        <v>0.0</v>
      </c>
      <c r="L81" s="14">
        <v>5.0</v>
      </c>
      <c r="M81" s="14">
        <v>6.0</v>
      </c>
      <c r="N81" s="14">
        <v>281.0</v>
      </c>
      <c r="O81" s="20">
        <v>2.77346</v>
      </c>
      <c r="P81" s="20">
        <v>51.35791751428535</v>
      </c>
      <c r="Q81" s="15"/>
      <c r="R81" s="20">
        <v>2.77346</v>
      </c>
      <c r="U81" s="14">
        <f t="array" ref="U81">XLOOKUP(E81, 'Conference Match'!$A$2:$A$25, 'Conference Match'!$C$2:$C$25)</f>
        <v>1</v>
      </c>
      <c r="V81" s="20">
        <f t="shared" si="5"/>
        <v>0.416019</v>
      </c>
      <c r="W81" s="20">
        <f t="shared" si="6"/>
        <v>8.849114597</v>
      </c>
      <c r="Y81" s="20">
        <f>IFERROR(__xludf.DUMMYFUNCTION("iferror(PERCENTRANK.INC(FILTER($V$2:$V$425, $T$2:$T$425&lt;3.75), $V81), 1)"),0.89)</f>
        <v>0.89</v>
      </c>
      <c r="Z81" s="20">
        <f>IFERROR(__xludf.DUMMYFUNCTION("iferror(PERCENTRANK.INC(FILTER($V$2:$V$425, $T$2:$T$425&lt;4.5), $V81), 1)"),0.73)</f>
        <v>0.73</v>
      </c>
      <c r="AA81" s="20">
        <f>IFERROR(__xludf.DUMMYFUNCTION("iferror(PERCENTRANK.INC(FILTER($V$2:$V$425, $T$2:$T$425&gt;4.1), $V81), 0.01)"),0.01)</f>
        <v>0.01</v>
      </c>
    </row>
    <row r="82" ht="14.25" customHeight="1">
      <c r="A82" s="14" t="s">
        <v>1568</v>
      </c>
      <c r="B82" s="14" t="s">
        <v>219</v>
      </c>
      <c r="C82" s="14">
        <v>14.0</v>
      </c>
      <c r="D82" s="14" t="s">
        <v>38</v>
      </c>
      <c r="E82" s="14" t="s">
        <v>220</v>
      </c>
      <c r="F82" s="14">
        <v>59.0</v>
      </c>
      <c r="G82" s="14">
        <v>27.0</v>
      </c>
      <c r="H82" s="14">
        <v>19.0</v>
      </c>
      <c r="I82" s="60">
        <v>0.704</v>
      </c>
      <c r="J82" s="14">
        <v>1.0</v>
      </c>
      <c r="K82" s="14">
        <v>0.0</v>
      </c>
      <c r="L82" s="14">
        <v>2.0</v>
      </c>
      <c r="M82" s="14">
        <v>3.0</v>
      </c>
      <c r="N82" s="14">
        <v>192.0</v>
      </c>
      <c r="O82" s="20">
        <v>1.831552</v>
      </c>
      <c r="P82" s="20">
        <v>20.84662528991798</v>
      </c>
      <c r="Q82" s="15"/>
      <c r="R82" s="20">
        <v>1.831552</v>
      </c>
      <c r="U82" s="14">
        <f t="array" ref="U82">XLOOKUP(E82, 'Conference Match'!$A$2:$A$25, 'Conference Match'!$C$2:$C$25)</f>
        <v>1</v>
      </c>
      <c r="V82" s="20">
        <f t="shared" si="5"/>
        <v>0.2747328</v>
      </c>
      <c r="W82" s="20">
        <f t="shared" si="6"/>
        <v>5.843824515</v>
      </c>
      <c r="Y82" s="20">
        <f>IFERROR(__xludf.DUMMYFUNCTION("iferror(PERCENTRANK.INC(FILTER($V$2:$V$425, $T$2:$T$425&lt;3.75), $V82), 1)"),0.562)</f>
        <v>0.562</v>
      </c>
      <c r="Z82" s="20">
        <f>IFERROR(__xludf.DUMMYFUNCTION("iferror(PERCENTRANK.INC(FILTER($V$2:$V$425, $T$2:$T$425&lt;4.5), $V82), 1)"),0.461)</f>
        <v>0.461</v>
      </c>
      <c r="AA82" s="20">
        <f>IFERROR(__xludf.DUMMYFUNCTION("iferror(PERCENTRANK.INC(FILTER($V$2:$V$425, $T$2:$T$425&gt;4.1), $V82), 0.01)"),0.01)</f>
        <v>0.01</v>
      </c>
    </row>
    <row r="83" ht="14.25" customHeight="1">
      <c r="A83" s="14" t="s">
        <v>1569</v>
      </c>
      <c r="B83" s="14" t="s">
        <v>219</v>
      </c>
      <c r="C83" s="14">
        <v>24.0</v>
      </c>
      <c r="D83" s="14" t="s">
        <v>38</v>
      </c>
      <c r="E83" s="14" t="s">
        <v>220</v>
      </c>
      <c r="F83" s="14">
        <v>8.0</v>
      </c>
      <c r="G83" s="14">
        <v>22.0</v>
      </c>
      <c r="H83" s="14">
        <v>12.0</v>
      </c>
      <c r="I83" s="60">
        <v>0.545</v>
      </c>
      <c r="J83" s="14">
        <v>0.0</v>
      </c>
      <c r="K83" s="14">
        <v>0.0</v>
      </c>
      <c r="L83" s="14">
        <v>3.0</v>
      </c>
      <c r="M83" s="14">
        <v>4.0</v>
      </c>
      <c r="N83" s="14">
        <v>157.0</v>
      </c>
      <c r="O83" s="20">
        <v>1.81346</v>
      </c>
      <c r="P83" s="20">
        <v>20.26056985889579</v>
      </c>
      <c r="Q83" s="15"/>
      <c r="R83" s="20">
        <v>1.81346</v>
      </c>
      <c r="U83" s="14">
        <f t="array" ref="U83">XLOOKUP(E83, 'Conference Match'!$A$2:$A$25, 'Conference Match'!$C$2:$C$25)</f>
        <v>1</v>
      </c>
      <c r="V83" s="20">
        <f t="shared" si="5"/>
        <v>0.272019</v>
      </c>
      <c r="W83" s="20">
        <f t="shared" si="6"/>
        <v>5.786099442</v>
      </c>
      <c r="Y83" s="20">
        <f>IFERROR(__xludf.DUMMYFUNCTION("iferror(PERCENTRANK.INC(FILTER($V$2:$V$425, $T$2:$T$425&lt;3.75), $V83), 1)"),0.507)</f>
        <v>0.507</v>
      </c>
      <c r="Z83" s="20">
        <f>IFERROR(__xludf.DUMMYFUNCTION("iferror(PERCENTRANK.INC(FILTER($V$2:$V$425, $T$2:$T$425&lt;4.5), $V83), 1)"),0.416)</f>
        <v>0.416</v>
      </c>
      <c r="AA83" s="20">
        <f>IFERROR(__xludf.DUMMYFUNCTION("iferror(PERCENTRANK.INC(FILTER($V$2:$V$425, $T$2:$T$425&gt;4.1), $V83), 0.01)"),0.01)</f>
        <v>0.01</v>
      </c>
    </row>
    <row r="84" ht="14.25" customHeight="1">
      <c r="A84" s="14" t="s">
        <v>1570</v>
      </c>
      <c r="B84" s="14" t="s">
        <v>219</v>
      </c>
      <c r="C84" s="14">
        <v>21.0</v>
      </c>
      <c r="D84" s="14" t="s">
        <v>38</v>
      </c>
      <c r="E84" s="14" t="s">
        <v>220</v>
      </c>
      <c r="F84" s="14">
        <v>5.0</v>
      </c>
      <c r="G84" s="14">
        <v>21.0</v>
      </c>
      <c r="H84" s="14">
        <v>11.0</v>
      </c>
      <c r="I84" s="60">
        <v>0.524</v>
      </c>
      <c r="J84" s="14">
        <v>1.0</v>
      </c>
      <c r="K84" s="14">
        <v>1.0</v>
      </c>
      <c r="L84" s="14">
        <v>0.0</v>
      </c>
      <c r="M84" s="14">
        <v>0.0</v>
      </c>
      <c r="N84" s="14">
        <v>54.0</v>
      </c>
      <c r="O84" s="20">
        <v>1.493712</v>
      </c>
      <c r="P84" s="20">
        <v>9.902950360858803</v>
      </c>
      <c r="Q84" s="15"/>
      <c r="R84" s="20">
        <v>1.493712</v>
      </c>
      <c r="U84" s="14">
        <f t="array" ref="U84">XLOOKUP(E84, 'Conference Match'!$A$2:$A$25, 'Conference Match'!$C$2:$C$25)</f>
        <v>1</v>
      </c>
      <c r="V84" s="20">
        <f t="shared" si="5"/>
        <v>0.2240568</v>
      </c>
      <c r="W84" s="20">
        <f t="shared" si="6"/>
        <v>4.765898431</v>
      </c>
      <c r="Y84" s="20">
        <f>IFERROR(__xludf.DUMMYFUNCTION("iferror(PERCENTRANK.INC(FILTER($V$2:$V$425, $T$2:$T$425&lt;3.75), $V84), 1)"),0.288)</f>
        <v>0.288</v>
      </c>
      <c r="Z84" s="20">
        <f>IFERROR(__xludf.DUMMYFUNCTION("iferror(PERCENTRANK.INC(FILTER($V$2:$V$425, $T$2:$T$425&lt;4.5), $V84), 1)"),0.236)</f>
        <v>0.236</v>
      </c>
      <c r="AA84" s="20">
        <f>IFERROR(__xludf.DUMMYFUNCTION("iferror(PERCENTRANK.INC(FILTER($V$2:$V$425, $T$2:$T$425&gt;4.1), $V84), 0.01)"),0.01)</f>
        <v>0.01</v>
      </c>
    </row>
    <row r="85" ht="14.25" customHeight="1">
      <c r="A85" s="14" t="s">
        <v>1571</v>
      </c>
      <c r="B85" s="14" t="s">
        <v>369</v>
      </c>
      <c r="C85" s="14">
        <v>16.0</v>
      </c>
      <c r="D85" s="14" t="s">
        <v>38</v>
      </c>
      <c r="E85" s="14" t="s">
        <v>135</v>
      </c>
      <c r="F85" s="14">
        <v>102.0</v>
      </c>
      <c r="G85" s="14">
        <v>51.0</v>
      </c>
      <c r="H85" s="14">
        <v>31.0</v>
      </c>
      <c r="I85" s="60">
        <v>0.608</v>
      </c>
      <c r="J85" s="14">
        <v>1.0</v>
      </c>
      <c r="K85" s="14">
        <v>0.0</v>
      </c>
      <c r="L85" s="14">
        <v>4.0</v>
      </c>
      <c r="M85" s="14">
        <v>6.0</v>
      </c>
      <c r="N85" s="14">
        <v>332.0</v>
      </c>
      <c r="O85" s="20">
        <v>2.272704</v>
      </c>
      <c r="P85" s="20">
        <v>35.13689311582466</v>
      </c>
      <c r="Q85" s="15"/>
      <c r="R85" s="20">
        <v>2.272704</v>
      </c>
      <c r="U85" s="14">
        <f t="array" ref="U85">XLOOKUP(E85, 'Conference Match'!$A$2:$A$25, 'Conference Match'!$C$2:$C$25)</f>
        <v>1</v>
      </c>
      <c r="V85" s="20">
        <f t="shared" si="5"/>
        <v>0.3409056</v>
      </c>
      <c r="W85" s="20">
        <f t="shared" si="6"/>
        <v>7.251382079</v>
      </c>
      <c r="Y85" s="20">
        <f>IFERROR(__xludf.DUMMYFUNCTION("iferror(PERCENTRANK.INC(FILTER($V$2:$V$425, $T$2:$T$425&lt;3.75), $V85), 1)"),0.767)</f>
        <v>0.767</v>
      </c>
      <c r="Z85" s="20">
        <f>IFERROR(__xludf.DUMMYFUNCTION("iferror(PERCENTRANK.INC(FILTER($V$2:$V$425, $T$2:$T$425&lt;4.5), $V85), 1)"),0.629)</f>
        <v>0.629</v>
      </c>
      <c r="AA85" s="20">
        <f>IFERROR(__xludf.DUMMYFUNCTION("iferror(PERCENTRANK.INC(FILTER($V$2:$V$425, $T$2:$T$425&gt;4.1), $V85), 0.01)"),0.01)</f>
        <v>0.01</v>
      </c>
    </row>
    <row r="86" ht="14.25" customHeight="1">
      <c r="A86" s="14" t="s">
        <v>1572</v>
      </c>
      <c r="B86" s="14" t="s">
        <v>369</v>
      </c>
      <c r="C86" s="14">
        <v>10.0</v>
      </c>
      <c r="D86" s="14" t="s">
        <v>38</v>
      </c>
      <c r="E86" s="14" t="s">
        <v>135</v>
      </c>
      <c r="F86" s="14">
        <v>42.0</v>
      </c>
      <c r="G86" s="14">
        <v>40.0</v>
      </c>
      <c r="H86" s="14">
        <v>27.0</v>
      </c>
      <c r="I86" s="60">
        <v>0.675</v>
      </c>
      <c r="J86" s="14">
        <v>3.0</v>
      </c>
      <c r="K86" s="14">
        <v>0.0</v>
      </c>
      <c r="L86" s="14">
        <v>0.0</v>
      </c>
      <c r="M86" s="14">
        <v>3.0</v>
      </c>
      <c r="N86" s="14">
        <v>177.0</v>
      </c>
      <c r="O86" s="20">
        <v>2.0319</v>
      </c>
      <c r="P86" s="20">
        <v>27.336512173315878</v>
      </c>
      <c r="Q86" s="15"/>
      <c r="R86" s="20">
        <v>2.0319</v>
      </c>
      <c r="U86" s="14">
        <f t="array" ref="U86">XLOOKUP(E86, 'Conference Match'!$A$2:$A$25, 'Conference Match'!$C$2:$C$25)</f>
        <v>1</v>
      </c>
      <c r="V86" s="20">
        <f t="shared" si="5"/>
        <v>0.304785</v>
      </c>
      <c r="W86" s="20">
        <f t="shared" si="6"/>
        <v>6.483063015</v>
      </c>
      <c r="Y86" s="20">
        <f>IFERROR(__xludf.DUMMYFUNCTION("iferror(PERCENTRANK.INC(FILTER($V$2:$V$425, $T$2:$T$425&lt;3.75), $V86), 1)"),0.658)</f>
        <v>0.658</v>
      </c>
      <c r="Z86" s="20">
        <f>IFERROR(__xludf.DUMMYFUNCTION("iferror(PERCENTRANK.INC(FILTER($V$2:$V$425, $T$2:$T$425&lt;4.5), $V86), 1)"),0.539)</f>
        <v>0.539</v>
      </c>
      <c r="AA86" s="20">
        <f>IFERROR(__xludf.DUMMYFUNCTION("iferror(PERCENTRANK.INC(FILTER($V$2:$V$425, $T$2:$T$425&gt;4.1), $V86), 0.01)"),0.01)</f>
        <v>0.01</v>
      </c>
    </row>
    <row r="87" ht="14.25" customHeight="1">
      <c r="A87" s="14" t="s">
        <v>1573</v>
      </c>
      <c r="B87" s="14" t="s">
        <v>369</v>
      </c>
      <c r="C87" s="14">
        <v>1.0</v>
      </c>
      <c r="D87" s="14" t="s">
        <v>38</v>
      </c>
      <c r="E87" s="14" t="s">
        <v>135</v>
      </c>
      <c r="F87" s="14">
        <v>106.0</v>
      </c>
      <c r="G87" s="14">
        <v>60.0</v>
      </c>
      <c r="H87" s="14">
        <v>29.0</v>
      </c>
      <c r="I87" s="60">
        <v>0.483</v>
      </c>
      <c r="J87" s="14">
        <v>1.0</v>
      </c>
      <c r="K87" s="14">
        <v>0.0</v>
      </c>
      <c r="L87" s="14">
        <v>9.0</v>
      </c>
      <c r="M87" s="14">
        <v>12.0</v>
      </c>
      <c r="N87" s="14">
        <v>346.0</v>
      </c>
      <c r="O87" s="20">
        <v>3.2542039999999997</v>
      </c>
      <c r="P87" s="20">
        <v>66.93069178641304</v>
      </c>
      <c r="Q87" s="15"/>
      <c r="R87" s="20">
        <v>3.2542039999999997</v>
      </c>
      <c r="U87" s="14">
        <f t="array" ref="U87">XLOOKUP(E87, 'Conference Match'!$A$2:$A$25, 'Conference Match'!$C$2:$C$25)</f>
        <v>1</v>
      </c>
      <c r="V87" s="20">
        <f t="shared" si="5"/>
        <v>0.4881306</v>
      </c>
      <c r="W87" s="20">
        <f t="shared" si="6"/>
        <v>10.38299601</v>
      </c>
      <c r="Y87" s="20">
        <f>IFERROR(__xludf.DUMMYFUNCTION("iferror(PERCENTRANK.INC(FILTER($V$2:$V$425, $T$2:$T$425&lt;3.75), $V87), 1)"),0.973)</f>
        <v>0.973</v>
      </c>
      <c r="Z87" s="20">
        <f>IFERROR(__xludf.DUMMYFUNCTION("iferror(PERCENTRANK.INC(FILTER($V$2:$V$425, $T$2:$T$425&lt;4.5), $V87), 1)"),0.798)</f>
        <v>0.798</v>
      </c>
      <c r="AA87" s="20">
        <f>IFERROR(__xludf.DUMMYFUNCTION("iferror(PERCENTRANK.INC(FILTER($V$2:$V$425, $T$2:$T$425&gt;4.1), $V87), 0.01)"),0.01)</f>
        <v>0.01</v>
      </c>
    </row>
    <row r="88" ht="14.25" customHeight="1">
      <c r="A88" s="14" t="s">
        <v>1574</v>
      </c>
      <c r="B88" s="14" t="s">
        <v>369</v>
      </c>
      <c r="C88" s="14">
        <v>32.0</v>
      </c>
      <c r="D88" s="14" t="s">
        <v>38</v>
      </c>
      <c r="E88" s="14" t="s">
        <v>135</v>
      </c>
      <c r="F88" s="14">
        <v>22.0</v>
      </c>
      <c r="G88" s="14">
        <v>8.0</v>
      </c>
      <c r="H88" s="14">
        <v>6.0</v>
      </c>
      <c r="I88" s="60">
        <v>0.75</v>
      </c>
      <c r="J88" s="14">
        <v>0.0</v>
      </c>
      <c r="K88" s="14">
        <v>0.0</v>
      </c>
      <c r="L88" s="14">
        <v>0.0</v>
      </c>
      <c r="M88" s="14">
        <v>0.0</v>
      </c>
      <c r="N88" s="14">
        <v>57.0</v>
      </c>
      <c r="O88" s="20">
        <v>1.1909999999999998</v>
      </c>
      <c r="P88" s="20">
        <v>0.09717921142308886</v>
      </c>
      <c r="Q88" s="15"/>
      <c r="R88" s="20">
        <v>1.1909999999999998</v>
      </c>
      <c r="U88" s="14">
        <f t="array" ref="U88">XLOOKUP(E88, 'Conference Match'!$A$2:$A$25, 'Conference Match'!$C$2:$C$25)</f>
        <v>1</v>
      </c>
      <c r="V88" s="20">
        <f t="shared" si="5"/>
        <v>0.17865</v>
      </c>
      <c r="W88" s="20">
        <f t="shared" si="6"/>
        <v>3.800053177</v>
      </c>
      <c r="Y88" s="20">
        <f>IFERROR(__xludf.DUMMYFUNCTION("iferror(PERCENTRANK.INC(FILTER($V$2:$V$425, $T$2:$T$425&lt;3.75), $V88), 1)"),0.096)</f>
        <v>0.096</v>
      </c>
      <c r="Z88" s="20">
        <f>IFERROR(__xludf.DUMMYFUNCTION("iferror(PERCENTRANK.INC(FILTER($V$2:$V$425, $T$2:$T$425&lt;4.5), $V88), 1)"),0.079)</f>
        <v>0.079</v>
      </c>
      <c r="AA88" s="20">
        <f>IFERROR(__xludf.DUMMYFUNCTION("iferror(PERCENTRANK.INC(FILTER($V$2:$V$425, $T$2:$T$425&gt;4.1), $V88), 0.01)"),0.01)</f>
        <v>0.01</v>
      </c>
    </row>
    <row r="89" ht="14.25" customHeight="1">
      <c r="A89" s="14" t="s">
        <v>1575</v>
      </c>
      <c r="B89" s="14" t="s">
        <v>369</v>
      </c>
      <c r="C89" s="14">
        <v>24.0</v>
      </c>
      <c r="D89" s="14" t="s">
        <v>38</v>
      </c>
      <c r="E89" s="14" t="s">
        <v>135</v>
      </c>
      <c r="F89" s="14">
        <v>6.0</v>
      </c>
      <c r="G89" s="14">
        <v>9.0</v>
      </c>
      <c r="H89" s="14">
        <v>8.0</v>
      </c>
      <c r="I89" s="60">
        <v>0.889</v>
      </c>
      <c r="J89" s="14">
        <v>0.0</v>
      </c>
      <c r="K89" s="14">
        <v>0.0</v>
      </c>
      <c r="L89" s="14">
        <v>0.0</v>
      </c>
      <c r="M89" s="14">
        <v>0.0</v>
      </c>
      <c r="N89" s="14">
        <v>58.0</v>
      </c>
      <c r="O89" s="20">
        <v>1.189332</v>
      </c>
      <c r="P89" s="20">
        <v>0.0431475698718566</v>
      </c>
      <c r="Q89" s="15"/>
      <c r="R89" s="20">
        <v>1.189332</v>
      </c>
      <c r="U89" s="14">
        <f t="array" ref="U89">XLOOKUP(E89, 'Conference Match'!$A$2:$A$25, 'Conference Match'!$C$2:$C$25)</f>
        <v>1</v>
      </c>
      <c r="V89" s="20">
        <f t="shared" si="5"/>
        <v>0.1783998</v>
      </c>
      <c r="W89" s="20">
        <f t="shared" si="6"/>
        <v>3.794731189</v>
      </c>
      <c r="Y89" s="20">
        <f>IFERROR(__xludf.DUMMYFUNCTION("iferror(PERCENTRANK.INC(FILTER($V$2:$V$425, $T$2:$T$425&lt;3.75), $V89), 1)"),0.082)</f>
        <v>0.082</v>
      </c>
      <c r="Z89" s="20">
        <f>IFERROR(__xludf.DUMMYFUNCTION("iferror(PERCENTRANK.INC(FILTER($V$2:$V$425, $T$2:$T$425&lt;4.5), $V89), 1)"),0.067)</f>
        <v>0.067</v>
      </c>
      <c r="AA89" s="20">
        <f>IFERROR(__xludf.DUMMYFUNCTION("iferror(PERCENTRANK.INC(FILTER($V$2:$V$425, $T$2:$T$425&gt;4.1), $V89), 0.01)"),0.01)</f>
        <v>0.01</v>
      </c>
    </row>
    <row r="90" ht="14.25" customHeight="1">
      <c r="A90" s="14" t="s">
        <v>1576</v>
      </c>
      <c r="B90" s="14" t="s">
        <v>267</v>
      </c>
      <c r="C90" s="14">
        <v>4.0</v>
      </c>
      <c r="D90" s="14" t="s">
        <v>38</v>
      </c>
      <c r="E90" s="14" t="s">
        <v>117</v>
      </c>
      <c r="F90" s="14">
        <v>127.0</v>
      </c>
      <c r="G90" s="14">
        <v>37.0</v>
      </c>
      <c r="H90" s="14">
        <v>22.0</v>
      </c>
      <c r="I90" s="60">
        <v>0.595</v>
      </c>
      <c r="J90" s="14">
        <v>1.0</v>
      </c>
      <c r="K90" s="14">
        <v>0.0</v>
      </c>
      <c r="L90" s="14">
        <v>2.0</v>
      </c>
      <c r="M90" s="14">
        <v>6.0</v>
      </c>
      <c r="N90" s="14">
        <v>278.0</v>
      </c>
      <c r="O90" s="20">
        <v>2.07286</v>
      </c>
      <c r="P90" s="20">
        <v>28.66333233994584</v>
      </c>
      <c r="Q90" s="15"/>
      <c r="R90" s="20">
        <v>2.07286</v>
      </c>
      <c r="U90" s="14">
        <f t="array" ref="U90">XLOOKUP(E90, 'Conference Match'!$A$2:$A$25, 'Conference Match'!$C$2:$C$25)</f>
        <v>0.95</v>
      </c>
      <c r="V90" s="20">
        <f t="shared" si="5"/>
        <v>0.29538255</v>
      </c>
      <c r="W90" s="20">
        <f t="shared" si="6"/>
        <v>6.283064079</v>
      </c>
      <c r="Y90" s="20">
        <f>IFERROR(__xludf.DUMMYFUNCTION("iferror(PERCENTRANK.INC(FILTER($V$2:$V$425, $T$2:$T$425&lt;3.75), $V90), 1)"),0.63)</f>
        <v>0.63</v>
      </c>
      <c r="Z90" s="20">
        <f>IFERROR(__xludf.DUMMYFUNCTION("iferror(PERCENTRANK.INC(FILTER($V$2:$V$425, $T$2:$T$425&lt;4.5), $V90), 1)"),0.517)</f>
        <v>0.517</v>
      </c>
      <c r="AA90" s="20">
        <f>IFERROR(__xludf.DUMMYFUNCTION("iferror(PERCENTRANK.INC(FILTER($V$2:$V$425, $T$2:$T$425&gt;4.1), $V90), 0.01)"),0.01)</f>
        <v>0.01</v>
      </c>
    </row>
    <row r="91" ht="14.25" customHeight="1">
      <c r="A91" s="14" t="s">
        <v>1577</v>
      </c>
      <c r="B91" s="14" t="s">
        <v>267</v>
      </c>
      <c r="C91" s="14">
        <v>23.0</v>
      </c>
      <c r="D91" s="14" t="s">
        <v>38</v>
      </c>
      <c r="E91" s="14" t="s">
        <v>117</v>
      </c>
      <c r="F91" s="14">
        <v>20.0</v>
      </c>
      <c r="G91" s="14">
        <v>20.0</v>
      </c>
      <c r="H91" s="14">
        <v>16.0</v>
      </c>
      <c r="I91" s="60">
        <v>0.8</v>
      </c>
      <c r="J91" s="14">
        <v>0.0</v>
      </c>
      <c r="K91" s="14">
        <v>1.0</v>
      </c>
      <c r="L91" s="14">
        <v>1.0</v>
      </c>
      <c r="M91" s="14">
        <v>1.0</v>
      </c>
      <c r="N91" s="14">
        <v>129.0</v>
      </c>
      <c r="O91" s="20">
        <v>1.4704</v>
      </c>
      <c r="P91" s="20">
        <v>9.147803101960427</v>
      </c>
      <c r="Q91" s="15"/>
      <c r="R91" s="20">
        <v>1.4704</v>
      </c>
      <c r="U91" s="14">
        <f t="array" ref="U91">XLOOKUP(E91, 'Conference Match'!$A$2:$A$25, 'Conference Match'!$C$2:$C$25)</f>
        <v>0.95</v>
      </c>
      <c r="V91" s="20">
        <f t="shared" si="5"/>
        <v>0.209532</v>
      </c>
      <c r="W91" s="20">
        <f t="shared" si="6"/>
        <v>4.456942303</v>
      </c>
      <c r="Y91" s="20">
        <f>IFERROR(__xludf.DUMMYFUNCTION("iferror(PERCENTRANK.INC(FILTER($V$2:$V$425, $T$2:$T$425&lt;3.75), $V91), 1)"),0.205)</f>
        <v>0.205</v>
      </c>
      <c r="Z91" s="20">
        <f>IFERROR(__xludf.DUMMYFUNCTION("iferror(PERCENTRANK.INC(FILTER($V$2:$V$425, $T$2:$T$425&lt;4.5), $V91), 1)"),0.169)</f>
        <v>0.169</v>
      </c>
      <c r="AA91" s="20">
        <f>IFERROR(__xludf.DUMMYFUNCTION("iferror(PERCENTRANK.INC(FILTER($V$2:$V$425, $T$2:$T$425&gt;4.1), $V91), 0.01)"),0.01)</f>
        <v>0.01</v>
      </c>
    </row>
    <row r="92" ht="14.25" customHeight="1">
      <c r="A92" s="14" t="s">
        <v>1578</v>
      </c>
      <c r="B92" s="14" t="s">
        <v>267</v>
      </c>
      <c r="C92" s="14">
        <v>18.0</v>
      </c>
      <c r="D92" s="14" t="s">
        <v>38</v>
      </c>
      <c r="E92" s="14" t="s">
        <v>117</v>
      </c>
      <c r="F92" s="14">
        <v>22.0</v>
      </c>
      <c r="G92" s="14">
        <v>7.0</v>
      </c>
      <c r="H92" s="14">
        <v>5.0</v>
      </c>
      <c r="I92" s="60">
        <v>0.714</v>
      </c>
      <c r="J92" s="14">
        <v>1.0</v>
      </c>
      <c r="K92" s="14">
        <v>0.0</v>
      </c>
      <c r="L92" s="14">
        <v>0.0</v>
      </c>
      <c r="M92" s="14">
        <v>0.0</v>
      </c>
      <c r="N92" s="14">
        <v>90.0</v>
      </c>
      <c r="O92" s="20">
        <v>1.3914319999999998</v>
      </c>
      <c r="P92" s="20">
        <v>6.589787112740836</v>
      </c>
      <c r="Q92" s="15"/>
      <c r="R92" s="20">
        <v>1.3914319999999998</v>
      </c>
      <c r="U92" s="14">
        <f t="array" ref="U92">XLOOKUP(E92, 'Conference Match'!$A$2:$A$25, 'Conference Match'!$C$2:$C$25)</f>
        <v>0.95</v>
      </c>
      <c r="V92" s="20">
        <f t="shared" si="5"/>
        <v>0.19827906</v>
      </c>
      <c r="W92" s="20">
        <f t="shared" si="6"/>
        <v>4.217581707</v>
      </c>
      <c r="Y92" s="20">
        <f>IFERROR(__xludf.DUMMYFUNCTION("iferror(PERCENTRANK.INC(FILTER($V$2:$V$425, $T$2:$T$425&lt;3.75), $V92), 1)"),0.137)</f>
        <v>0.137</v>
      </c>
      <c r="Z92" s="20">
        <f>IFERROR(__xludf.DUMMYFUNCTION("iferror(PERCENTRANK.INC(FILTER($V$2:$V$425, $T$2:$T$425&lt;4.5), $V92), 1)"),0.112)</f>
        <v>0.112</v>
      </c>
      <c r="AA92" s="20">
        <f>IFERROR(__xludf.DUMMYFUNCTION("iferror(PERCENTRANK.INC(FILTER($V$2:$V$425, $T$2:$T$425&gt;4.1), $V92), 0.01)"),0.01)</f>
        <v>0.01</v>
      </c>
    </row>
    <row r="93" ht="14.25" customHeight="1">
      <c r="A93" s="14" t="s">
        <v>1579</v>
      </c>
      <c r="B93" s="14" t="s">
        <v>267</v>
      </c>
      <c r="C93" s="14">
        <v>20.0</v>
      </c>
      <c r="D93" s="14" t="s">
        <v>38</v>
      </c>
      <c r="E93" s="14" t="s">
        <v>117</v>
      </c>
      <c r="F93" s="14">
        <v>23.0</v>
      </c>
      <c r="G93" s="14">
        <v>10.0</v>
      </c>
      <c r="H93" s="14">
        <v>8.0</v>
      </c>
      <c r="I93" s="60">
        <v>0.8</v>
      </c>
      <c r="J93" s="14">
        <v>0.0</v>
      </c>
      <c r="K93" s="14">
        <v>0.0</v>
      </c>
      <c r="L93" s="14">
        <v>0.0</v>
      </c>
      <c r="M93" s="14">
        <v>0.0</v>
      </c>
      <c r="N93" s="14">
        <v>84.0</v>
      </c>
      <c r="O93" s="20">
        <v>1.1904</v>
      </c>
      <c r="P93" s="20">
        <v>0.07774336913847252</v>
      </c>
      <c r="Q93" s="15"/>
      <c r="R93" s="20">
        <v>1.1904</v>
      </c>
      <c r="U93" s="14">
        <f t="array" ref="U93">XLOOKUP(E93, 'Conference Match'!$A$2:$A$25, 'Conference Match'!$C$2:$C$25)</f>
        <v>0.95</v>
      </c>
      <c r="V93" s="20">
        <f t="shared" si="5"/>
        <v>0.169632</v>
      </c>
      <c r="W93" s="20">
        <f t="shared" si="6"/>
        <v>3.608231853</v>
      </c>
      <c r="Y93" s="20">
        <f>IFERROR(__xludf.DUMMYFUNCTION("iferror(PERCENTRANK.INC(FILTER($V$2:$V$425, $T$2:$T$425&lt;3.75), $V93), 1)"),0.027)</f>
        <v>0.027</v>
      </c>
      <c r="Z93" s="20">
        <f>IFERROR(__xludf.DUMMYFUNCTION("iferror(PERCENTRANK.INC(FILTER($V$2:$V$425, $T$2:$T$425&lt;4.5), $V93), 1)"),0.022)</f>
        <v>0.022</v>
      </c>
      <c r="AA93" s="20">
        <f>IFERROR(__xludf.DUMMYFUNCTION("iferror(PERCENTRANK.INC(FILTER($V$2:$V$425, $T$2:$T$425&gt;4.1), $V93), 0.01)"),0.01)</f>
        <v>0.01</v>
      </c>
    </row>
    <row r="94" ht="14.25" customHeight="1">
      <c r="A94" s="14" t="s">
        <v>1580</v>
      </c>
      <c r="B94" s="14" t="s">
        <v>447</v>
      </c>
      <c r="C94" s="14">
        <v>29.0</v>
      </c>
      <c r="D94" s="14" t="s">
        <v>38</v>
      </c>
      <c r="E94" s="14" t="s">
        <v>99</v>
      </c>
      <c r="F94" s="14">
        <v>68.0</v>
      </c>
      <c r="G94" s="14">
        <v>45.0</v>
      </c>
      <c r="H94" s="14">
        <v>21.0</v>
      </c>
      <c r="I94" s="60">
        <v>0.467</v>
      </c>
      <c r="J94" s="14">
        <v>1.0</v>
      </c>
      <c r="K94" s="14">
        <v>0.0</v>
      </c>
      <c r="L94" s="14">
        <v>6.0</v>
      </c>
      <c r="M94" s="14">
        <v>9.0</v>
      </c>
      <c r="N94" s="14">
        <v>236.0</v>
      </c>
      <c r="O94" s="20">
        <v>2.714396</v>
      </c>
      <c r="P94" s="20">
        <v>49.44465319978749</v>
      </c>
      <c r="Q94" s="15"/>
      <c r="R94" s="20">
        <v>2.714396</v>
      </c>
      <c r="U94" s="14">
        <f t="array" ref="U94">XLOOKUP(E94, 'Conference Match'!$A$2:$A$25, 'Conference Match'!$C$2:$C$25)</f>
        <v>1</v>
      </c>
      <c r="V94" s="20">
        <f t="shared" si="5"/>
        <v>0.4071594</v>
      </c>
      <c r="W94" s="20">
        <f t="shared" si="6"/>
        <v>8.66066259</v>
      </c>
      <c r="Y94" s="20">
        <f>IFERROR(__xludf.DUMMYFUNCTION("iferror(PERCENTRANK.INC(FILTER($V$2:$V$425, $T$2:$T$425&lt;3.75), $V94), 1)"),0.877)</f>
        <v>0.877</v>
      </c>
      <c r="Z94" s="20">
        <f>IFERROR(__xludf.DUMMYFUNCTION("iferror(PERCENTRANK.INC(FILTER($V$2:$V$425, $T$2:$T$425&lt;4.5), $V94), 1)"),0.719)</f>
        <v>0.719</v>
      </c>
      <c r="AA94" s="20">
        <f>IFERROR(__xludf.DUMMYFUNCTION("iferror(PERCENTRANK.INC(FILTER($V$2:$V$425, $T$2:$T$425&gt;4.1), $V94), 0.01)"),0.01)</f>
        <v>0.01</v>
      </c>
    </row>
    <row r="95" ht="14.25" customHeight="1">
      <c r="A95" s="14" t="s">
        <v>1581</v>
      </c>
      <c r="B95" s="14" t="s">
        <v>447</v>
      </c>
      <c r="C95" s="14">
        <v>7.0</v>
      </c>
      <c r="D95" s="14" t="s">
        <v>38</v>
      </c>
      <c r="E95" s="14" t="s">
        <v>99</v>
      </c>
      <c r="F95" s="14">
        <v>33.0</v>
      </c>
      <c r="G95" s="14">
        <v>33.0</v>
      </c>
      <c r="H95" s="14">
        <v>18.0</v>
      </c>
      <c r="I95" s="60">
        <v>0.545</v>
      </c>
      <c r="J95" s="14">
        <v>1.0</v>
      </c>
      <c r="K95" s="14">
        <v>0.0</v>
      </c>
      <c r="L95" s="14">
        <v>4.0</v>
      </c>
      <c r="M95" s="14">
        <v>5.0</v>
      </c>
      <c r="N95" s="14">
        <v>219.0</v>
      </c>
      <c r="O95" s="20">
        <v>2.19346</v>
      </c>
      <c r="P95" s="20">
        <v>32.56993663915415</v>
      </c>
      <c r="Q95" s="15"/>
      <c r="R95" s="20">
        <v>2.19346</v>
      </c>
      <c r="U95" s="14">
        <f t="array" ref="U95">XLOOKUP(E95, 'Conference Match'!$A$2:$A$25, 'Conference Match'!$C$2:$C$25)</f>
        <v>1</v>
      </c>
      <c r="V95" s="20">
        <f t="shared" si="5"/>
        <v>0.329019</v>
      </c>
      <c r="W95" s="20">
        <f t="shared" si="6"/>
        <v>6.998542941</v>
      </c>
      <c r="Y95" s="20">
        <f>IFERROR(__xludf.DUMMYFUNCTION("iferror(PERCENTRANK.INC(FILTER($V$2:$V$425, $T$2:$T$425&lt;3.75), $V95), 1)"),0.753)</f>
        <v>0.753</v>
      </c>
      <c r="Z95" s="20">
        <f>IFERROR(__xludf.DUMMYFUNCTION("iferror(PERCENTRANK.INC(FILTER($V$2:$V$425, $T$2:$T$425&lt;4.5), $V95), 1)"),0.618)</f>
        <v>0.618</v>
      </c>
      <c r="AA95" s="20">
        <f>IFERROR(__xludf.DUMMYFUNCTION("iferror(PERCENTRANK.INC(FILTER($V$2:$V$425, $T$2:$T$425&gt;4.1), $V95), 0.01)"),0.01)</f>
        <v>0.01</v>
      </c>
    </row>
    <row r="96" ht="14.25" customHeight="1">
      <c r="A96" s="14" t="s">
        <v>1582</v>
      </c>
      <c r="B96" s="14" t="s">
        <v>447</v>
      </c>
      <c r="C96" s="14">
        <v>5.0</v>
      </c>
      <c r="D96" s="14" t="s">
        <v>38</v>
      </c>
      <c r="E96" s="14" t="s">
        <v>99</v>
      </c>
      <c r="F96" s="14">
        <v>26.0</v>
      </c>
      <c r="G96" s="14">
        <v>20.0</v>
      </c>
      <c r="H96" s="14">
        <v>9.0</v>
      </c>
      <c r="I96" s="60">
        <v>0.45</v>
      </c>
      <c r="J96" s="14">
        <v>0.0</v>
      </c>
      <c r="K96" s="14">
        <v>0.0</v>
      </c>
      <c r="L96" s="14">
        <v>3.0</v>
      </c>
      <c r="M96" s="14">
        <v>4.0</v>
      </c>
      <c r="N96" s="14">
        <v>99.0</v>
      </c>
      <c r="O96" s="20">
        <v>1.8145999999999998</v>
      </c>
      <c r="P96" s="20">
        <v>20.29749795923655</v>
      </c>
      <c r="Q96" s="15"/>
      <c r="R96" s="20">
        <v>1.8145999999999998</v>
      </c>
      <c r="U96" s="14">
        <f t="array" ref="U96">XLOOKUP(E96, 'Conference Match'!$A$2:$A$25, 'Conference Match'!$C$2:$C$25)</f>
        <v>1</v>
      </c>
      <c r="V96" s="20">
        <f t="shared" si="5"/>
        <v>0.27219</v>
      </c>
      <c r="W96" s="20">
        <f t="shared" si="6"/>
        <v>5.789736772</v>
      </c>
      <c r="Y96" s="20">
        <f>IFERROR(__xludf.DUMMYFUNCTION("iferror(PERCENTRANK.INC(FILTER($V$2:$V$425, $T$2:$T$425&lt;3.75), $V96), 1)"),0.534)</f>
        <v>0.534</v>
      </c>
      <c r="Z96" s="20">
        <f>IFERROR(__xludf.DUMMYFUNCTION("iferror(PERCENTRANK.INC(FILTER($V$2:$V$425, $T$2:$T$425&lt;4.5), $V96), 1)"),0.438)</f>
        <v>0.438</v>
      </c>
      <c r="AA96" s="20">
        <f>IFERROR(__xludf.DUMMYFUNCTION("iferror(PERCENTRANK.INC(FILTER($V$2:$V$425, $T$2:$T$425&gt;4.1), $V96), 0.01)"),0.01)</f>
        <v>0.01</v>
      </c>
    </row>
    <row r="97" ht="14.25" customHeight="1">
      <c r="A97" s="14" t="s">
        <v>1583</v>
      </c>
      <c r="B97" s="14" t="s">
        <v>447</v>
      </c>
      <c r="C97" s="14">
        <v>4.0</v>
      </c>
      <c r="D97" s="14" t="s">
        <v>38</v>
      </c>
      <c r="E97" s="14" t="s">
        <v>99</v>
      </c>
      <c r="F97" s="14">
        <v>14.0</v>
      </c>
      <c r="G97" s="14">
        <v>21.0</v>
      </c>
      <c r="H97" s="14">
        <v>13.0</v>
      </c>
      <c r="I97" s="60">
        <v>0.619</v>
      </c>
      <c r="J97" s="14">
        <v>2.0</v>
      </c>
      <c r="K97" s="14">
        <v>0.0</v>
      </c>
      <c r="L97" s="14">
        <v>1.0</v>
      </c>
      <c r="M97" s="14">
        <v>1.0</v>
      </c>
      <c r="N97" s="14">
        <v>198.0</v>
      </c>
      <c r="O97" s="20">
        <v>1.772572</v>
      </c>
      <c r="P97" s="20">
        <v>18.936081993339986</v>
      </c>
      <c r="Q97" s="15"/>
      <c r="R97" s="20">
        <v>1.772572</v>
      </c>
      <c r="U97" s="14">
        <f t="array" ref="U97">XLOOKUP(E97, 'Conference Match'!$A$2:$A$25, 'Conference Match'!$C$2:$C$25)</f>
        <v>1</v>
      </c>
      <c r="V97" s="20">
        <f t="shared" si="5"/>
        <v>0.2658858</v>
      </c>
      <c r="W97" s="20">
        <f t="shared" si="6"/>
        <v>5.655640521</v>
      </c>
      <c r="Y97" s="20">
        <f>IFERROR(__xludf.DUMMYFUNCTION("iferror(PERCENTRANK.INC(FILTER($V$2:$V$425, $T$2:$T$425&lt;3.75), $V97), 1)"),0.479)</f>
        <v>0.479</v>
      </c>
      <c r="Z97" s="20">
        <f>IFERROR(__xludf.DUMMYFUNCTION("iferror(PERCENTRANK.INC(FILTER($V$2:$V$425, $T$2:$T$425&lt;4.5), $V97), 1)"),0.393)</f>
        <v>0.393</v>
      </c>
      <c r="AA97" s="20">
        <f>IFERROR(__xludf.DUMMYFUNCTION("iferror(PERCENTRANK.INC(FILTER($V$2:$V$425, $T$2:$T$425&gt;4.1), $V97), 0.01)"),0.01)</f>
        <v>0.01</v>
      </c>
    </row>
    <row r="98" ht="14.25" customHeight="1">
      <c r="A98" s="14" t="s">
        <v>1584</v>
      </c>
      <c r="B98" s="14" t="s">
        <v>417</v>
      </c>
      <c r="C98" s="14">
        <v>18.0</v>
      </c>
      <c r="D98" s="14" t="s">
        <v>38</v>
      </c>
      <c r="E98" s="14" t="s">
        <v>108</v>
      </c>
      <c r="F98" s="14">
        <v>126.0</v>
      </c>
      <c r="G98" s="14">
        <v>49.0</v>
      </c>
      <c r="H98" s="14">
        <v>22.0</v>
      </c>
      <c r="I98" s="60">
        <v>0.449</v>
      </c>
      <c r="J98" s="14">
        <v>0.0</v>
      </c>
      <c r="K98" s="14">
        <v>1.0</v>
      </c>
      <c r="L98" s="14">
        <v>8.0</v>
      </c>
      <c r="M98" s="14">
        <v>10.0</v>
      </c>
      <c r="N98" s="14">
        <v>278.0</v>
      </c>
      <c r="O98" s="20">
        <v>2.8946119999999995</v>
      </c>
      <c r="P98" s="20">
        <v>55.28240278839549</v>
      </c>
      <c r="Q98" s="15"/>
      <c r="R98" s="20">
        <v>2.8946119999999995</v>
      </c>
      <c r="U98" s="14">
        <f t="array" ref="U98">XLOOKUP(E98, 'Conference Match'!$A$2:$A$25, 'Conference Match'!$C$2:$C$25)</f>
        <v>1</v>
      </c>
      <c r="V98" s="20">
        <f t="shared" si="5"/>
        <v>0.4341918</v>
      </c>
      <c r="W98" s="20">
        <f t="shared" si="6"/>
        <v>9.23566711</v>
      </c>
      <c r="Y98" s="20">
        <f>IFERROR(__xludf.DUMMYFUNCTION("iferror(PERCENTRANK.INC(FILTER($V$2:$V$425, $T$2:$T$425&lt;3.75), $V98), 1)"),0.932)</f>
        <v>0.932</v>
      </c>
      <c r="Z98" s="20">
        <f>IFERROR(__xludf.DUMMYFUNCTION("iferror(PERCENTRANK.INC(FILTER($V$2:$V$425, $T$2:$T$425&lt;4.5), $V98), 1)"),0.764)</f>
        <v>0.764</v>
      </c>
      <c r="AA98" s="20">
        <f>IFERROR(__xludf.DUMMYFUNCTION("iferror(PERCENTRANK.INC(FILTER($V$2:$V$425, $T$2:$T$425&gt;4.1), $V98), 0.01)"),0.01)</f>
        <v>0.01</v>
      </c>
    </row>
    <row r="99" ht="14.25" customHeight="1">
      <c r="A99" s="14" t="s">
        <v>1585</v>
      </c>
      <c r="B99" s="14" t="s">
        <v>417</v>
      </c>
      <c r="C99" s="14">
        <v>3.0</v>
      </c>
      <c r="D99" s="14" t="s">
        <v>38</v>
      </c>
      <c r="E99" s="14" t="s">
        <v>108</v>
      </c>
      <c r="F99" s="14">
        <v>47.0</v>
      </c>
      <c r="G99" s="14">
        <v>12.0</v>
      </c>
      <c r="H99" s="14">
        <v>6.0</v>
      </c>
      <c r="I99" s="60">
        <v>0.5</v>
      </c>
      <c r="J99" s="14">
        <v>0.0</v>
      </c>
      <c r="K99" s="14">
        <v>0.0</v>
      </c>
      <c r="L99" s="14">
        <v>2.0</v>
      </c>
      <c r="M99" s="14">
        <v>2.0</v>
      </c>
      <c r="N99" s="14">
        <v>93.0</v>
      </c>
      <c r="O99" s="20">
        <v>1.5539999999999998</v>
      </c>
      <c r="P99" s="20">
        <v>11.855863793617264</v>
      </c>
      <c r="Q99" s="15"/>
      <c r="R99" s="20">
        <v>1.5539999999999998</v>
      </c>
      <c r="U99" s="14">
        <f t="array" ref="U99">XLOOKUP(E99, 'Conference Match'!$A$2:$A$25, 'Conference Match'!$C$2:$C$25)</f>
        <v>1</v>
      </c>
      <c r="V99" s="20">
        <f t="shared" si="5"/>
        <v>0.2331</v>
      </c>
      <c r="W99" s="20">
        <f t="shared" si="6"/>
        <v>4.958255783</v>
      </c>
      <c r="Y99" s="20">
        <f>IFERROR(__xludf.DUMMYFUNCTION("iferror(PERCENTRANK.INC(FILTER($V$2:$V$425, $T$2:$T$425&lt;3.75), $V99), 1)"),0.315)</f>
        <v>0.315</v>
      </c>
      <c r="Z99" s="20">
        <f>IFERROR(__xludf.DUMMYFUNCTION("iferror(PERCENTRANK.INC(FILTER($V$2:$V$425, $T$2:$T$425&lt;4.5), $V99), 1)"),0.258)</f>
        <v>0.258</v>
      </c>
      <c r="AA99" s="20">
        <f>IFERROR(__xludf.DUMMYFUNCTION("iferror(PERCENTRANK.INC(FILTER($V$2:$V$425, $T$2:$T$425&gt;4.1), $V99), 0.01)"),0.01)</f>
        <v>0.01</v>
      </c>
    </row>
    <row r="100" ht="14.25" customHeight="1">
      <c r="A100" s="14" t="s">
        <v>1586</v>
      </c>
      <c r="B100" s="14" t="s">
        <v>240</v>
      </c>
      <c r="C100" s="14">
        <v>2.0</v>
      </c>
      <c r="D100" s="14" t="s">
        <v>38</v>
      </c>
      <c r="E100" s="14" t="s">
        <v>108</v>
      </c>
      <c r="F100" s="14">
        <v>10.0</v>
      </c>
      <c r="G100" s="14">
        <v>18.0</v>
      </c>
      <c r="H100" s="14">
        <v>11.0</v>
      </c>
      <c r="I100" s="60">
        <v>0.611</v>
      </c>
      <c r="J100" s="14">
        <v>1.0</v>
      </c>
      <c r="K100" s="14">
        <v>1.0</v>
      </c>
      <c r="L100" s="14">
        <v>2.0</v>
      </c>
      <c r="M100" s="14">
        <v>3.0</v>
      </c>
      <c r="N100" s="14">
        <v>135.0</v>
      </c>
      <c r="O100" s="20">
        <v>1.9326679999999998</v>
      </c>
      <c r="P100" s="20">
        <v>24.12208300400378</v>
      </c>
      <c r="Q100" s="15"/>
      <c r="R100" s="20">
        <v>1.9326679999999998</v>
      </c>
      <c r="U100" s="14">
        <f t="array" ref="U100">XLOOKUP(E100, 'Conference Match'!$A$2:$A$25, 'Conference Match'!$C$2:$C$25)</f>
        <v>1</v>
      </c>
      <c r="V100" s="20">
        <f t="shared" si="5"/>
        <v>0.2899002</v>
      </c>
      <c r="W100" s="20">
        <f t="shared" si="6"/>
        <v>6.166449349</v>
      </c>
      <c r="Y100" s="20">
        <f>IFERROR(__xludf.DUMMYFUNCTION("iferror(PERCENTRANK.INC(FILTER($V$2:$V$425, $T$2:$T$425&lt;3.75), $V100), 1)"),0.616)</f>
        <v>0.616</v>
      </c>
      <c r="Z100" s="20">
        <f>IFERROR(__xludf.DUMMYFUNCTION("iferror(PERCENTRANK.INC(FILTER($V$2:$V$425, $T$2:$T$425&lt;4.5), $V100), 1)"),0.506)</f>
        <v>0.506</v>
      </c>
      <c r="AA100" s="20">
        <f>IFERROR(__xludf.DUMMYFUNCTION("iferror(PERCENTRANK.INC(FILTER($V$2:$V$425, $T$2:$T$425&gt;4.1), $V100), 0.01)"),0.01)</f>
        <v>0.01</v>
      </c>
    </row>
    <row r="101" ht="14.25" customHeight="1">
      <c r="A101" s="14" t="s">
        <v>1587</v>
      </c>
      <c r="B101" s="14" t="s">
        <v>240</v>
      </c>
      <c r="C101" s="14">
        <v>6.0</v>
      </c>
      <c r="D101" s="14" t="s">
        <v>38</v>
      </c>
      <c r="E101" s="14" t="s">
        <v>108</v>
      </c>
      <c r="F101" s="14">
        <v>41.0</v>
      </c>
      <c r="G101" s="14">
        <v>9.0</v>
      </c>
      <c r="H101" s="14">
        <v>5.0</v>
      </c>
      <c r="I101" s="60">
        <v>0.556</v>
      </c>
      <c r="J101" s="14">
        <v>0.0</v>
      </c>
      <c r="K101" s="14">
        <v>0.0</v>
      </c>
      <c r="L101" s="14">
        <v>1.0</v>
      </c>
      <c r="M101" s="14">
        <v>1.0</v>
      </c>
      <c r="N101" s="14">
        <v>113.0</v>
      </c>
      <c r="O101" s="20">
        <v>1.3733279999999999</v>
      </c>
      <c r="P101" s="20">
        <v>6.003342964872952</v>
      </c>
      <c r="Q101" s="15"/>
      <c r="R101" s="20">
        <v>1.3733279999999999</v>
      </c>
      <c r="U101" s="14">
        <f t="array" ref="U101">XLOOKUP(E101, 'Conference Match'!$A$2:$A$25, 'Conference Match'!$C$2:$C$25)</f>
        <v>1</v>
      </c>
      <c r="V101" s="20">
        <f t="shared" si="5"/>
        <v>0.2059992</v>
      </c>
      <c r="W101" s="20">
        <f t="shared" si="6"/>
        <v>4.381796331</v>
      </c>
      <c r="Y101" s="20">
        <f>IFERROR(__xludf.DUMMYFUNCTION("iferror(PERCENTRANK.INC(FILTER($V$2:$V$425, $T$2:$T$425&lt;3.75), $V101), 1)"),0.178)</f>
        <v>0.178</v>
      </c>
      <c r="Z101" s="20">
        <f>IFERROR(__xludf.DUMMYFUNCTION("iferror(PERCENTRANK.INC(FILTER($V$2:$V$425, $T$2:$T$425&lt;4.5), $V101), 1)"),0.146)</f>
        <v>0.146</v>
      </c>
      <c r="AA101" s="20">
        <f>IFERROR(__xludf.DUMMYFUNCTION("iferror(PERCENTRANK.INC(FILTER($V$2:$V$425, $T$2:$T$425&gt;4.1), $V101), 0.01)"),0.01)</f>
        <v>0.01</v>
      </c>
    </row>
    <row r="102" ht="14.25" customHeight="1">
      <c r="A102" s="14" t="s">
        <v>1588</v>
      </c>
      <c r="B102" s="14" t="s">
        <v>527</v>
      </c>
      <c r="C102" s="14">
        <v>12.0</v>
      </c>
      <c r="D102" s="14" t="s">
        <v>38</v>
      </c>
      <c r="E102" s="14" t="s">
        <v>132</v>
      </c>
      <c r="F102" s="14">
        <v>1.0</v>
      </c>
      <c r="G102" s="14">
        <v>55.0</v>
      </c>
      <c r="H102" s="14">
        <v>33.0</v>
      </c>
      <c r="I102" s="60">
        <v>0.6</v>
      </c>
      <c r="J102" s="14">
        <v>2.0</v>
      </c>
      <c r="K102" s="14">
        <v>2.0</v>
      </c>
      <c r="L102" s="14">
        <v>4.0</v>
      </c>
      <c r="M102" s="14">
        <v>5.0</v>
      </c>
      <c r="N102" s="14">
        <v>295.0</v>
      </c>
      <c r="O102" s="20">
        <v>2.5927999999999995</v>
      </c>
      <c r="P102" s="20">
        <v>45.50578540238671</v>
      </c>
      <c r="Q102" s="15"/>
      <c r="R102" s="20">
        <v>2.5927999999999995</v>
      </c>
      <c r="U102" s="14">
        <f t="array" ref="U102">XLOOKUP(E102, 'Conference Match'!$A$2:$A$25, 'Conference Match'!$C$2:$C$25)</f>
        <v>0.95</v>
      </c>
      <c r="V102" s="20">
        <f t="shared" si="5"/>
        <v>0.369474</v>
      </c>
      <c r="W102" s="20">
        <f t="shared" si="6"/>
        <v>7.859058761</v>
      </c>
      <c r="Y102" s="20">
        <f>IFERROR(__xludf.DUMMYFUNCTION("iferror(PERCENTRANK.INC(FILTER($V$2:$V$425, $T$2:$T$425&lt;3.75), $V102), 1)"),0.849)</f>
        <v>0.849</v>
      </c>
      <c r="Z102" s="20">
        <f>IFERROR(__xludf.DUMMYFUNCTION("iferror(PERCENTRANK.INC(FILTER($V$2:$V$425, $T$2:$T$425&lt;4.5), $V102), 1)"),0.697)</f>
        <v>0.697</v>
      </c>
      <c r="AA102" s="20">
        <f>IFERROR(__xludf.DUMMYFUNCTION("iferror(PERCENTRANK.INC(FILTER($V$2:$V$425, $T$2:$T$425&gt;4.1), $V102), 0.01)"),0.01)</f>
        <v>0.01</v>
      </c>
    </row>
    <row r="103" ht="14.25" customHeight="1">
      <c r="A103" s="14" t="s">
        <v>1589</v>
      </c>
      <c r="B103" s="14" t="s">
        <v>527</v>
      </c>
      <c r="C103" s="14">
        <v>8.0</v>
      </c>
      <c r="D103" s="14" t="s">
        <v>38</v>
      </c>
      <c r="E103" s="14" t="s">
        <v>132</v>
      </c>
      <c r="F103" s="14">
        <v>93.0</v>
      </c>
      <c r="G103" s="14">
        <v>40.0</v>
      </c>
      <c r="H103" s="14">
        <v>22.0</v>
      </c>
      <c r="I103" s="60">
        <v>0.55</v>
      </c>
      <c r="J103" s="14">
        <v>0.0</v>
      </c>
      <c r="K103" s="14">
        <v>1.0</v>
      </c>
      <c r="L103" s="14">
        <v>4.0</v>
      </c>
      <c r="M103" s="14">
        <v>4.0</v>
      </c>
      <c r="N103" s="14">
        <v>263.0</v>
      </c>
      <c r="O103" s="20">
        <v>2.0134</v>
      </c>
      <c r="P103" s="20">
        <v>26.737240369540142</v>
      </c>
      <c r="Q103" s="15"/>
      <c r="R103" s="20">
        <v>2.0134</v>
      </c>
      <c r="U103" s="14">
        <f t="array" ref="U103">XLOOKUP(E103, 'Conference Match'!$A$2:$A$25, 'Conference Match'!$C$2:$C$25)</f>
        <v>0.95</v>
      </c>
      <c r="V103" s="20">
        <f t="shared" si="5"/>
        <v>0.2869095</v>
      </c>
      <c r="W103" s="20">
        <f t="shared" si="6"/>
        <v>6.102834353</v>
      </c>
      <c r="Y103" s="20">
        <f>IFERROR(__xludf.DUMMYFUNCTION("iferror(PERCENTRANK.INC(FILTER($V$2:$V$425, $T$2:$T$425&lt;3.75), $V103), 1)"),0.589)</f>
        <v>0.589</v>
      </c>
      <c r="Z103" s="20">
        <f>IFERROR(__xludf.DUMMYFUNCTION("iferror(PERCENTRANK.INC(FILTER($V$2:$V$425, $T$2:$T$425&lt;4.5), $V103), 1)"),0.483)</f>
        <v>0.483</v>
      </c>
      <c r="AA103" s="20">
        <f>IFERROR(__xludf.DUMMYFUNCTION("iferror(PERCENTRANK.INC(FILTER($V$2:$V$425, $T$2:$T$425&gt;4.1), $V103), 0.01)"),0.01)</f>
        <v>0.01</v>
      </c>
    </row>
    <row r="104" ht="14.25" customHeight="1">
      <c r="A104" s="14" t="s">
        <v>1590</v>
      </c>
      <c r="B104" s="14" t="s">
        <v>527</v>
      </c>
      <c r="C104" s="14">
        <v>7.0</v>
      </c>
      <c r="D104" s="14" t="s">
        <v>38</v>
      </c>
      <c r="E104" s="14" t="s">
        <v>132</v>
      </c>
      <c r="F104" s="14">
        <v>49.0</v>
      </c>
      <c r="G104" s="14">
        <v>19.0</v>
      </c>
      <c r="H104" s="14">
        <v>11.0</v>
      </c>
      <c r="I104" s="60">
        <v>0.579</v>
      </c>
      <c r="J104" s="14">
        <v>1.0</v>
      </c>
      <c r="K104" s="14">
        <v>0.0</v>
      </c>
      <c r="L104" s="14">
        <v>0.0</v>
      </c>
      <c r="M104" s="14">
        <v>1.0</v>
      </c>
      <c r="N104" s="14">
        <v>106.0</v>
      </c>
      <c r="O104" s="20">
        <v>1.473052</v>
      </c>
      <c r="P104" s="20">
        <v>9.233709524858444</v>
      </c>
      <c r="Q104" s="15"/>
      <c r="R104" s="20">
        <v>1.473052</v>
      </c>
      <c r="T104" s="16">
        <v>4.7</v>
      </c>
      <c r="U104" s="14">
        <f t="array" ref="U104">XLOOKUP(E104, 'Conference Match'!$A$2:$A$25, 'Conference Match'!$C$2:$C$25)</f>
        <v>0.95</v>
      </c>
      <c r="V104" s="20">
        <f t="shared" si="5"/>
        <v>3.49990991</v>
      </c>
      <c r="W104" s="20">
        <f t="shared" si="6"/>
        <v>74.44636873</v>
      </c>
      <c r="Y104" s="20">
        <f>IFERROR(__xludf.DUMMYFUNCTION("iferror(PERCENTRANK.INC(FILTER($V$2:$V$425, $T$2:$T$425&lt;3.75), $V104), 1)"),1.0)</f>
        <v>1</v>
      </c>
      <c r="Z104" s="20">
        <f>IFERROR(__xludf.DUMMYFUNCTION("iferror(PERCENTRANK.INC(FILTER($V$2:$V$425, $T$2:$T$425&lt;4.5), $V104), 1)"),0.982)</f>
        <v>0.982</v>
      </c>
      <c r="AA104" s="20">
        <f>IFERROR(__xludf.DUMMYFUNCTION("iferror(PERCENTRANK.INC(FILTER($V$2:$V$425, $T$2:$T$425&gt;4.1), $V104), 0.01)"),0.364)</f>
        <v>0.364</v>
      </c>
    </row>
    <row r="105" ht="14.25" customHeight="1">
      <c r="A105" s="14" t="s">
        <v>1591</v>
      </c>
      <c r="B105" s="14" t="s">
        <v>527</v>
      </c>
      <c r="C105" s="14">
        <v>13.0</v>
      </c>
      <c r="D105" s="14" t="s">
        <v>38</v>
      </c>
      <c r="E105" s="14" t="s">
        <v>132</v>
      </c>
      <c r="F105" s="14">
        <v>6.0</v>
      </c>
      <c r="G105" s="14">
        <v>4.0</v>
      </c>
      <c r="H105" s="14">
        <v>4.0</v>
      </c>
      <c r="I105" s="61">
        <v>1.0</v>
      </c>
      <c r="J105" s="14">
        <v>0.0</v>
      </c>
      <c r="K105" s="14">
        <v>0.0</v>
      </c>
      <c r="L105" s="14">
        <v>0.0</v>
      </c>
      <c r="M105" s="14">
        <v>0.0</v>
      </c>
      <c r="N105" s="14">
        <v>55.0</v>
      </c>
      <c r="O105" s="20">
        <v>1.188</v>
      </c>
      <c r="P105" s="20">
        <v>0.0</v>
      </c>
      <c r="Q105" s="15"/>
      <c r="R105" s="20">
        <v>1.188</v>
      </c>
      <c r="U105" s="14">
        <f t="array" ref="U105">XLOOKUP(E105, 'Conference Match'!$A$2:$A$25, 'Conference Match'!$C$2:$C$25)</f>
        <v>0.95</v>
      </c>
      <c r="V105" s="20">
        <f t="shared" si="5"/>
        <v>0.16929</v>
      </c>
      <c r="W105" s="20">
        <f t="shared" si="6"/>
        <v>3.600957192</v>
      </c>
      <c r="Y105" s="20">
        <f>IFERROR(__xludf.DUMMYFUNCTION("iferror(PERCENTRANK.INC(FILTER($V$2:$V$425, $T$2:$T$425&lt;3.75), $V105), 1)"),0.014)</f>
        <v>0.014</v>
      </c>
      <c r="Z105" s="20">
        <f>IFERROR(__xludf.DUMMYFUNCTION("iferror(PERCENTRANK.INC(FILTER($V$2:$V$425, $T$2:$T$425&lt;4.5), $V105), 1)"),0.011)</f>
        <v>0.011</v>
      </c>
      <c r="AA105" s="20">
        <f>IFERROR(__xludf.DUMMYFUNCTION("iferror(PERCENTRANK.INC(FILTER($V$2:$V$425, $T$2:$T$425&gt;4.1), $V105), 0.01)"),0.01)</f>
        <v>0.01</v>
      </c>
    </row>
    <row r="106" ht="14.25" customHeight="1">
      <c r="A106" s="17" t="s">
        <v>1592</v>
      </c>
      <c r="B106" s="17" t="s">
        <v>511</v>
      </c>
      <c r="C106" s="18">
        <v>23.0</v>
      </c>
      <c r="D106" s="17" t="s">
        <v>38</v>
      </c>
      <c r="E106" s="17" t="s">
        <v>182</v>
      </c>
      <c r="F106" s="18">
        <v>132.0</v>
      </c>
      <c r="G106" s="18">
        <v>29.0</v>
      </c>
      <c r="H106" s="18">
        <v>15.0</v>
      </c>
      <c r="I106" s="19">
        <v>0.517</v>
      </c>
      <c r="J106" s="18">
        <v>1.0</v>
      </c>
      <c r="K106" s="18">
        <v>0.0</v>
      </c>
      <c r="L106" s="18">
        <v>3.0</v>
      </c>
      <c r="M106" s="18">
        <v>3.0</v>
      </c>
      <c r="N106" s="18">
        <v>259.0</v>
      </c>
      <c r="O106" s="22">
        <v>1.93</v>
      </c>
      <c r="P106" s="22">
        <v>24.16</v>
      </c>
      <c r="Q106" s="15"/>
      <c r="R106" s="38">
        <v>1.93</v>
      </c>
      <c r="S106" s="16">
        <v>0.11</v>
      </c>
      <c r="U106" s="14">
        <f t="array" ref="U106">XLOOKUP(E106, 'Conference Match'!$A$2:$A$25, 'Conference Match'!$C$2:$C$25)</f>
        <v>1</v>
      </c>
      <c r="V106" s="20">
        <f t="shared" si="5"/>
        <v>0.306</v>
      </c>
      <c r="W106" s="20">
        <f t="shared" si="6"/>
        <v>6.508907206</v>
      </c>
      <c r="Y106" s="20">
        <f>IFERROR(__xludf.DUMMYFUNCTION("iferror(PERCENTRANK.INC(FILTER($V$2:$V$425, $T$2:$T$425&lt;3.75), $V106), 1)"),0.671)</f>
        <v>0.671</v>
      </c>
      <c r="Z106" s="20">
        <f>IFERROR(__xludf.DUMMYFUNCTION("iferror(PERCENTRANK.INC(FILTER($V$2:$V$425, $T$2:$T$425&lt;4.5), $V106), 1)"),0.551)</f>
        <v>0.551</v>
      </c>
      <c r="AA106" s="20">
        <f>IFERROR(__xludf.DUMMYFUNCTION("iferror(PERCENTRANK.INC(FILTER($V$2:$V$425, $T$2:$T$425&gt;4.1), $V106), 0.01)"),0.01)</f>
        <v>0.01</v>
      </c>
    </row>
    <row r="107" ht="14.25" customHeight="1">
      <c r="Q107" s="15"/>
      <c r="R107" s="20"/>
      <c r="V107" s="20"/>
      <c r="W107" s="20"/>
      <c r="Y107" s="20">
        <f>IFERROR(__xludf.DUMMYFUNCTION("iferror(PERCENTRANK.INC(FILTER($V$2:$V$425, $T$2:$T$425&lt;3.75), $V107), 1)"),0.0)</f>
        <v>0</v>
      </c>
      <c r="Z107" s="20">
        <f>IFERROR(__xludf.DUMMYFUNCTION("iferror(PERCENTRANK.INC(FILTER($V$2:$V$425, $T$2:$T$425&lt;4.5), $V107), 1)"),0.0)</f>
        <v>0</v>
      </c>
      <c r="AA107" s="20">
        <f>IFERROR(__xludf.DUMMYFUNCTION("iferror(PERCENTRANK.INC(FILTER($V$2:$V$425, $T$2:$T$425&gt;4.1), $V107), 0.01)"),0.01)</f>
        <v>0.01</v>
      </c>
    </row>
    <row r="108" ht="14.25" customHeight="1">
      <c r="A108" s="17" t="s">
        <v>1593</v>
      </c>
      <c r="B108" s="17" t="s">
        <v>415</v>
      </c>
      <c r="C108" s="18">
        <v>24.0</v>
      </c>
      <c r="D108" s="17" t="s">
        <v>38</v>
      </c>
      <c r="E108" s="17" t="s">
        <v>138</v>
      </c>
      <c r="F108" s="18">
        <v>17.0</v>
      </c>
      <c r="G108" s="18">
        <v>10.0</v>
      </c>
      <c r="H108" s="18">
        <v>7.0</v>
      </c>
      <c r="I108" s="19">
        <v>0.7</v>
      </c>
      <c r="J108" s="18">
        <v>0.0</v>
      </c>
      <c r="K108" s="18">
        <v>0.0</v>
      </c>
      <c r="L108" s="18">
        <v>1.0</v>
      </c>
      <c r="M108" s="18">
        <v>1.0</v>
      </c>
      <c r="N108" s="18">
        <v>132.0</v>
      </c>
      <c r="O108" s="22">
        <v>1.37</v>
      </c>
      <c r="P108" s="22">
        <v>5.95</v>
      </c>
      <c r="Q108" s="15"/>
      <c r="R108" s="20"/>
      <c r="T108" s="16">
        <v>3.9</v>
      </c>
      <c r="U108" s="14">
        <f t="array" ref="U108">XLOOKUP(E108, 'Conference Match'!$A$2:$A$25, 'Conference Match'!$C$2:$C$25)</f>
        <v>0.9</v>
      </c>
      <c r="V108" s="20">
        <f>IFERROR(T108*0.7+R108*U108*0.15+S108*0.15, 0)</f>
        <v>2.73</v>
      </c>
      <c r="W108" s="20">
        <f>100*(V108-MIN($V$2:$V$126))/(MAX($V$2:$V$126) - MIN($V$2:$V$126))</f>
        <v>58.06966232</v>
      </c>
      <c r="Y108" s="20">
        <f>IFERROR(__xludf.DUMMYFUNCTION("iferror(PERCENTRANK.INC(FILTER($V$2:$V$425, $T$2:$T$425&lt;3.75), $V108), 1)"),1.0)</f>
        <v>1</v>
      </c>
      <c r="Z108" s="20">
        <f>IFERROR(__xludf.DUMMYFUNCTION("iferror(PERCENTRANK.INC(FILTER($V$2:$V$425, $T$2:$T$425&lt;4.5), $V108), 1)"),0.831)</f>
        <v>0.831</v>
      </c>
      <c r="AA108" s="20">
        <f>IFERROR(__xludf.DUMMYFUNCTION("iferror(PERCENTRANK.INC(FILTER($V$2:$V$425, $T$2:$T$425&gt;4.1), $V108), 0.01)"),0.01)</f>
        <v>0.01</v>
      </c>
    </row>
    <row r="109" ht="14.25" customHeight="1">
      <c r="I109" s="60"/>
      <c r="O109" s="20"/>
      <c r="P109" s="20"/>
      <c r="Q109" s="15"/>
      <c r="R109" s="20"/>
      <c r="V109" s="20"/>
      <c r="W109" s="20"/>
      <c r="Y109" s="20">
        <f>IFERROR(__xludf.DUMMYFUNCTION("iferror(PERCENTRANK.INC(FILTER($V$2:$V$425, $T$2:$T$425&lt;3.75), $V109), 1)"),0.0)</f>
        <v>0</v>
      </c>
      <c r="Z109" s="20">
        <f>IFERROR(__xludf.DUMMYFUNCTION("iferror(PERCENTRANK.INC(FILTER($V$2:$V$425, $T$2:$T$425&lt;4.5), $V109), 1)"),0.0)</f>
        <v>0</v>
      </c>
      <c r="AA109" s="20">
        <f>IFERROR(__xludf.DUMMYFUNCTION("iferror(PERCENTRANK.INC(FILTER($V$2:$V$425, $T$2:$T$425&gt;4.1), $V109), 0.01)"),0.01)</f>
        <v>0.01</v>
      </c>
    </row>
    <row r="110" ht="14.25" customHeight="1">
      <c r="I110" s="60"/>
      <c r="O110" s="20"/>
      <c r="P110" s="20"/>
      <c r="Q110" s="15"/>
      <c r="R110" s="20"/>
      <c r="V110" s="20"/>
      <c r="W110" s="20"/>
      <c r="Y110" s="20">
        <f>IFERROR(__xludf.DUMMYFUNCTION("iferror(PERCENTRANK.INC(FILTER($V$2:$V$425, $T$2:$T$425&lt;3.75), $V110), 1)"),0.0)</f>
        <v>0</v>
      </c>
      <c r="Z110" s="20">
        <f>IFERROR(__xludf.DUMMYFUNCTION("iferror(PERCENTRANK.INC(FILTER($V$2:$V$425, $T$2:$T$425&lt;4.5), $V110), 1)"),0.0)</f>
        <v>0</v>
      </c>
      <c r="AA110" s="20">
        <f>IFERROR(__xludf.DUMMYFUNCTION("iferror(PERCENTRANK.INC(FILTER($V$2:$V$425, $T$2:$T$425&gt;4.1), $V110), 0.01)"),0.01)</f>
        <v>0.01</v>
      </c>
    </row>
    <row r="111" ht="14.25" customHeight="1">
      <c r="I111" s="60"/>
      <c r="O111" s="20"/>
      <c r="P111" s="20"/>
      <c r="Q111" s="15"/>
      <c r="R111" s="20"/>
      <c r="V111" s="20"/>
      <c r="W111" s="20"/>
      <c r="Y111" s="20">
        <f>IFERROR(__xludf.DUMMYFUNCTION("iferror(PERCENTRANK.INC(FILTER($V$2:$V$425, $T$2:$T$425&lt;3.75), $V111), 1)"),0.0)</f>
        <v>0</v>
      </c>
      <c r="Z111" s="20">
        <f>IFERROR(__xludf.DUMMYFUNCTION("iferror(PERCENTRANK.INC(FILTER($V$2:$V$425, $T$2:$T$425&lt;4.5), $V111), 1)"),0.0)</f>
        <v>0</v>
      </c>
      <c r="AA111" s="20">
        <f>IFERROR(__xludf.DUMMYFUNCTION("iferror(PERCENTRANK.INC(FILTER($V$2:$V$425, $T$2:$T$425&gt;4.1), $V111), 0.01)"),0.01)</f>
        <v>0.01</v>
      </c>
    </row>
    <row r="112" ht="14.25" customHeight="1">
      <c r="I112" s="60"/>
      <c r="O112" s="20"/>
      <c r="P112" s="20"/>
      <c r="Q112" s="15"/>
      <c r="R112" s="20"/>
      <c r="V112" s="20"/>
      <c r="W112" s="20"/>
      <c r="Y112" s="20">
        <f>IFERROR(__xludf.DUMMYFUNCTION("iferror(PERCENTRANK.INC(FILTER($V$2:$V$425, $T$2:$T$425&lt;3.75), $V112), 1)"),0.0)</f>
        <v>0</v>
      </c>
      <c r="Z112" s="20">
        <f>IFERROR(__xludf.DUMMYFUNCTION("iferror(PERCENTRANK.INC(FILTER($V$2:$V$425, $T$2:$T$425&lt;4.5), $V112), 1)"),0.0)</f>
        <v>0</v>
      </c>
      <c r="AA112" s="20">
        <f>IFERROR(__xludf.DUMMYFUNCTION("iferror(PERCENTRANK.INC(FILTER($V$2:$V$425, $T$2:$T$425&gt;4.1), $V112), 0.01)"),0.01)</f>
        <v>0.01</v>
      </c>
    </row>
    <row r="113" ht="14.25" customHeight="1">
      <c r="I113" s="60"/>
      <c r="O113" s="20"/>
      <c r="P113" s="20"/>
      <c r="Q113" s="15"/>
      <c r="R113" s="20"/>
      <c r="V113" s="20"/>
      <c r="W113" s="20"/>
      <c r="Y113" s="20">
        <f>IFERROR(__xludf.DUMMYFUNCTION("iferror(PERCENTRANK.INC(FILTER($V$2:$V$425, $T$2:$T$425&lt;3.75), $V113), 1)"),0.0)</f>
        <v>0</v>
      </c>
      <c r="Z113" s="20">
        <f>IFERROR(__xludf.DUMMYFUNCTION("iferror(PERCENTRANK.INC(FILTER($V$2:$V$425, $T$2:$T$425&lt;4.5), $V113), 1)"),0.0)</f>
        <v>0</v>
      </c>
      <c r="AA113" s="20">
        <f>IFERROR(__xludf.DUMMYFUNCTION("iferror(PERCENTRANK.INC(FILTER($V$2:$V$425, $T$2:$T$425&gt;4.1), $V113), 0.01)"),0.01)</f>
        <v>0.01</v>
      </c>
    </row>
    <row r="114" ht="14.25" customHeight="1">
      <c r="I114" s="60"/>
      <c r="O114" s="20"/>
      <c r="P114" s="20"/>
      <c r="Q114" s="15"/>
      <c r="R114" s="20"/>
      <c r="V114" s="20"/>
      <c r="W114" s="20"/>
      <c r="Y114" s="20">
        <f>IFERROR(__xludf.DUMMYFUNCTION("iferror(PERCENTRANK.INC(FILTER($V$2:$V$425, $T$2:$T$425&lt;3.75), $V114), 1)"),0.0)</f>
        <v>0</v>
      </c>
      <c r="Z114" s="20">
        <f>IFERROR(__xludf.DUMMYFUNCTION("iferror(PERCENTRANK.INC(FILTER($V$2:$V$425, $T$2:$T$425&lt;4.5), $V114), 1)"),0.0)</f>
        <v>0</v>
      </c>
      <c r="AA114" s="20">
        <f>IFERROR(__xludf.DUMMYFUNCTION("iferror(PERCENTRANK.INC(FILTER($V$2:$V$425, $T$2:$T$425&gt;4.1), $V114), 0.01)"),0.01)</f>
        <v>0.01</v>
      </c>
    </row>
    <row r="115" ht="14.25" customHeight="1">
      <c r="I115" s="60"/>
      <c r="O115" s="20"/>
      <c r="P115" s="20"/>
      <c r="Q115" s="15"/>
      <c r="R115" s="20"/>
      <c r="V115" s="20"/>
      <c r="W115" s="20"/>
      <c r="Y115" s="20">
        <f>IFERROR(__xludf.DUMMYFUNCTION("iferror(PERCENTRANK.INC(FILTER($V$2:$V$425, $T$2:$T$425&lt;3.75), $V115), 1)"),0.0)</f>
        <v>0</v>
      </c>
      <c r="Z115" s="20">
        <f>IFERROR(__xludf.DUMMYFUNCTION("iferror(PERCENTRANK.INC(FILTER($V$2:$V$425, $T$2:$T$425&lt;4.5), $V115), 1)"),0.0)</f>
        <v>0</v>
      </c>
      <c r="AA115" s="20">
        <f>IFERROR(__xludf.DUMMYFUNCTION("iferror(PERCENTRANK.INC(FILTER($V$2:$V$425, $T$2:$T$425&gt;4.1), $V115), 0.01)"),0.01)</f>
        <v>0.01</v>
      </c>
    </row>
    <row r="116" ht="14.25" customHeight="1">
      <c r="I116" s="60"/>
      <c r="O116" s="20"/>
      <c r="P116" s="20"/>
      <c r="Q116" s="15"/>
      <c r="R116" s="20"/>
      <c r="V116" s="20"/>
      <c r="W116" s="20"/>
      <c r="Y116" s="20">
        <f>IFERROR(__xludf.DUMMYFUNCTION("iferror(PERCENTRANK.INC(FILTER($V$2:$V$425, $T$2:$T$425&lt;3.75), $V116), 1)"),0.0)</f>
        <v>0</v>
      </c>
      <c r="Z116" s="20">
        <f>IFERROR(__xludf.DUMMYFUNCTION("iferror(PERCENTRANK.INC(FILTER($V$2:$V$425, $T$2:$T$425&lt;4.5), $V116), 1)"),0.0)</f>
        <v>0</v>
      </c>
      <c r="AA116" s="20">
        <f>IFERROR(__xludf.DUMMYFUNCTION("iferror(PERCENTRANK.INC(FILTER($V$2:$V$425, $T$2:$T$425&gt;4.1), $V116), 0.01)"),0.01)</f>
        <v>0.01</v>
      </c>
    </row>
    <row r="117" ht="14.25" customHeight="1">
      <c r="I117" s="60"/>
      <c r="O117" s="20"/>
      <c r="P117" s="20"/>
      <c r="Q117" s="15"/>
      <c r="R117" s="20"/>
      <c r="V117" s="20"/>
      <c r="W117" s="20"/>
      <c r="Y117" s="20">
        <f>IFERROR(__xludf.DUMMYFUNCTION("iferror(PERCENTRANK.INC(FILTER($V$2:$V$425, $T$2:$T$425&lt;3.75), $V117), 1)"),0.0)</f>
        <v>0</v>
      </c>
      <c r="Z117" s="20">
        <f>IFERROR(__xludf.DUMMYFUNCTION("iferror(PERCENTRANK.INC(FILTER($V$2:$V$425, $T$2:$T$425&lt;4.5), $V117), 1)"),0.0)</f>
        <v>0</v>
      </c>
      <c r="AA117" s="20">
        <f>IFERROR(__xludf.DUMMYFUNCTION("iferror(PERCENTRANK.INC(FILTER($V$2:$V$425, $T$2:$T$425&gt;4.1), $V117), 0.01)"),0.01)</f>
        <v>0.01</v>
      </c>
    </row>
    <row r="118" ht="14.25" customHeight="1">
      <c r="I118" s="60"/>
      <c r="O118" s="20"/>
      <c r="P118" s="20"/>
      <c r="Q118" s="15"/>
      <c r="R118" s="20"/>
      <c r="V118" s="20"/>
      <c r="W118" s="20"/>
      <c r="Y118" s="20">
        <f>IFERROR(__xludf.DUMMYFUNCTION("iferror(PERCENTRANK.INC(FILTER($V$2:$V$425, $T$2:$T$425&lt;3.75), $V118), 1)"),0.0)</f>
        <v>0</v>
      </c>
      <c r="Z118" s="20">
        <f>IFERROR(__xludf.DUMMYFUNCTION("iferror(PERCENTRANK.INC(FILTER($V$2:$V$425, $T$2:$T$425&lt;4.5), $V118), 1)"),0.0)</f>
        <v>0</v>
      </c>
      <c r="AA118" s="20">
        <f>IFERROR(__xludf.DUMMYFUNCTION("iferror(PERCENTRANK.INC(FILTER($V$2:$V$425, $T$2:$T$425&gt;4.1), $V118), 0.01)"),0.01)</f>
        <v>0.01</v>
      </c>
    </row>
    <row r="119" ht="14.25" customHeight="1">
      <c r="I119" s="60"/>
      <c r="O119" s="20"/>
      <c r="P119" s="20"/>
      <c r="Q119" s="15"/>
      <c r="R119" s="20"/>
      <c r="V119" s="20"/>
      <c r="W119" s="20"/>
      <c r="Y119" s="20">
        <f>IFERROR(__xludf.DUMMYFUNCTION("iferror(PERCENTRANK.INC(FILTER($V$2:$V$425, $T$2:$T$425&lt;3.75), $V119), 1)"),0.0)</f>
        <v>0</v>
      </c>
      <c r="Z119" s="20">
        <f>IFERROR(__xludf.DUMMYFUNCTION("iferror(PERCENTRANK.INC(FILTER($V$2:$V$425, $T$2:$T$425&lt;4.5), $V119), 1)"),0.0)</f>
        <v>0</v>
      </c>
      <c r="AA119" s="20">
        <f>IFERROR(__xludf.DUMMYFUNCTION("iferror(PERCENTRANK.INC(FILTER($V$2:$V$425, $T$2:$T$425&gt;4.1), $V119), 0.01)"),0.01)</f>
        <v>0.01</v>
      </c>
    </row>
    <row r="120" ht="14.25" customHeight="1">
      <c r="I120" s="60"/>
      <c r="O120" s="20"/>
      <c r="P120" s="20"/>
      <c r="Q120" s="15"/>
      <c r="R120" s="20"/>
      <c r="V120" s="20"/>
      <c r="W120" s="20"/>
      <c r="Y120" s="20">
        <f>IFERROR(__xludf.DUMMYFUNCTION("iferror(PERCENTRANK.INC(FILTER($V$2:$V$425, $T$2:$T$425&lt;3.75), $V120), 1)"),0.0)</f>
        <v>0</v>
      </c>
      <c r="Z120" s="20">
        <f>IFERROR(__xludf.DUMMYFUNCTION("iferror(PERCENTRANK.INC(FILTER($V$2:$V$425, $T$2:$T$425&lt;4.5), $V120), 1)"),0.0)</f>
        <v>0</v>
      </c>
      <c r="AA120" s="20">
        <f>IFERROR(__xludf.DUMMYFUNCTION("iferror(PERCENTRANK.INC(FILTER($V$2:$V$425, $T$2:$T$425&gt;4.1), $V120), 0.01)"),0.01)</f>
        <v>0.01</v>
      </c>
    </row>
    <row r="121" ht="14.25" customHeight="1">
      <c r="I121" s="60"/>
      <c r="O121" s="20"/>
      <c r="P121" s="20"/>
      <c r="Q121" s="15"/>
      <c r="R121" s="20"/>
      <c r="V121" s="20"/>
      <c r="W121" s="20"/>
      <c r="Y121" s="20">
        <f>IFERROR(__xludf.DUMMYFUNCTION("iferror(PERCENTRANK.INC(FILTER($V$2:$V$425, $T$2:$T$425&lt;3.75), $V121), 1)"),0.0)</f>
        <v>0</v>
      </c>
      <c r="Z121" s="20">
        <f>IFERROR(__xludf.DUMMYFUNCTION("iferror(PERCENTRANK.INC(FILTER($V$2:$V$425, $T$2:$T$425&lt;4.5), $V121), 1)"),0.0)</f>
        <v>0</v>
      </c>
      <c r="AA121" s="20">
        <f>IFERROR(__xludf.DUMMYFUNCTION("iferror(PERCENTRANK.INC(FILTER($V$2:$V$425, $T$2:$T$425&gt;4.1), $V121), 0.01)"),0.01)</f>
        <v>0.01</v>
      </c>
    </row>
    <row r="122" ht="14.25" customHeight="1">
      <c r="I122" s="60"/>
      <c r="O122" s="20"/>
      <c r="P122" s="20"/>
      <c r="Q122" s="15"/>
      <c r="R122" s="20"/>
      <c r="V122" s="20"/>
      <c r="W122" s="20"/>
      <c r="Y122" s="20">
        <f>IFERROR(__xludf.DUMMYFUNCTION("iferror(PERCENTRANK.INC(FILTER($V$2:$V$425, $T$2:$T$425&lt;3.75), $V122), 1)"),0.0)</f>
        <v>0</v>
      </c>
      <c r="Z122" s="20">
        <f>IFERROR(__xludf.DUMMYFUNCTION("iferror(PERCENTRANK.INC(FILTER($V$2:$V$425, $T$2:$T$425&lt;4.5), $V122), 1)"),0.0)</f>
        <v>0</v>
      </c>
      <c r="AA122" s="20">
        <f>IFERROR(__xludf.DUMMYFUNCTION("iferror(PERCENTRANK.INC(FILTER($V$2:$V$425, $T$2:$T$425&gt;4.1), $V122), 0.01)"),0.01)</f>
        <v>0.01</v>
      </c>
    </row>
    <row r="123" ht="14.25" customHeight="1">
      <c r="I123" s="60"/>
      <c r="O123" s="20"/>
      <c r="P123" s="20"/>
      <c r="Q123" s="15"/>
      <c r="R123" s="20"/>
      <c r="V123" s="20"/>
      <c r="W123" s="20"/>
      <c r="Y123" s="20">
        <f>IFERROR(__xludf.DUMMYFUNCTION("iferror(PERCENTRANK.INC(FILTER($V$2:$V$425, $T$2:$T$425&lt;3.75), $V123), 1)"),0.0)</f>
        <v>0</v>
      </c>
      <c r="Z123" s="20">
        <f>IFERROR(__xludf.DUMMYFUNCTION("iferror(PERCENTRANK.INC(FILTER($V$2:$V$425, $T$2:$T$425&lt;4.5), $V123), 1)"),0.0)</f>
        <v>0</v>
      </c>
      <c r="AA123" s="20">
        <f>IFERROR(__xludf.DUMMYFUNCTION("iferror(PERCENTRANK.INC(FILTER($V$2:$V$425, $T$2:$T$425&gt;4.1), $V123), 0.01)"),0.01)</f>
        <v>0.01</v>
      </c>
    </row>
    <row r="124" ht="14.25" customHeight="1">
      <c r="I124" s="60"/>
      <c r="O124" s="20"/>
      <c r="P124" s="20"/>
      <c r="Q124" s="15"/>
      <c r="R124" s="20"/>
      <c r="V124" s="20"/>
      <c r="W124" s="20"/>
      <c r="Y124" s="20">
        <f>IFERROR(__xludf.DUMMYFUNCTION("iferror(PERCENTRANK.INC(FILTER($V$2:$V$425, $T$2:$T$425&lt;3.75), $V124), 1)"),0.0)</f>
        <v>0</v>
      </c>
      <c r="Z124" s="20">
        <f>IFERROR(__xludf.DUMMYFUNCTION("iferror(PERCENTRANK.INC(FILTER($V$2:$V$425, $T$2:$T$425&lt;4.5), $V124), 1)"),0.0)</f>
        <v>0</v>
      </c>
      <c r="AA124" s="20">
        <f>IFERROR(__xludf.DUMMYFUNCTION("iferror(PERCENTRANK.INC(FILTER($V$2:$V$425, $T$2:$T$425&gt;4.1), $V124), 0.01)"),0.01)</f>
        <v>0.01</v>
      </c>
    </row>
    <row r="125" ht="14.25" customHeight="1">
      <c r="I125" s="60"/>
      <c r="O125" s="20"/>
      <c r="P125" s="20"/>
      <c r="Q125" s="15"/>
      <c r="R125" s="20"/>
      <c r="V125" s="20"/>
      <c r="W125" s="20"/>
      <c r="Y125" s="20">
        <f>IFERROR(__xludf.DUMMYFUNCTION("iferror(PERCENTRANK.INC(FILTER($V$2:$V$425, $T$2:$T$425&lt;3.75), $V125), 1)"),0.0)</f>
        <v>0</v>
      </c>
      <c r="Z125" s="20">
        <f>IFERROR(__xludf.DUMMYFUNCTION("iferror(PERCENTRANK.INC(FILTER($V$2:$V$425, $T$2:$T$425&lt;4.5), $V125), 1)"),0.0)</f>
        <v>0</v>
      </c>
      <c r="AA125" s="20">
        <f>IFERROR(__xludf.DUMMYFUNCTION("iferror(PERCENTRANK.INC(FILTER($V$2:$V$425, $T$2:$T$425&gt;4.1), $V125), 0.01)"),0.01)</f>
        <v>0.01</v>
      </c>
    </row>
    <row r="126" ht="14.25" customHeight="1">
      <c r="I126" s="60"/>
      <c r="O126" s="20"/>
      <c r="P126" s="20"/>
      <c r="Q126" s="15"/>
      <c r="R126" s="20"/>
      <c r="V126" s="20"/>
      <c r="W126" s="20"/>
      <c r="Y126" s="20">
        <f>IFERROR(__xludf.DUMMYFUNCTION("iferror(PERCENTRANK.INC(FILTER($V$2:$V$425, $T$2:$T$425&lt;3.75), $V126), 1)"),0.0)</f>
        <v>0</v>
      </c>
      <c r="Z126" s="20">
        <f>IFERROR(__xludf.DUMMYFUNCTION("iferror(PERCENTRANK.INC(FILTER($V$2:$V$425, $T$2:$T$425&lt;4.5), $V126), 1)"),0.0)</f>
        <v>0</v>
      </c>
      <c r="AA126" s="20">
        <f>IFERROR(__xludf.DUMMYFUNCTION("iferror(PERCENTRANK.INC(FILTER($V$2:$V$425, $T$2:$T$425&gt;4.1), $V126), 0.01)"),0.01)</f>
        <v>0.01</v>
      </c>
    </row>
    <row r="127" ht="14.25" customHeight="1">
      <c r="Q127" s="15"/>
    </row>
    <row r="128" ht="14.25" customHeight="1">
      <c r="Q128" s="15"/>
    </row>
    <row r="129" ht="14.25" customHeight="1">
      <c r="Q129" s="15"/>
    </row>
    <row r="130" ht="14.25" customHeight="1">
      <c r="Q130" s="15"/>
    </row>
    <row r="131" ht="14.25" customHeight="1">
      <c r="Q131" s="15"/>
    </row>
    <row r="132" ht="14.25" customHeight="1">
      <c r="Q132" s="15"/>
    </row>
    <row r="133" ht="14.25" customHeight="1">
      <c r="Q133" s="15"/>
    </row>
    <row r="134" ht="14.25" customHeight="1">
      <c r="Q134" s="15"/>
    </row>
    <row r="135" ht="14.25" customHeight="1">
      <c r="Q135" s="15"/>
    </row>
    <row r="136" ht="14.25" customHeight="1">
      <c r="Q136" s="15"/>
    </row>
    <row r="137" ht="14.25" customHeight="1">
      <c r="Q137" s="15"/>
    </row>
    <row r="138" ht="14.25" customHeight="1">
      <c r="Q138" s="15"/>
    </row>
    <row r="139" ht="14.25" customHeight="1">
      <c r="Q139" s="15"/>
    </row>
    <row r="140" ht="14.25" customHeight="1">
      <c r="Q140" s="15"/>
    </row>
    <row r="141" ht="14.25" customHeight="1">
      <c r="Q141" s="15"/>
    </row>
    <row r="142" ht="14.25" customHeight="1">
      <c r="Q142" s="15"/>
    </row>
    <row r="143" ht="14.25" customHeight="1">
      <c r="Q143" s="15"/>
    </row>
    <row r="144" ht="14.25" customHeight="1">
      <c r="Q144" s="15"/>
    </row>
    <row r="145" ht="14.25" customHeight="1">
      <c r="Q145" s="15"/>
    </row>
    <row r="146" ht="14.25" customHeight="1">
      <c r="Q146" s="15"/>
    </row>
    <row r="147" ht="14.25" customHeight="1">
      <c r="Q147" s="15"/>
    </row>
    <row r="148" ht="14.25" customHeight="1">
      <c r="Q148" s="15"/>
    </row>
    <row r="149" ht="14.25" customHeight="1">
      <c r="Q149" s="15"/>
    </row>
    <row r="150" ht="14.25" customHeight="1">
      <c r="Q150" s="15"/>
    </row>
    <row r="151" ht="14.25" customHeight="1">
      <c r="Q151" s="15"/>
    </row>
    <row r="152" ht="14.25" customHeight="1">
      <c r="Q152" s="15"/>
    </row>
    <row r="153" ht="14.25" customHeight="1">
      <c r="Q153" s="15"/>
    </row>
    <row r="154" ht="14.25" customHeight="1">
      <c r="Q154" s="15"/>
    </row>
    <row r="155" ht="14.25" customHeight="1">
      <c r="Q155" s="15"/>
    </row>
    <row r="156" ht="14.25" customHeight="1">
      <c r="Q156" s="15"/>
    </row>
    <row r="157" ht="14.25" customHeight="1">
      <c r="Q157" s="15"/>
    </row>
    <row r="158" ht="14.25" customHeight="1">
      <c r="Q158" s="15"/>
    </row>
    <row r="159" ht="14.25" customHeight="1">
      <c r="Q159" s="15"/>
    </row>
    <row r="160" ht="14.25" customHeight="1">
      <c r="Q160" s="15"/>
    </row>
    <row r="161" ht="14.25" customHeight="1">
      <c r="Q161" s="15"/>
    </row>
    <row r="162" ht="14.25" customHeight="1">
      <c r="Q162" s="15"/>
    </row>
    <row r="163" ht="14.25" customHeight="1">
      <c r="Q163" s="15"/>
    </row>
    <row r="164" ht="14.25" customHeight="1">
      <c r="Q164" s="15"/>
    </row>
    <row r="165" ht="14.25" customHeight="1">
      <c r="Q165" s="15"/>
    </row>
    <row r="166" ht="14.25" customHeight="1">
      <c r="Q166" s="15"/>
    </row>
    <row r="167" ht="14.25" customHeight="1">
      <c r="Q167" s="15"/>
    </row>
    <row r="168" ht="14.25" customHeight="1">
      <c r="Q168" s="15"/>
    </row>
    <row r="169" ht="14.25" customHeight="1">
      <c r="Q169" s="15"/>
    </row>
    <row r="170" ht="14.25" customHeight="1">
      <c r="Q170" s="15"/>
    </row>
    <row r="171" ht="14.25" customHeight="1">
      <c r="Q171" s="15"/>
    </row>
    <row r="172" ht="14.25" customHeight="1">
      <c r="Q172" s="15"/>
    </row>
    <row r="173" ht="14.25" customHeight="1">
      <c r="Q173" s="15"/>
    </row>
    <row r="174" ht="14.25" customHeight="1">
      <c r="Q174" s="15"/>
    </row>
    <row r="175" ht="14.25" customHeight="1">
      <c r="Q175" s="15"/>
    </row>
    <row r="176" ht="14.25" customHeight="1">
      <c r="Q176" s="15"/>
    </row>
    <row r="177" ht="14.25" customHeight="1">
      <c r="Q177" s="15"/>
    </row>
    <row r="178" ht="14.25" customHeight="1">
      <c r="Q178" s="15"/>
    </row>
    <row r="179" ht="14.25" customHeight="1">
      <c r="Q179" s="15"/>
    </row>
    <row r="180" ht="14.25" customHeight="1">
      <c r="Q180" s="15"/>
    </row>
    <row r="181" ht="14.25" customHeight="1">
      <c r="Q181" s="15"/>
    </row>
    <row r="182" ht="14.25" customHeight="1">
      <c r="Q182" s="15"/>
    </row>
    <row r="183" ht="14.25" customHeight="1">
      <c r="Q183" s="15"/>
    </row>
    <row r="184" ht="14.25" customHeight="1">
      <c r="Q184" s="15"/>
    </row>
    <row r="185" ht="14.25" customHeight="1">
      <c r="Q185" s="15"/>
    </row>
    <row r="186" ht="14.25" customHeight="1">
      <c r="Q186" s="15"/>
    </row>
    <row r="187" ht="14.25" customHeight="1">
      <c r="Q187" s="15"/>
    </row>
    <row r="188" ht="14.25" customHeight="1">
      <c r="Q188" s="15"/>
    </row>
    <row r="189" ht="14.25" customHeight="1">
      <c r="Q189" s="15"/>
    </row>
    <row r="190" ht="14.25" customHeight="1">
      <c r="Q190" s="15"/>
    </row>
    <row r="191" ht="14.25" customHeight="1">
      <c r="Q191" s="15"/>
    </row>
    <row r="192" ht="14.25" customHeight="1">
      <c r="Q192" s="15"/>
    </row>
    <row r="193" ht="14.25" customHeight="1">
      <c r="Q193" s="15"/>
    </row>
    <row r="194" ht="14.25" customHeight="1">
      <c r="Q194" s="15"/>
    </row>
    <row r="195" ht="14.25" customHeight="1">
      <c r="Q195" s="15"/>
    </row>
    <row r="196" ht="14.25" customHeight="1">
      <c r="Q196" s="15"/>
    </row>
    <row r="197" ht="14.25" customHeight="1">
      <c r="Q197" s="15"/>
    </row>
    <row r="198" ht="14.25" customHeight="1">
      <c r="Q198" s="15"/>
    </row>
    <row r="199" ht="14.25" customHeight="1">
      <c r="Q199" s="15"/>
    </row>
    <row r="200" ht="14.25" customHeight="1">
      <c r="Q200" s="15"/>
    </row>
    <row r="201" ht="14.25" customHeight="1">
      <c r="Q201" s="15"/>
    </row>
    <row r="202" ht="14.25" customHeight="1">
      <c r="Q202" s="15"/>
    </row>
    <row r="203" ht="14.25" customHeight="1">
      <c r="Q203" s="15"/>
    </row>
    <row r="204" ht="14.25" customHeight="1">
      <c r="Q204" s="15"/>
    </row>
    <row r="205" ht="14.25" customHeight="1">
      <c r="Q205" s="15"/>
    </row>
    <row r="206" ht="14.25" customHeight="1">
      <c r="Q206" s="15"/>
    </row>
    <row r="207" ht="14.25" customHeight="1">
      <c r="Q207" s="15"/>
    </row>
    <row r="208" ht="14.25" customHeight="1">
      <c r="Q208" s="15"/>
    </row>
    <row r="209" ht="14.25" customHeight="1">
      <c r="Q209" s="15"/>
    </row>
    <row r="210" ht="14.25" customHeight="1">
      <c r="Q210" s="15"/>
    </row>
    <row r="211" ht="14.25" customHeight="1">
      <c r="Q211" s="15"/>
    </row>
    <row r="212" ht="14.25" customHeight="1">
      <c r="Q212" s="15"/>
    </row>
    <row r="213" ht="14.25" customHeight="1">
      <c r="Q213" s="15"/>
    </row>
    <row r="214" ht="14.25" customHeight="1">
      <c r="Q214" s="15"/>
    </row>
    <row r="215" ht="14.25" customHeight="1">
      <c r="Q215" s="15"/>
    </row>
    <row r="216" ht="14.25" customHeight="1">
      <c r="Q216" s="15"/>
    </row>
    <row r="217" ht="14.25" customHeight="1">
      <c r="Q217" s="15"/>
    </row>
    <row r="218" ht="14.25" customHeight="1">
      <c r="Q218" s="15"/>
    </row>
    <row r="219" ht="14.25" customHeight="1">
      <c r="Q219" s="15"/>
    </row>
    <row r="220" ht="14.25" customHeight="1">
      <c r="Q220" s="15"/>
    </row>
    <row r="221" ht="14.25" customHeight="1">
      <c r="Q221" s="15"/>
    </row>
    <row r="222" ht="14.25" customHeight="1">
      <c r="Q222" s="15"/>
    </row>
    <row r="223" ht="14.25" customHeight="1">
      <c r="Q223" s="15"/>
    </row>
    <row r="224" ht="14.25" customHeight="1">
      <c r="Q224" s="15"/>
    </row>
    <row r="225" ht="14.25" customHeight="1">
      <c r="Q225" s="15"/>
    </row>
    <row r="226" ht="14.25" customHeight="1">
      <c r="Q226" s="15"/>
    </row>
    <row r="227" ht="14.25" customHeight="1">
      <c r="Q227" s="15"/>
    </row>
    <row r="228" ht="14.25" customHeight="1">
      <c r="Q228" s="15"/>
    </row>
    <row r="229" ht="14.25" customHeight="1">
      <c r="Q229" s="15"/>
    </row>
    <row r="230" ht="14.25" customHeight="1">
      <c r="Q230" s="15"/>
    </row>
    <row r="231" ht="14.25" customHeight="1">
      <c r="Q231" s="15"/>
    </row>
    <row r="232" ht="14.25" customHeight="1">
      <c r="Q232" s="15"/>
    </row>
    <row r="233" ht="14.25" customHeight="1">
      <c r="Q233" s="15"/>
    </row>
    <row r="234" ht="14.25" customHeight="1">
      <c r="Q234" s="15"/>
    </row>
    <row r="235" ht="14.25" customHeight="1">
      <c r="Q235" s="15"/>
    </row>
    <row r="236" ht="14.25" customHeight="1">
      <c r="Q236" s="15"/>
    </row>
    <row r="237" ht="14.25" customHeight="1">
      <c r="Q237" s="15"/>
    </row>
    <row r="238" ht="14.25" customHeight="1">
      <c r="Q238" s="15"/>
    </row>
    <row r="239" ht="14.25" customHeight="1">
      <c r="Q239" s="15"/>
    </row>
    <row r="240" ht="14.25" customHeight="1">
      <c r="Q240" s="15"/>
    </row>
    <row r="241" ht="14.25" customHeight="1">
      <c r="Q241" s="15"/>
    </row>
    <row r="242" ht="14.25" customHeight="1">
      <c r="Q242" s="15"/>
    </row>
    <row r="243" ht="14.25" customHeight="1">
      <c r="Q243" s="15"/>
    </row>
    <row r="244" ht="14.25" customHeight="1">
      <c r="Q244" s="15"/>
    </row>
    <row r="245" ht="14.25" customHeight="1">
      <c r="Q245" s="15"/>
    </row>
    <row r="246" ht="14.25" customHeight="1">
      <c r="Q246" s="15"/>
    </row>
    <row r="247" ht="14.25" customHeight="1">
      <c r="Q247" s="15"/>
    </row>
    <row r="248" ht="14.25" customHeight="1">
      <c r="Q248" s="15"/>
    </row>
    <row r="249" ht="14.25" customHeight="1">
      <c r="Q249" s="15"/>
    </row>
    <row r="250" ht="14.25" customHeight="1">
      <c r="Q250" s="15"/>
    </row>
    <row r="251" ht="14.25" customHeight="1">
      <c r="Q251" s="15"/>
    </row>
    <row r="252" ht="14.25" customHeight="1">
      <c r="Q252" s="15"/>
    </row>
    <row r="253" ht="14.25" customHeight="1">
      <c r="Q253" s="15"/>
    </row>
    <row r="254" ht="14.25" customHeight="1">
      <c r="Q254" s="15"/>
    </row>
    <row r="255" ht="14.25" customHeight="1">
      <c r="Q255" s="15"/>
    </row>
    <row r="256" ht="14.25" customHeight="1">
      <c r="Q256" s="15"/>
    </row>
    <row r="257" ht="14.25" customHeight="1">
      <c r="Q257" s="15"/>
    </row>
    <row r="258" ht="14.25" customHeight="1">
      <c r="Q258" s="15"/>
    </row>
    <row r="259" ht="14.25" customHeight="1">
      <c r="Q259" s="15"/>
    </row>
    <row r="260" ht="14.25" customHeight="1">
      <c r="Q260" s="15"/>
    </row>
    <row r="261" ht="14.25" customHeight="1">
      <c r="Q261" s="15"/>
    </row>
    <row r="262" ht="14.25" customHeight="1">
      <c r="Q262" s="15"/>
    </row>
    <row r="263" ht="14.25" customHeight="1">
      <c r="Q263" s="15"/>
    </row>
    <row r="264" ht="14.25" customHeight="1">
      <c r="Q264" s="15"/>
    </row>
    <row r="265" ht="14.25" customHeight="1">
      <c r="Q265" s="15"/>
    </row>
    <row r="266" ht="14.25" customHeight="1">
      <c r="Q266" s="15"/>
    </row>
    <row r="267" ht="14.25" customHeight="1">
      <c r="Q267" s="15"/>
    </row>
    <row r="268" ht="14.25" customHeight="1">
      <c r="Q268" s="15"/>
    </row>
    <row r="269" ht="14.25" customHeight="1">
      <c r="Q269" s="15"/>
    </row>
    <row r="270" ht="14.25" customHeight="1">
      <c r="Q270" s="15"/>
    </row>
    <row r="271" ht="14.25" customHeight="1">
      <c r="Q271" s="15"/>
    </row>
    <row r="272" ht="14.25" customHeight="1">
      <c r="Q272" s="15"/>
    </row>
    <row r="273" ht="14.25" customHeight="1">
      <c r="Q273" s="15"/>
    </row>
    <row r="274" ht="14.25" customHeight="1">
      <c r="Q274" s="15"/>
    </row>
    <row r="275" ht="14.25" customHeight="1">
      <c r="Q275" s="15"/>
    </row>
    <row r="276" ht="14.25" customHeight="1">
      <c r="Q276" s="15"/>
    </row>
    <row r="277" ht="14.25" customHeight="1">
      <c r="Q277" s="15"/>
    </row>
    <row r="278" ht="14.25" customHeight="1">
      <c r="Q278" s="15"/>
    </row>
    <row r="279" ht="14.25" customHeight="1">
      <c r="Q279" s="15"/>
    </row>
    <row r="280" ht="14.25" customHeight="1">
      <c r="Q280" s="15"/>
    </row>
    <row r="281" ht="14.25" customHeight="1">
      <c r="Q281" s="15"/>
    </row>
    <row r="282" ht="14.25" customHeight="1">
      <c r="Q282" s="15"/>
    </row>
    <row r="283" ht="14.25" customHeight="1">
      <c r="Q283" s="15"/>
    </row>
    <row r="284" ht="14.25" customHeight="1">
      <c r="Q284" s="15"/>
    </row>
    <row r="285" ht="14.25" customHeight="1">
      <c r="Q285" s="15"/>
    </row>
    <row r="286" ht="14.25" customHeight="1">
      <c r="Q286" s="15"/>
    </row>
    <row r="287" ht="14.25" customHeight="1">
      <c r="Q287" s="15"/>
    </row>
    <row r="288" ht="14.25" customHeight="1">
      <c r="Q288" s="15"/>
    </row>
    <row r="289" ht="14.25" customHeight="1">
      <c r="Q289" s="15"/>
    </row>
    <row r="290" ht="14.25" customHeight="1">
      <c r="Q290" s="15"/>
    </row>
    <row r="291" ht="14.25" customHeight="1">
      <c r="Q291" s="15"/>
    </row>
    <row r="292" ht="14.25" customHeight="1">
      <c r="Q292" s="15"/>
    </row>
    <row r="293" ht="14.25" customHeight="1">
      <c r="Q293" s="15"/>
    </row>
    <row r="294" ht="14.25" customHeight="1">
      <c r="Q294" s="15"/>
    </row>
    <row r="295" ht="14.25" customHeight="1">
      <c r="Q295" s="15"/>
    </row>
    <row r="296" ht="14.25" customHeight="1">
      <c r="Q296" s="15"/>
    </row>
    <row r="297" ht="14.25" customHeight="1">
      <c r="Q297" s="15"/>
    </row>
    <row r="298" ht="14.25" customHeight="1">
      <c r="Q298" s="15"/>
    </row>
    <row r="299" ht="14.25" customHeight="1">
      <c r="Q299" s="15"/>
    </row>
    <row r="300" ht="14.25" customHeight="1">
      <c r="Q300" s="15"/>
    </row>
    <row r="301" ht="14.25" customHeight="1">
      <c r="Q301" s="15"/>
    </row>
    <row r="302" ht="14.25" customHeight="1">
      <c r="Q302" s="15"/>
    </row>
    <row r="303" ht="14.25" customHeight="1">
      <c r="Q303" s="15"/>
    </row>
    <row r="304" ht="14.25" customHeight="1">
      <c r="Q304" s="15"/>
    </row>
    <row r="305" ht="14.25" customHeight="1">
      <c r="Q305" s="15"/>
    </row>
    <row r="306" ht="14.25" customHeight="1">
      <c r="Q306" s="15"/>
    </row>
    <row r="307" ht="14.25" customHeight="1">
      <c r="Q307" s="15"/>
    </row>
    <row r="308" ht="14.25" customHeight="1">
      <c r="Q308" s="15"/>
    </row>
    <row r="309" ht="14.25" customHeight="1">
      <c r="Q309" s="15"/>
    </row>
    <row r="310" ht="14.25" customHeight="1">
      <c r="Q310" s="15"/>
    </row>
    <row r="311" ht="14.25" customHeight="1">
      <c r="Q311" s="15"/>
    </row>
    <row r="312" ht="14.25" customHeight="1">
      <c r="Q312" s="15"/>
    </row>
    <row r="313" ht="14.25" customHeight="1">
      <c r="Q313" s="15"/>
    </row>
    <row r="314" ht="14.25" customHeight="1">
      <c r="Q314" s="15"/>
    </row>
    <row r="315" ht="14.25" customHeight="1">
      <c r="Q315" s="15"/>
    </row>
    <row r="316" ht="14.25" customHeight="1">
      <c r="Q316" s="15"/>
    </row>
    <row r="317" ht="14.25" customHeight="1">
      <c r="Q317" s="15"/>
    </row>
    <row r="318" ht="14.25" customHeight="1">
      <c r="Q318" s="15"/>
    </row>
    <row r="319" ht="14.25" customHeight="1">
      <c r="Q319" s="15"/>
    </row>
    <row r="320" ht="14.25" customHeight="1">
      <c r="Q320" s="15"/>
    </row>
    <row r="321" ht="14.25" customHeight="1">
      <c r="Q321" s="15"/>
    </row>
    <row r="322" ht="14.25" customHeight="1">
      <c r="Q322" s="15"/>
    </row>
    <row r="323" ht="14.25" customHeight="1">
      <c r="Q323" s="15"/>
    </row>
    <row r="324" ht="14.25" customHeight="1">
      <c r="Q324" s="15"/>
    </row>
    <row r="325" ht="14.25" customHeight="1">
      <c r="Q325" s="15"/>
    </row>
    <row r="326" ht="14.25" customHeight="1">
      <c r="Q326" s="15"/>
    </row>
    <row r="327" ht="14.25" customHeight="1">
      <c r="Q327" s="15"/>
    </row>
    <row r="328" ht="14.25" customHeight="1">
      <c r="Q328" s="15"/>
    </row>
    <row r="329" ht="14.25" customHeight="1">
      <c r="Q329" s="15"/>
    </row>
    <row r="330" ht="14.25" customHeight="1">
      <c r="Q330" s="15"/>
    </row>
    <row r="331" ht="14.25" customHeight="1">
      <c r="Q331" s="15"/>
    </row>
    <row r="332" ht="14.25" customHeight="1">
      <c r="Q332" s="15"/>
    </row>
    <row r="333" ht="14.25" customHeight="1">
      <c r="Q333" s="15"/>
    </row>
    <row r="334" ht="14.25" customHeight="1">
      <c r="Q334" s="15"/>
    </row>
    <row r="335" ht="14.25" customHeight="1">
      <c r="Q335" s="15"/>
    </row>
    <row r="336" ht="14.25" customHeight="1">
      <c r="Q336" s="15"/>
    </row>
    <row r="337" ht="14.25" customHeight="1">
      <c r="Q337" s="15"/>
    </row>
    <row r="338" ht="14.25" customHeight="1">
      <c r="Q338" s="15"/>
    </row>
    <row r="339" ht="14.25" customHeight="1">
      <c r="Q339" s="15"/>
    </row>
    <row r="340" ht="14.25" customHeight="1">
      <c r="Q340" s="15"/>
    </row>
    <row r="341" ht="14.25" customHeight="1">
      <c r="Q341" s="15"/>
    </row>
    <row r="342" ht="14.25" customHeight="1">
      <c r="Q342" s="15"/>
    </row>
    <row r="343" ht="14.25" customHeight="1">
      <c r="Q343" s="15"/>
    </row>
    <row r="344" ht="14.25" customHeight="1">
      <c r="Q344" s="15"/>
    </row>
    <row r="345" ht="14.25" customHeight="1">
      <c r="Q345" s="15"/>
    </row>
    <row r="346" ht="14.25" customHeight="1">
      <c r="Q346" s="15"/>
    </row>
    <row r="347" ht="14.25" customHeight="1">
      <c r="Q347" s="15"/>
    </row>
    <row r="348" ht="14.25" customHeight="1">
      <c r="Q348" s="15"/>
    </row>
    <row r="349" ht="14.25" customHeight="1">
      <c r="Q349" s="15"/>
    </row>
    <row r="350" ht="14.25" customHeight="1">
      <c r="Q350" s="15"/>
    </row>
    <row r="351" ht="14.25" customHeight="1">
      <c r="Q351" s="15"/>
    </row>
    <row r="352" ht="14.25" customHeight="1">
      <c r="Q352" s="15"/>
    </row>
    <row r="353" ht="14.25" customHeight="1">
      <c r="Q353" s="15"/>
    </row>
    <row r="354" ht="14.25" customHeight="1">
      <c r="Q354" s="15"/>
    </row>
    <row r="355" ht="14.25" customHeight="1">
      <c r="Q355" s="15"/>
    </row>
    <row r="356" ht="14.25" customHeight="1">
      <c r="Q356" s="15"/>
    </row>
    <row r="357" ht="14.25" customHeight="1">
      <c r="Q357" s="15"/>
    </row>
    <row r="358" ht="14.25" customHeight="1">
      <c r="Q358" s="15"/>
    </row>
    <row r="359" ht="14.25" customHeight="1">
      <c r="Q359" s="15"/>
    </row>
    <row r="360" ht="14.25" customHeight="1">
      <c r="Q360" s="15"/>
    </row>
    <row r="361" ht="14.25" customHeight="1">
      <c r="Q361" s="15"/>
    </row>
    <row r="362" ht="14.25" customHeight="1">
      <c r="Q362" s="15"/>
    </row>
    <row r="363" ht="14.25" customHeight="1">
      <c r="Q363" s="15"/>
    </row>
    <row r="364" ht="14.25" customHeight="1">
      <c r="Q364" s="15"/>
    </row>
    <row r="365" ht="14.25" customHeight="1">
      <c r="Q365" s="15"/>
    </row>
    <row r="366" ht="14.25" customHeight="1">
      <c r="Q366" s="15"/>
    </row>
    <row r="367" ht="14.25" customHeight="1">
      <c r="Q367" s="15"/>
    </row>
    <row r="368" ht="14.25" customHeight="1">
      <c r="Q368" s="15"/>
    </row>
    <row r="369" ht="14.25" customHeight="1">
      <c r="Q369" s="15"/>
    </row>
    <row r="370" ht="14.25" customHeight="1">
      <c r="Q370" s="15"/>
    </row>
    <row r="371" ht="14.25" customHeight="1">
      <c r="Q371" s="15"/>
    </row>
    <row r="372" ht="14.25" customHeight="1">
      <c r="Q372" s="15"/>
    </row>
    <row r="373" ht="14.25" customHeight="1">
      <c r="Q373" s="15"/>
    </row>
    <row r="374" ht="14.25" customHeight="1">
      <c r="Q374" s="15"/>
    </row>
    <row r="375" ht="14.25" customHeight="1">
      <c r="Q375" s="15"/>
    </row>
    <row r="376" ht="14.25" customHeight="1">
      <c r="Q376" s="15"/>
    </row>
    <row r="377" ht="14.25" customHeight="1">
      <c r="Q377" s="15"/>
    </row>
    <row r="378" ht="14.25" customHeight="1">
      <c r="Q378" s="15"/>
    </row>
    <row r="379" ht="14.25" customHeight="1">
      <c r="Q379" s="15"/>
    </row>
    <row r="380" ht="14.25" customHeight="1">
      <c r="Q380" s="15"/>
    </row>
    <row r="381" ht="14.25" customHeight="1">
      <c r="Q381" s="15"/>
    </row>
    <row r="382" ht="14.25" customHeight="1">
      <c r="Q382" s="15"/>
    </row>
    <row r="383" ht="14.25" customHeight="1">
      <c r="Q383" s="15"/>
    </row>
    <row r="384" ht="14.25" customHeight="1">
      <c r="Q384" s="15"/>
    </row>
    <row r="385" ht="14.25" customHeight="1">
      <c r="Q385" s="15"/>
    </row>
    <row r="386" ht="14.25" customHeight="1">
      <c r="Q386" s="15"/>
    </row>
    <row r="387" ht="14.25" customHeight="1">
      <c r="Q387" s="15"/>
    </row>
    <row r="388" ht="14.25" customHeight="1">
      <c r="Q388" s="15"/>
    </row>
    <row r="389" ht="14.25" customHeight="1">
      <c r="Q389" s="15"/>
    </row>
    <row r="390" ht="14.25" customHeight="1">
      <c r="Q390" s="15"/>
    </row>
    <row r="391" ht="14.25" customHeight="1">
      <c r="Q391" s="15"/>
    </row>
    <row r="392" ht="14.25" customHeight="1">
      <c r="Q392" s="15"/>
    </row>
    <row r="393" ht="14.25" customHeight="1">
      <c r="Q393" s="15"/>
    </row>
    <row r="394" ht="14.25" customHeight="1">
      <c r="Q394" s="15"/>
    </row>
    <row r="395" ht="14.25" customHeight="1">
      <c r="Q395" s="15"/>
    </row>
    <row r="396" ht="14.25" customHeight="1">
      <c r="Q396" s="15"/>
    </row>
    <row r="397" ht="14.25" customHeight="1">
      <c r="Q397" s="15"/>
    </row>
    <row r="398" ht="14.25" customHeight="1">
      <c r="Q398" s="15"/>
    </row>
    <row r="399" ht="14.25" customHeight="1">
      <c r="Q399" s="15"/>
    </row>
    <row r="400" ht="14.25" customHeight="1">
      <c r="Q400" s="15"/>
    </row>
    <row r="401" ht="14.25" customHeight="1">
      <c r="Q401" s="15"/>
    </row>
    <row r="402" ht="14.25" customHeight="1">
      <c r="Q402" s="15"/>
    </row>
    <row r="403" ht="14.25" customHeight="1">
      <c r="Q403" s="15"/>
    </row>
    <row r="404" ht="14.25" customHeight="1">
      <c r="Q404" s="15"/>
    </row>
    <row r="405" ht="14.25" customHeight="1">
      <c r="Q405" s="15"/>
    </row>
    <row r="406" ht="14.25" customHeight="1">
      <c r="Q406" s="15"/>
    </row>
    <row r="407" ht="14.25" customHeight="1">
      <c r="Q407" s="15"/>
    </row>
    <row r="408" ht="14.25" customHeight="1">
      <c r="Q408" s="15"/>
    </row>
    <row r="409" ht="14.25" customHeight="1">
      <c r="Q409" s="15"/>
    </row>
    <row r="410" ht="14.25" customHeight="1">
      <c r="Q410" s="15"/>
    </row>
    <row r="411" ht="14.25" customHeight="1">
      <c r="Q411" s="15"/>
    </row>
    <row r="412" ht="14.25" customHeight="1">
      <c r="Q412" s="15"/>
    </row>
    <row r="413" ht="14.25" customHeight="1">
      <c r="Q413" s="15"/>
    </row>
    <row r="414" ht="14.25" customHeight="1">
      <c r="Q414" s="15"/>
    </row>
    <row r="415" ht="14.25" customHeight="1">
      <c r="Q415" s="15"/>
    </row>
    <row r="416" ht="14.25" customHeight="1">
      <c r="Q416" s="15"/>
    </row>
    <row r="417" ht="14.25" customHeight="1">
      <c r="Q417" s="15"/>
    </row>
    <row r="418" ht="14.25" customHeight="1">
      <c r="Q418" s="15"/>
    </row>
    <row r="419" ht="14.25" customHeight="1">
      <c r="Q419" s="15"/>
    </row>
    <row r="420" ht="14.25" customHeight="1">
      <c r="Q420" s="15"/>
    </row>
    <row r="421" ht="14.25" customHeight="1">
      <c r="Q421" s="15"/>
    </row>
    <row r="422" ht="14.25" customHeight="1">
      <c r="Q422" s="15"/>
    </row>
    <row r="423" ht="14.25" customHeight="1">
      <c r="Q423" s="15"/>
    </row>
    <row r="424" ht="14.25" customHeight="1">
      <c r="Q424" s="15"/>
    </row>
    <row r="425" ht="14.25" customHeight="1">
      <c r="Q425" s="15"/>
    </row>
    <row r="426" ht="14.25" customHeight="1">
      <c r="Q426" s="15"/>
    </row>
    <row r="427" ht="14.25" customHeight="1">
      <c r="Q427" s="15"/>
    </row>
    <row r="428" ht="14.25" customHeight="1">
      <c r="Q428" s="15"/>
    </row>
    <row r="429" ht="14.25" customHeight="1">
      <c r="Q429" s="15"/>
    </row>
    <row r="430" ht="14.25" customHeight="1">
      <c r="Q430" s="15"/>
    </row>
    <row r="431" ht="14.25" customHeight="1">
      <c r="Q431" s="15"/>
    </row>
    <row r="432" ht="14.25" customHeight="1">
      <c r="Q432" s="15"/>
    </row>
    <row r="433" ht="14.25" customHeight="1">
      <c r="Q433" s="15"/>
    </row>
    <row r="434" ht="14.25" customHeight="1">
      <c r="Q434" s="15"/>
    </row>
    <row r="435" ht="14.25" customHeight="1">
      <c r="Q435" s="15"/>
    </row>
    <row r="436" ht="14.25" customHeight="1">
      <c r="Q436" s="15"/>
    </row>
    <row r="437" ht="14.25" customHeight="1">
      <c r="Q437" s="15"/>
    </row>
    <row r="438" ht="14.25" customHeight="1">
      <c r="Q438" s="15"/>
    </row>
    <row r="439" ht="14.25" customHeight="1">
      <c r="Q439" s="15"/>
    </row>
    <row r="440" ht="14.25" customHeight="1">
      <c r="Q440" s="15"/>
    </row>
    <row r="441" ht="14.25" customHeight="1">
      <c r="Q441" s="15"/>
    </row>
    <row r="442" ht="14.25" customHeight="1">
      <c r="Q442" s="15"/>
    </row>
    <row r="443" ht="14.25" customHeight="1">
      <c r="Q443" s="15"/>
    </row>
    <row r="444" ht="14.25" customHeight="1">
      <c r="Q444" s="15"/>
    </row>
    <row r="445" ht="14.25" customHeight="1">
      <c r="Q445" s="15"/>
    </row>
    <row r="446" ht="14.25" customHeight="1">
      <c r="Q446" s="15"/>
    </row>
    <row r="447" ht="14.25" customHeight="1">
      <c r="Q447" s="15"/>
    </row>
    <row r="448" ht="14.25" customHeight="1">
      <c r="Q448" s="15"/>
    </row>
    <row r="449" ht="14.25" customHeight="1">
      <c r="Q449" s="15"/>
    </row>
    <row r="450" ht="14.25" customHeight="1">
      <c r="Q450" s="15"/>
    </row>
    <row r="451" ht="14.25" customHeight="1">
      <c r="Q451" s="15"/>
    </row>
    <row r="452" ht="14.25" customHeight="1">
      <c r="Q452" s="15"/>
    </row>
    <row r="453" ht="14.25" customHeight="1">
      <c r="Q453" s="15"/>
    </row>
    <row r="454" ht="14.25" customHeight="1">
      <c r="Q454" s="15"/>
    </row>
    <row r="455" ht="14.25" customHeight="1">
      <c r="Q455" s="15"/>
    </row>
    <row r="456" ht="14.25" customHeight="1">
      <c r="Q456" s="15"/>
    </row>
    <row r="457" ht="14.25" customHeight="1">
      <c r="Q457" s="15"/>
    </row>
    <row r="458" ht="14.25" customHeight="1">
      <c r="Q458" s="15"/>
    </row>
    <row r="459" ht="14.25" customHeight="1">
      <c r="Q459" s="15"/>
    </row>
    <row r="460" ht="14.25" customHeight="1">
      <c r="Q460" s="15"/>
    </row>
    <row r="461" ht="14.25" customHeight="1">
      <c r="Q461" s="15"/>
    </row>
    <row r="462" ht="14.25" customHeight="1">
      <c r="Q462" s="15"/>
    </row>
    <row r="463" ht="14.25" customHeight="1">
      <c r="Q463" s="15"/>
    </row>
    <row r="464" ht="14.25" customHeight="1">
      <c r="Q464" s="15"/>
    </row>
    <row r="465" ht="14.25" customHeight="1">
      <c r="Q465" s="15"/>
    </row>
    <row r="466" ht="14.25" customHeight="1">
      <c r="Q466" s="15"/>
    </row>
    <row r="467" ht="14.25" customHeight="1">
      <c r="Q467" s="15"/>
    </row>
    <row r="468" ht="14.25" customHeight="1">
      <c r="Q468" s="15"/>
    </row>
    <row r="469" ht="14.25" customHeight="1">
      <c r="Q469" s="15"/>
    </row>
    <row r="470" ht="14.25" customHeight="1">
      <c r="Q470" s="15"/>
    </row>
    <row r="471" ht="14.25" customHeight="1">
      <c r="Q471" s="15"/>
    </row>
    <row r="472" ht="14.25" customHeight="1">
      <c r="Q472" s="15"/>
    </row>
    <row r="473" ht="14.25" customHeight="1">
      <c r="Q473" s="15"/>
    </row>
    <row r="474" ht="14.25" customHeight="1">
      <c r="Q474" s="15"/>
    </row>
    <row r="475" ht="14.25" customHeight="1">
      <c r="Q475" s="15"/>
    </row>
    <row r="476" ht="14.25" customHeight="1">
      <c r="Q476" s="15"/>
    </row>
    <row r="477" ht="14.25" customHeight="1">
      <c r="Q477" s="15"/>
    </row>
    <row r="478" ht="14.25" customHeight="1">
      <c r="Q478" s="15"/>
    </row>
    <row r="479" ht="14.25" customHeight="1">
      <c r="Q479" s="15"/>
    </row>
    <row r="480" ht="14.25" customHeight="1">
      <c r="Q480" s="15"/>
    </row>
    <row r="481" ht="14.25" customHeight="1">
      <c r="Q481" s="15"/>
    </row>
    <row r="482" ht="14.25" customHeight="1">
      <c r="Q482" s="15"/>
    </row>
    <row r="483" ht="14.25" customHeight="1">
      <c r="Q483" s="15"/>
    </row>
    <row r="484" ht="14.25" customHeight="1">
      <c r="Q484" s="15"/>
    </row>
    <row r="485" ht="14.25" customHeight="1">
      <c r="Q485" s="15"/>
    </row>
    <row r="486" ht="14.25" customHeight="1">
      <c r="Q486" s="15"/>
    </row>
    <row r="487" ht="14.25" customHeight="1">
      <c r="Q487" s="15"/>
    </row>
    <row r="488" ht="14.25" customHeight="1">
      <c r="Q488" s="15"/>
    </row>
    <row r="489" ht="14.25" customHeight="1">
      <c r="Q489" s="15"/>
    </row>
    <row r="490" ht="14.25" customHeight="1">
      <c r="Q490" s="15"/>
    </row>
    <row r="491" ht="14.25" customHeight="1">
      <c r="Q491" s="15"/>
    </row>
    <row r="492" ht="14.25" customHeight="1">
      <c r="Q492" s="15"/>
    </row>
    <row r="493" ht="14.25" customHeight="1">
      <c r="Q493" s="15"/>
    </row>
    <row r="494" ht="14.25" customHeight="1">
      <c r="Q494" s="15"/>
    </row>
    <row r="495" ht="14.25" customHeight="1">
      <c r="Q495" s="15"/>
    </row>
    <row r="496" ht="14.25" customHeight="1">
      <c r="Q496" s="15"/>
    </row>
    <row r="497" ht="14.25" customHeight="1">
      <c r="Q497" s="15"/>
    </row>
    <row r="498" ht="14.25" customHeight="1">
      <c r="Q498" s="15"/>
    </row>
    <row r="499" ht="14.25" customHeight="1">
      <c r="Q499" s="15"/>
    </row>
    <row r="500" ht="14.25" customHeight="1">
      <c r="Q500" s="15"/>
    </row>
    <row r="501" ht="14.25" customHeight="1">
      <c r="Q501" s="15"/>
    </row>
    <row r="502" ht="14.25" customHeight="1">
      <c r="Q502" s="15"/>
    </row>
    <row r="503" ht="14.25" customHeight="1">
      <c r="Q503" s="15"/>
    </row>
    <row r="504" ht="14.25" customHeight="1">
      <c r="Q504" s="15"/>
    </row>
    <row r="505" ht="14.25" customHeight="1">
      <c r="Q505" s="15"/>
    </row>
    <row r="506" ht="14.25" customHeight="1">
      <c r="Q506" s="15"/>
    </row>
    <row r="507" ht="14.25" customHeight="1">
      <c r="Q507" s="15"/>
    </row>
    <row r="508" ht="14.25" customHeight="1">
      <c r="Q508" s="15"/>
    </row>
    <row r="509" ht="14.25" customHeight="1">
      <c r="Q509" s="15"/>
    </row>
    <row r="510" ht="14.25" customHeight="1">
      <c r="Q510" s="15"/>
    </row>
    <row r="511" ht="14.25" customHeight="1">
      <c r="Q511" s="15"/>
    </row>
    <row r="512" ht="14.25" customHeight="1">
      <c r="Q512" s="15"/>
    </row>
    <row r="513" ht="14.25" customHeight="1">
      <c r="Q513" s="15"/>
    </row>
    <row r="514" ht="14.25" customHeight="1">
      <c r="Q514" s="15"/>
    </row>
    <row r="515" ht="14.25" customHeight="1">
      <c r="Q515" s="15"/>
    </row>
    <row r="516" ht="14.25" customHeight="1">
      <c r="Q516" s="15"/>
    </row>
    <row r="517" ht="14.25" customHeight="1">
      <c r="Q517" s="15"/>
    </row>
    <row r="518" ht="14.25" customHeight="1">
      <c r="Q518" s="15"/>
    </row>
    <row r="519" ht="14.25" customHeight="1">
      <c r="Q519" s="15"/>
    </row>
    <row r="520" ht="14.25" customHeight="1">
      <c r="Q520" s="15"/>
    </row>
    <row r="521" ht="14.25" customHeight="1">
      <c r="Q521" s="15"/>
    </row>
    <row r="522" ht="14.25" customHeight="1">
      <c r="Q522" s="15"/>
    </row>
    <row r="523" ht="14.25" customHeight="1">
      <c r="Q523" s="15"/>
    </row>
    <row r="524" ht="14.25" customHeight="1">
      <c r="Q524" s="15"/>
    </row>
    <row r="525" ht="14.25" customHeight="1">
      <c r="Q525" s="15"/>
    </row>
    <row r="526" ht="14.25" customHeight="1">
      <c r="Q526" s="15"/>
    </row>
    <row r="527" ht="14.25" customHeight="1">
      <c r="Q527" s="15"/>
    </row>
    <row r="528" ht="14.25" customHeight="1">
      <c r="Q528" s="15"/>
    </row>
    <row r="529" ht="14.25" customHeight="1">
      <c r="Q529" s="15"/>
    </row>
    <row r="530" ht="14.25" customHeight="1">
      <c r="Q530" s="15"/>
    </row>
    <row r="531" ht="14.25" customHeight="1">
      <c r="Q531" s="15"/>
    </row>
    <row r="532" ht="14.25" customHeight="1">
      <c r="Q532" s="15"/>
    </row>
    <row r="533" ht="14.25" customHeight="1">
      <c r="Q533" s="15"/>
    </row>
    <row r="534" ht="14.25" customHeight="1">
      <c r="Q534" s="15"/>
    </row>
    <row r="535" ht="14.25" customHeight="1">
      <c r="Q535" s="15"/>
    </row>
    <row r="536" ht="14.25" customHeight="1">
      <c r="Q536" s="15"/>
    </row>
    <row r="537" ht="14.25" customHeight="1">
      <c r="Q537" s="15"/>
    </row>
    <row r="538" ht="14.25" customHeight="1">
      <c r="Q538" s="15"/>
    </row>
    <row r="539" ht="14.25" customHeight="1">
      <c r="Q539" s="15"/>
    </row>
    <row r="540" ht="14.25" customHeight="1">
      <c r="Q540" s="15"/>
    </row>
    <row r="541" ht="14.25" customHeight="1">
      <c r="Q541" s="15"/>
    </row>
    <row r="542" ht="14.25" customHeight="1">
      <c r="Q542" s="15"/>
    </row>
    <row r="543" ht="14.25" customHeight="1">
      <c r="Q543" s="15"/>
    </row>
    <row r="544" ht="14.25" customHeight="1">
      <c r="Q544" s="15"/>
    </row>
    <row r="545" ht="14.25" customHeight="1">
      <c r="Q545" s="15"/>
    </row>
    <row r="546" ht="14.25" customHeight="1">
      <c r="Q546" s="15"/>
    </row>
    <row r="547" ht="14.25" customHeight="1">
      <c r="Q547" s="15"/>
    </row>
    <row r="548" ht="14.25" customHeight="1">
      <c r="Q548" s="15"/>
    </row>
    <row r="549" ht="14.25" customHeight="1">
      <c r="Q549" s="15"/>
    </row>
    <row r="550" ht="14.25" customHeight="1">
      <c r="Q550" s="15"/>
    </row>
    <row r="551" ht="14.25" customHeight="1">
      <c r="Q551" s="15"/>
    </row>
    <row r="552" ht="14.25" customHeight="1">
      <c r="Q552" s="15"/>
    </row>
    <row r="553" ht="14.25" customHeight="1">
      <c r="Q553" s="15"/>
    </row>
    <row r="554" ht="14.25" customHeight="1">
      <c r="Q554" s="15"/>
    </row>
    <row r="555" ht="14.25" customHeight="1">
      <c r="Q555" s="15"/>
    </row>
    <row r="556" ht="14.25" customHeight="1">
      <c r="Q556" s="15"/>
    </row>
    <row r="557" ht="14.25" customHeight="1">
      <c r="Q557" s="15"/>
    </row>
    <row r="558" ht="14.25" customHeight="1">
      <c r="Q558" s="15"/>
    </row>
    <row r="559" ht="14.25" customHeight="1">
      <c r="Q559" s="15"/>
    </row>
    <row r="560" ht="14.25" customHeight="1">
      <c r="Q560" s="15"/>
    </row>
    <row r="561" ht="14.25" customHeight="1">
      <c r="Q561" s="15"/>
    </row>
    <row r="562" ht="14.25" customHeight="1">
      <c r="Q562" s="15"/>
    </row>
    <row r="563" ht="14.25" customHeight="1">
      <c r="Q563" s="15"/>
    </row>
    <row r="564" ht="14.25" customHeight="1">
      <c r="Q564" s="15"/>
    </row>
    <row r="565" ht="14.25" customHeight="1">
      <c r="Q565" s="15"/>
    </row>
    <row r="566" ht="14.25" customHeight="1">
      <c r="Q566" s="15"/>
    </row>
    <row r="567" ht="14.25" customHeight="1">
      <c r="Q567" s="15"/>
    </row>
    <row r="568" ht="14.25" customHeight="1">
      <c r="Q568" s="15"/>
    </row>
    <row r="569" ht="14.25" customHeight="1">
      <c r="Q569" s="15"/>
    </row>
    <row r="570" ht="14.25" customHeight="1">
      <c r="Q570" s="15"/>
    </row>
    <row r="571" ht="14.25" customHeight="1">
      <c r="Q571" s="15"/>
    </row>
    <row r="572" ht="14.25" customHeight="1">
      <c r="Q572" s="15"/>
    </row>
    <row r="573" ht="14.25" customHeight="1">
      <c r="Q573" s="15"/>
    </row>
    <row r="574" ht="14.25" customHeight="1">
      <c r="Q574" s="15"/>
    </row>
    <row r="575" ht="14.25" customHeight="1">
      <c r="Q575" s="15"/>
    </row>
    <row r="576" ht="14.25" customHeight="1">
      <c r="Q576" s="15"/>
    </row>
    <row r="577" ht="14.25" customHeight="1">
      <c r="Q577" s="15"/>
    </row>
    <row r="578" ht="14.25" customHeight="1">
      <c r="Q578" s="15"/>
    </row>
    <row r="579" ht="14.25" customHeight="1">
      <c r="Q579" s="15"/>
    </row>
    <row r="580" ht="14.25" customHeight="1">
      <c r="Q580" s="15"/>
    </row>
    <row r="581" ht="14.25" customHeight="1">
      <c r="Q581" s="15"/>
    </row>
    <row r="582" ht="14.25" customHeight="1">
      <c r="Q582" s="15"/>
    </row>
    <row r="583" ht="14.25" customHeight="1">
      <c r="Q583" s="15"/>
    </row>
    <row r="584" ht="14.25" customHeight="1">
      <c r="Q584" s="15"/>
    </row>
    <row r="585" ht="14.25" customHeight="1">
      <c r="Q585" s="15"/>
    </row>
    <row r="586" ht="14.25" customHeight="1">
      <c r="Q586" s="15"/>
    </row>
    <row r="587" ht="14.25" customHeight="1">
      <c r="Q587" s="15"/>
    </row>
    <row r="588" ht="14.25" customHeight="1">
      <c r="Q588" s="15"/>
    </row>
    <row r="589" ht="14.25" customHeight="1">
      <c r="Q589" s="15"/>
    </row>
    <row r="590" ht="14.25" customHeight="1">
      <c r="Q590" s="15"/>
    </row>
    <row r="591" ht="14.25" customHeight="1">
      <c r="Q591" s="15"/>
    </row>
    <row r="592" ht="14.25" customHeight="1">
      <c r="Q592" s="15"/>
    </row>
    <row r="593" ht="14.25" customHeight="1">
      <c r="Q593" s="15"/>
    </row>
    <row r="594" ht="14.25" customHeight="1">
      <c r="Q594" s="15"/>
    </row>
    <row r="595" ht="14.25" customHeight="1">
      <c r="Q595" s="15"/>
    </row>
    <row r="596" ht="14.25" customHeight="1">
      <c r="Q596" s="15"/>
    </row>
    <row r="597" ht="14.25" customHeight="1">
      <c r="Q597" s="15"/>
    </row>
    <row r="598" ht="14.25" customHeight="1">
      <c r="Q598" s="15"/>
    </row>
    <row r="599" ht="14.25" customHeight="1">
      <c r="Q599" s="15"/>
    </row>
    <row r="600" ht="14.25" customHeight="1">
      <c r="Q600" s="15"/>
    </row>
    <row r="601" ht="14.25" customHeight="1">
      <c r="Q601" s="15"/>
    </row>
    <row r="602" ht="14.25" customHeight="1">
      <c r="Q602" s="15"/>
    </row>
    <row r="603" ht="14.25" customHeight="1">
      <c r="Q603" s="15"/>
    </row>
    <row r="604" ht="14.25" customHeight="1">
      <c r="Q604" s="15"/>
    </row>
    <row r="605" ht="14.25" customHeight="1">
      <c r="Q605" s="15"/>
    </row>
    <row r="606" ht="14.25" customHeight="1">
      <c r="Q606" s="15"/>
    </row>
    <row r="607" ht="14.25" customHeight="1">
      <c r="Q607" s="15"/>
    </row>
    <row r="608" ht="14.25" customHeight="1">
      <c r="Q608" s="15"/>
    </row>
    <row r="609" ht="14.25" customHeight="1">
      <c r="Q609" s="15"/>
    </row>
    <row r="610" ht="14.25" customHeight="1">
      <c r="Q610" s="15"/>
    </row>
    <row r="611" ht="14.25" customHeight="1">
      <c r="Q611" s="15"/>
    </row>
    <row r="612" ht="14.25" customHeight="1">
      <c r="Q612" s="15"/>
    </row>
    <row r="613" ht="14.25" customHeight="1">
      <c r="Q613" s="15"/>
    </row>
    <row r="614" ht="14.25" customHeight="1">
      <c r="Q614" s="15"/>
    </row>
    <row r="615" ht="14.25" customHeight="1">
      <c r="Q615" s="15"/>
    </row>
    <row r="616" ht="14.25" customHeight="1">
      <c r="Q616" s="15"/>
    </row>
    <row r="617" ht="14.25" customHeight="1">
      <c r="Q617" s="15"/>
    </row>
    <row r="618" ht="14.25" customHeight="1">
      <c r="Q618" s="15"/>
    </row>
    <row r="619" ht="14.25" customHeight="1">
      <c r="Q619" s="15"/>
    </row>
    <row r="620" ht="14.25" customHeight="1">
      <c r="Q620" s="15"/>
    </row>
    <row r="621" ht="14.25" customHeight="1">
      <c r="Q621" s="15"/>
    </row>
    <row r="622" ht="14.25" customHeight="1">
      <c r="Q622" s="15"/>
    </row>
    <row r="623" ht="14.25" customHeight="1">
      <c r="Q623" s="15"/>
    </row>
    <row r="624" ht="14.25" customHeight="1">
      <c r="Q624" s="15"/>
    </row>
    <row r="625" ht="14.25" customHeight="1">
      <c r="Q625" s="15"/>
    </row>
    <row r="626" ht="14.25" customHeight="1">
      <c r="Q626" s="15"/>
    </row>
    <row r="627" ht="14.25" customHeight="1">
      <c r="Q627" s="15"/>
    </row>
    <row r="628" ht="14.25" customHeight="1">
      <c r="Q628" s="15"/>
    </row>
    <row r="629" ht="14.25" customHeight="1">
      <c r="Q629" s="15"/>
    </row>
    <row r="630" ht="14.25" customHeight="1">
      <c r="Q630" s="15"/>
    </row>
    <row r="631" ht="14.25" customHeight="1">
      <c r="Q631" s="15"/>
    </row>
    <row r="632" ht="14.25" customHeight="1">
      <c r="Q632" s="15"/>
    </row>
    <row r="633" ht="14.25" customHeight="1">
      <c r="Q633" s="15"/>
    </row>
    <row r="634" ht="14.25" customHeight="1">
      <c r="Q634" s="15"/>
    </row>
    <row r="635" ht="14.25" customHeight="1">
      <c r="Q635" s="15"/>
    </row>
    <row r="636" ht="14.25" customHeight="1">
      <c r="Q636" s="15"/>
    </row>
    <row r="637" ht="14.25" customHeight="1">
      <c r="Q637" s="15"/>
    </row>
    <row r="638" ht="14.25" customHeight="1">
      <c r="Q638" s="15"/>
    </row>
    <row r="639" ht="14.25" customHeight="1">
      <c r="Q639" s="15"/>
    </row>
    <row r="640" ht="14.25" customHeight="1">
      <c r="Q640" s="15"/>
    </row>
    <row r="641" ht="14.25" customHeight="1">
      <c r="Q641" s="15"/>
    </row>
    <row r="642" ht="14.25" customHeight="1">
      <c r="Q642" s="15"/>
    </row>
    <row r="643" ht="14.25" customHeight="1">
      <c r="Q643" s="15"/>
    </row>
    <row r="644" ht="14.25" customHeight="1">
      <c r="Q644" s="15"/>
    </row>
    <row r="645" ht="14.25" customHeight="1">
      <c r="Q645" s="15"/>
    </row>
    <row r="646" ht="14.25" customHeight="1">
      <c r="Q646" s="15"/>
    </row>
    <row r="647" ht="14.25" customHeight="1">
      <c r="Q647" s="15"/>
    </row>
    <row r="648" ht="14.25" customHeight="1">
      <c r="Q648" s="15"/>
    </row>
    <row r="649" ht="14.25" customHeight="1">
      <c r="Q649" s="15"/>
    </row>
    <row r="650" ht="14.25" customHeight="1">
      <c r="Q650" s="15"/>
    </row>
    <row r="651" ht="14.25" customHeight="1">
      <c r="Q651" s="15"/>
    </row>
    <row r="652" ht="14.25" customHeight="1">
      <c r="Q652" s="15"/>
    </row>
    <row r="653" ht="14.25" customHeight="1">
      <c r="Q653" s="15"/>
    </row>
    <row r="654" ht="14.25" customHeight="1">
      <c r="Q654" s="15"/>
    </row>
    <row r="655" ht="14.25" customHeight="1">
      <c r="Q655" s="15"/>
    </row>
    <row r="656" ht="14.25" customHeight="1">
      <c r="Q656" s="15"/>
    </row>
    <row r="657" ht="14.25" customHeight="1">
      <c r="Q657" s="15"/>
    </row>
    <row r="658" ht="14.25" customHeight="1">
      <c r="Q658" s="15"/>
    </row>
    <row r="659" ht="14.25" customHeight="1">
      <c r="Q659" s="15"/>
    </row>
    <row r="660" ht="14.25" customHeight="1">
      <c r="Q660" s="15"/>
    </row>
    <row r="661" ht="14.25" customHeight="1">
      <c r="Q661" s="15"/>
    </row>
    <row r="662" ht="14.25" customHeight="1">
      <c r="Q662" s="15"/>
    </row>
    <row r="663" ht="14.25" customHeight="1">
      <c r="Q663" s="15"/>
    </row>
    <row r="664" ht="14.25" customHeight="1">
      <c r="Q664" s="15"/>
    </row>
    <row r="665" ht="14.25" customHeight="1">
      <c r="Q665" s="15"/>
    </row>
    <row r="666" ht="14.25" customHeight="1">
      <c r="Q666" s="15"/>
    </row>
    <row r="667" ht="14.25" customHeight="1">
      <c r="Q667" s="15"/>
    </row>
    <row r="668" ht="14.25" customHeight="1">
      <c r="Q668" s="15"/>
    </row>
    <row r="669" ht="14.25" customHeight="1">
      <c r="Q669" s="15"/>
    </row>
    <row r="670" ht="14.25" customHeight="1">
      <c r="Q670" s="15"/>
    </row>
    <row r="671" ht="14.25" customHeight="1">
      <c r="Q671" s="15"/>
    </row>
    <row r="672" ht="14.25" customHeight="1">
      <c r="Q672" s="15"/>
    </row>
    <row r="673" ht="14.25" customHeight="1">
      <c r="Q673" s="15"/>
    </row>
    <row r="674" ht="14.25" customHeight="1">
      <c r="Q674" s="15"/>
    </row>
    <row r="675" ht="14.25" customHeight="1">
      <c r="Q675" s="15"/>
    </row>
    <row r="676" ht="14.25" customHeight="1">
      <c r="Q676" s="15"/>
    </row>
    <row r="677" ht="14.25" customHeight="1">
      <c r="Q677" s="15"/>
    </row>
    <row r="678" ht="14.25" customHeight="1">
      <c r="Q678" s="15"/>
    </row>
    <row r="679" ht="14.25" customHeight="1">
      <c r="Q679" s="15"/>
    </row>
    <row r="680" ht="14.25" customHeight="1">
      <c r="Q680" s="15"/>
    </row>
    <row r="681" ht="14.25" customHeight="1">
      <c r="Q681" s="15"/>
    </row>
    <row r="682" ht="14.25" customHeight="1">
      <c r="Q682" s="15"/>
    </row>
    <row r="683" ht="14.25" customHeight="1">
      <c r="Q683" s="15"/>
    </row>
    <row r="684" ht="14.25" customHeight="1">
      <c r="Q684" s="15"/>
    </row>
    <row r="685" ht="14.25" customHeight="1">
      <c r="Q685" s="15"/>
    </row>
    <row r="686" ht="14.25" customHeight="1">
      <c r="Q686" s="15"/>
    </row>
    <row r="687" ht="14.25" customHeight="1">
      <c r="Q687" s="15"/>
    </row>
    <row r="688" ht="14.25" customHeight="1">
      <c r="Q688" s="15"/>
    </row>
    <row r="689" ht="14.25" customHeight="1">
      <c r="Q689" s="15"/>
    </row>
    <row r="690" ht="14.25" customHeight="1">
      <c r="Q690" s="15"/>
    </row>
    <row r="691" ht="14.25" customHeight="1">
      <c r="Q691" s="15"/>
    </row>
    <row r="692" ht="14.25" customHeight="1">
      <c r="Q692" s="15"/>
    </row>
    <row r="693" ht="14.25" customHeight="1">
      <c r="Q693" s="15"/>
    </row>
    <row r="694" ht="14.25" customHeight="1">
      <c r="Q694" s="15"/>
    </row>
    <row r="695" ht="14.25" customHeight="1">
      <c r="Q695" s="15"/>
    </row>
    <row r="696" ht="14.25" customHeight="1">
      <c r="Q696" s="15"/>
    </row>
    <row r="697" ht="14.25" customHeight="1">
      <c r="Q697" s="15"/>
    </row>
    <row r="698" ht="14.25" customHeight="1">
      <c r="Q698" s="15"/>
    </row>
    <row r="699" ht="14.25" customHeight="1">
      <c r="Q699" s="15"/>
    </row>
    <row r="700" ht="14.25" customHeight="1">
      <c r="Q700" s="15"/>
    </row>
    <row r="701" ht="14.25" customHeight="1">
      <c r="Q701" s="15"/>
    </row>
    <row r="702" ht="14.25" customHeight="1">
      <c r="Q702" s="15"/>
    </row>
    <row r="703" ht="14.25" customHeight="1">
      <c r="Q703" s="15"/>
    </row>
    <row r="704" ht="14.25" customHeight="1">
      <c r="Q704" s="15"/>
    </row>
    <row r="705" ht="14.25" customHeight="1">
      <c r="Q705" s="15"/>
    </row>
    <row r="706" ht="14.25" customHeight="1">
      <c r="Q706" s="15"/>
    </row>
    <row r="707" ht="14.25" customHeight="1">
      <c r="Q707" s="15"/>
    </row>
    <row r="708" ht="14.25" customHeight="1">
      <c r="Q708" s="15"/>
    </row>
    <row r="709" ht="14.25" customHeight="1">
      <c r="Q709" s="15"/>
    </row>
    <row r="710" ht="14.25" customHeight="1">
      <c r="Q710" s="15"/>
    </row>
    <row r="711" ht="14.25" customHeight="1">
      <c r="Q711" s="15"/>
    </row>
    <row r="712" ht="14.25" customHeight="1">
      <c r="Q712" s="15"/>
    </row>
    <row r="713" ht="14.25" customHeight="1">
      <c r="Q713" s="15"/>
    </row>
    <row r="714" ht="14.25" customHeight="1">
      <c r="Q714" s="15"/>
    </row>
    <row r="715" ht="14.25" customHeight="1">
      <c r="Q715" s="15"/>
    </row>
    <row r="716" ht="14.25" customHeight="1">
      <c r="Q716" s="15"/>
    </row>
    <row r="717" ht="14.25" customHeight="1">
      <c r="Q717" s="15"/>
    </row>
    <row r="718" ht="14.25" customHeight="1">
      <c r="Q718" s="15"/>
    </row>
    <row r="719" ht="14.25" customHeight="1">
      <c r="Q719" s="15"/>
    </row>
    <row r="720" ht="14.25" customHeight="1">
      <c r="Q720" s="15"/>
    </row>
    <row r="721" ht="14.25" customHeight="1">
      <c r="Q721" s="15"/>
    </row>
    <row r="722" ht="14.25" customHeight="1">
      <c r="Q722" s="15"/>
    </row>
    <row r="723" ht="14.25" customHeight="1">
      <c r="Q723" s="15"/>
    </row>
    <row r="724" ht="14.25" customHeight="1">
      <c r="Q724" s="15"/>
    </row>
    <row r="725" ht="14.25" customHeight="1">
      <c r="Q725" s="15"/>
    </row>
    <row r="726" ht="14.25" customHeight="1">
      <c r="Q726" s="15"/>
    </row>
    <row r="727" ht="14.25" customHeight="1">
      <c r="Q727" s="15"/>
    </row>
    <row r="728" ht="14.25" customHeight="1">
      <c r="Q728" s="15"/>
    </row>
    <row r="729" ht="14.25" customHeight="1">
      <c r="Q729" s="15"/>
    </row>
    <row r="730" ht="14.25" customHeight="1">
      <c r="Q730" s="15"/>
    </row>
    <row r="731" ht="14.25" customHeight="1">
      <c r="Q731" s="15"/>
    </row>
    <row r="732" ht="14.25" customHeight="1">
      <c r="Q732" s="15"/>
    </row>
    <row r="733" ht="14.25" customHeight="1">
      <c r="Q733" s="15"/>
    </row>
    <row r="734" ht="14.25" customHeight="1">
      <c r="Q734" s="15"/>
    </row>
    <row r="735" ht="14.25" customHeight="1">
      <c r="Q735" s="15"/>
    </row>
    <row r="736" ht="14.25" customHeight="1">
      <c r="Q736" s="15"/>
    </row>
    <row r="737" ht="14.25" customHeight="1">
      <c r="Q737" s="15"/>
    </row>
    <row r="738" ht="14.25" customHeight="1">
      <c r="Q738" s="15"/>
    </row>
    <row r="739" ht="14.25" customHeight="1">
      <c r="Q739" s="15"/>
    </row>
    <row r="740" ht="14.25" customHeight="1">
      <c r="Q740" s="15"/>
    </row>
    <row r="741" ht="14.25" customHeight="1">
      <c r="Q741" s="15"/>
    </row>
    <row r="742" ht="14.25" customHeight="1">
      <c r="Q742" s="15"/>
    </row>
    <row r="743" ht="14.25" customHeight="1">
      <c r="Q743" s="15"/>
    </row>
    <row r="744" ht="14.25" customHeight="1">
      <c r="Q744" s="15"/>
    </row>
    <row r="745" ht="14.25" customHeight="1">
      <c r="Q745" s="15"/>
    </row>
    <row r="746" ht="14.25" customHeight="1">
      <c r="Q746" s="15"/>
    </row>
    <row r="747" ht="14.25" customHeight="1">
      <c r="Q747" s="15"/>
    </row>
    <row r="748" ht="14.25" customHeight="1">
      <c r="Q748" s="15"/>
    </row>
    <row r="749" ht="14.25" customHeight="1">
      <c r="Q749" s="15"/>
    </row>
    <row r="750" ht="14.25" customHeight="1">
      <c r="Q750" s="15"/>
    </row>
    <row r="751" ht="14.25" customHeight="1">
      <c r="Q751" s="15"/>
    </row>
    <row r="752" ht="14.25" customHeight="1">
      <c r="Q752" s="15"/>
    </row>
    <row r="753" ht="14.25" customHeight="1">
      <c r="Q753" s="15"/>
    </row>
    <row r="754" ht="14.25" customHeight="1">
      <c r="Q754" s="15"/>
    </row>
    <row r="755" ht="14.25" customHeight="1">
      <c r="Q755" s="15"/>
    </row>
    <row r="756" ht="14.25" customHeight="1">
      <c r="Q756" s="15"/>
    </row>
    <row r="757" ht="14.25" customHeight="1">
      <c r="Q757" s="15"/>
    </row>
    <row r="758" ht="14.25" customHeight="1">
      <c r="Q758" s="15"/>
    </row>
    <row r="759" ht="14.25" customHeight="1">
      <c r="Q759" s="15"/>
    </row>
    <row r="760" ht="14.25" customHeight="1">
      <c r="Q760" s="15"/>
    </row>
    <row r="761" ht="14.25" customHeight="1">
      <c r="Q761" s="15"/>
    </row>
    <row r="762" ht="14.25" customHeight="1">
      <c r="Q762" s="15"/>
    </row>
    <row r="763" ht="14.25" customHeight="1">
      <c r="Q763" s="15"/>
    </row>
    <row r="764" ht="14.25" customHeight="1">
      <c r="Q764" s="15"/>
    </row>
    <row r="765" ht="14.25" customHeight="1">
      <c r="Q765" s="15"/>
    </row>
    <row r="766" ht="14.25" customHeight="1">
      <c r="Q766" s="15"/>
    </row>
    <row r="767" ht="14.25" customHeight="1">
      <c r="Q767" s="15"/>
    </row>
    <row r="768" ht="14.25" customHeight="1">
      <c r="Q768" s="15"/>
    </row>
    <row r="769" ht="14.25" customHeight="1">
      <c r="Q769" s="15"/>
    </row>
    <row r="770" ht="14.25" customHeight="1">
      <c r="Q770" s="15"/>
    </row>
    <row r="771" ht="14.25" customHeight="1">
      <c r="Q771" s="15"/>
    </row>
    <row r="772" ht="14.25" customHeight="1">
      <c r="Q772" s="15"/>
    </row>
    <row r="773" ht="14.25" customHeight="1">
      <c r="Q773" s="15"/>
    </row>
    <row r="774" ht="14.25" customHeight="1">
      <c r="Q774" s="15"/>
    </row>
    <row r="775" ht="14.25" customHeight="1">
      <c r="Q775" s="15"/>
    </row>
    <row r="776" ht="14.25" customHeight="1">
      <c r="Q776" s="15"/>
    </row>
    <row r="777" ht="14.25" customHeight="1">
      <c r="Q777" s="15"/>
    </row>
    <row r="778" ht="14.25" customHeight="1">
      <c r="Q778" s="15"/>
    </row>
    <row r="779" ht="14.25" customHeight="1">
      <c r="Q779" s="15"/>
    </row>
    <row r="780" ht="14.25" customHeight="1">
      <c r="Q780" s="15"/>
    </row>
    <row r="781" ht="14.25" customHeight="1">
      <c r="Q781" s="15"/>
    </row>
    <row r="782" ht="14.25" customHeight="1">
      <c r="Q782" s="15"/>
    </row>
    <row r="783" ht="14.25" customHeight="1">
      <c r="Q783" s="15"/>
    </row>
    <row r="784" ht="14.25" customHeight="1">
      <c r="Q784" s="15"/>
    </row>
    <row r="785" ht="14.25" customHeight="1">
      <c r="Q785" s="15"/>
    </row>
    <row r="786" ht="14.25" customHeight="1">
      <c r="Q786" s="15"/>
    </row>
    <row r="787" ht="14.25" customHeight="1">
      <c r="Q787" s="15"/>
    </row>
    <row r="788" ht="14.25" customHeight="1">
      <c r="Q788" s="15"/>
    </row>
    <row r="789" ht="14.25" customHeight="1">
      <c r="Q789" s="15"/>
    </row>
    <row r="790" ht="14.25" customHeight="1">
      <c r="Q790" s="15"/>
    </row>
    <row r="791" ht="14.25" customHeight="1">
      <c r="Q791" s="15"/>
    </row>
    <row r="792" ht="14.25" customHeight="1">
      <c r="Q792" s="15"/>
    </row>
    <row r="793" ht="14.25" customHeight="1">
      <c r="Q793" s="15"/>
    </row>
    <row r="794" ht="14.25" customHeight="1">
      <c r="Q794" s="15"/>
    </row>
    <row r="795" ht="14.25" customHeight="1">
      <c r="Q795" s="15"/>
    </row>
    <row r="796" ht="14.25" customHeight="1">
      <c r="Q796" s="15"/>
    </row>
    <row r="797" ht="14.25" customHeight="1">
      <c r="Q797" s="15"/>
    </row>
    <row r="798" ht="14.25" customHeight="1">
      <c r="Q798" s="15"/>
    </row>
    <row r="799" ht="14.25" customHeight="1">
      <c r="Q799" s="15"/>
    </row>
    <row r="800" ht="14.25" customHeight="1">
      <c r="Q800" s="15"/>
    </row>
    <row r="801" ht="14.25" customHeight="1">
      <c r="Q801" s="15"/>
    </row>
    <row r="802" ht="14.25" customHeight="1">
      <c r="Q802" s="15"/>
    </row>
    <row r="803" ht="14.25" customHeight="1">
      <c r="Q803" s="15"/>
    </row>
    <row r="804" ht="14.25" customHeight="1">
      <c r="Q804" s="15"/>
    </row>
    <row r="805" ht="14.25" customHeight="1">
      <c r="Q805" s="15"/>
    </row>
    <row r="806" ht="14.25" customHeight="1">
      <c r="Q806" s="15"/>
    </row>
    <row r="807" ht="14.25" customHeight="1">
      <c r="Q807" s="15"/>
    </row>
    <row r="808" ht="14.25" customHeight="1">
      <c r="Q808" s="15"/>
    </row>
    <row r="809" ht="14.25" customHeight="1">
      <c r="Q809" s="15"/>
    </row>
    <row r="810" ht="14.25" customHeight="1">
      <c r="Q810" s="15"/>
    </row>
    <row r="811" ht="14.25" customHeight="1">
      <c r="Q811" s="15"/>
    </row>
    <row r="812" ht="14.25" customHeight="1">
      <c r="Q812" s="15"/>
    </row>
    <row r="813" ht="14.25" customHeight="1">
      <c r="Q813" s="15"/>
    </row>
    <row r="814" ht="14.25" customHeight="1">
      <c r="Q814" s="15"/>
    </row>
    <row r="815" ht="14.25" customHeight="1">
      <c r="Q815" s="15"/>
    </row>
    <row r="816" ht="14.25" customHeight="1">
      <c r="Q816" s="15"/>
    </row>
    <row r="817" ht="14.25" customHeight="1">
      <c r="Q817" s="15"/>
    </row>
    <row r="818" ht="14.25" customHeight="1">
      <c r="Q818" s="15"/>
    </row>
    <row r="819" ht="14.25" customHeight="1">
      <c r="Q819" s="15"/>
    </row>
    <row r="820" ht="14.25" customHeight="1">
      <c r="Q820" s="15"/>
    </row>
    <row r="821" ht="14.25" customHeight="1">
      <c r="Q821" s="15"/>
    </row>
    <row r="822" ht="14.25" customHeight="1">
      <c r="Q822" s="15"/>
    </row>
    <row r="823" ht="14.25" customHeight="1">
      <c r="Q823" s="15"/>
    </row>
    <row r="824" ht="14.25" customHeight="1">
      <c r="Q824" s="15"/>
    </row>
    <row r="825" ht="14.25" customHeight="1">
      <c r="Q825" s="15"/>
    </row>
    <row r="826" ht="14.25" customHeight="1">
      <c r="Q826" s="15"/>
    </row>
    <row r="827" ht="14.25" customHeight="1">
      <c r="Q827" s="15"/>
    </row>
    <row r="828" ht="14.25" customHeight="1">
      <c r="Q828" s="15"/>
    </row>
    <row r="829" ht="14.25" customHeight="1">
      <c r="Q829" s="15"/>
    </row>
    <row r="830" ht="14.25" customHeight="1">
      <c r="Q830" s="15"/>
    </row>
    <row r="831" ht="14.25" customHeight="1">
      <c r="Q831" s="15"/>
    </row>
    <row r="832" ht="14.25" customHeight="1">
      <c r="Q832" s="15"/>
    </row>
    <row r="833" ht="14.25" customHeight="1">
      <c r="Q833" s="15"/>
    </row>
    <row r="834" ht="14.25" customHeight="1">
      <c r="Q834" s="15"/>
    </row>
    <row r="835" ht="14.25" customHeight="1">
      <c r="Q835" s="15"/>
    </row>
    <row r="836" ht="14.25" customHeight="1">
      <c r="Q836" s="15"/>
    </row>
    <row r="837" ht="14.25" customHeight="1">
      <c r="Q837" s="15"/>
    </row>
    <row r="838" ht="14.25" customHeight="1">
      <c r="Q838" s="15"/>
    </row>
    <row r="839" ht="14.25" customHeight="1">
      <c r="Q839" s="15"/>
    </row>
    <row r="840" ht="14.25" customHeight="1">
      <c r="Q840" s="15"/>
    </row>
    <row r="841" ht="14.25" customHeight="1">
      <c r="Q841" s="15"/>
    </row>
    <row r="842" ht="14.25" customHeight="1">
      <c r="Q842" s="15"/>
    </row>
    <row r="843" ht="14.25" customHeight="1">
      <c r="Q843" s="15"/>
    </row>
    <row r="844" ht="14.25" customHeight="1">
      <c r="Q844" s="15"/>
    </row>
    <row r="845" ht="14.25" customHeight="1">
      <c r="Q845" s="15"/>
    </row>
    <row r="846" ht="14.25" customHeight="1">
      <c r="Q846" s="15"/>
    </row>
    <row r="847" ht="14.25" customHeight="1">
      <c r="Q847" s="15"/>
    </row>
    <row r="848" ht="14.25" customHeight="1">
      <c r="Q848" s="15"/>
    </row>
    <row r="849" ht="14.25" customHeight="1">
      <c r="Q849" s="15"/>
    </row>
    <row r="850" ht="14.25" customHeight="1">
      <c r="Q850" s="15"/>
    </row>
    <row r="851" ht="14.25" customHeight="1">
      <c r="Q851" s="15"/>
    </row>
    <row r="852" ht="14.25" customHeight="1">
      <c r="Q852" s="15"/>
    </row>
    <row r="853" ht="14.25" customHeight="1">
      <c r="Q853" s="15"/>
    </row>
    <row r="854" ht="14.25" customHeight="1">
      <c r="Q854" s="15"/>
    </row>
    <row r="855" ht="14.25" customHeight="1">
      <c r="Q855" s="15"/>
    </row>
    <row r="856" ht="14.25" customHeight="1">
      <c r="Q856" s="15"/>
    </row>
    <row r="857" ht="14.25" customHeight="1">
      <c r="Q857" s="15"/>
    </row>
    <row r="858" ht="14.25" customHeight="1">
      <c r="Q858" s="15"/>
    </row>
    <row r="859" ht="14.25" customHeight="1">
      <c r="Q859" s="15"/>
    </row>
    <row r="860" ht="14.25" customHeight="1">
      <c r="Q860" s="15"/>
    </row>
    <row r="861" ht="14.25" customHeight="1">
      <c r="Q861" s="15"/>
    </row>
    <row r="862" ht="14.25" customHeight="1">
      <c r="Q862" s="15"/>
    </row>
    <row r="863" ht="14.25" customHeight="1">
      <c r="Q863" s="15"/>
    </row>
    <row r="864" ht="14.25" customHeight="1">
      <c r="Q864" s="15"/>
    </row>
    <row r="865" ht="14.25" customHeight="1">
      <c r="Q865" s="15"/>
    </row>
    <row r="866" ht="14.25" customHeight="1">
      <c r="Q866" s="15"/>
    </row>
    <row r="867" ht="14.25" customHeight="1">
      <c r="Q867" s="15"/>
    </row>
    <row r="868" ht="14.25" customHeight="1">
      <c r="Q868" s="15"/>
    </row>
    <row r="869" ht="14.25" customHeight="1">
      <c r="Q869" s="15"/>
    </row>
    <row r="870" ht="14.25" customHeight="1">
      <c r="Q870" s="15"/>
    </row>
    <row r="871" ht="14.25" customHeight="1">
      <c r="Q871" s="15"/>
    </row>
    <row r="872" ht="14.25" customHeight="1">
      <c r="Q872" s="15"/>
    </row>
    <row r="873" ht="14.25" customHeight="1">
      <c r="Q873" s="15"/>
    </row>
    <row r="874" ht="14.25" customHeight="1">
      <c r="Q874" s="15"/>
    </row>
    <row r="875" ht="14.25" customHeight="1">
      <c r="Q875" s="15"/>
    </row>
    <row r="876" ht="14.25" customHeight="1">
      <c r="Q876" s="15"/>
    </row>
    <row r="877" ht="14.25" customHeight="1">
      <c r="Q877" s="15"/>
    </row>
    <row r="878" ht="14.25" customHeight="1">
      <c r="Q878" s="15"/>
    </row>
    <row r="879" ht="14.25" customHeight="1">
      <c r="Q879" s="15"/>
    </row>
    <row r="880" ht="14.25" customHeight="1">
      <c r="Q880" s="15"/>
    </row>
    <row r="881" ht="14.25" customHeight="1">
      <c r="Q881" s="15"/>
    </row>
    <row r="882" ht="14.25" customHeight="1">
      <c r="Q882" s="15"/>
    </row>
    <row r="883" ht="14.25" customHeight="1">
      <c r="Q883" s="15"/>
    </row>
    <row r="884" ht="14.25" customHeight="1">
      <c r="Q884" s="15"/>
    </row>
    <row r="885" ht="14.25" customHeight="1">
      <c r="Q885" s="15"/>
    </row>
    <row r="886" ht="14.25" customHeight="1">
      <c r="Q886" s="15"/>
    </row>
    <row r="887" ht="14.25" customHeight="1">
      <c r="Q887" s="15"/>
    </row>
    <row r="888" ht="14.25" customHeight="1">
      <c r="Q888" s="15"/>
    </row>
    <row r="889" ht="14.25" customHeight="1">
      <c r="Q889" s="15"/>
    </row>
    <row r="890" ht="14.25" customHeight="1">
      <c r="Q890" s="15"/>
    </row>
    <row r="891" ht="14.25" customHeight="1">
      <c r="Q891" s="15"/>
    </row>
    <row r="892" ht="14.25" customHeight="1">
      <c r="Q892" s="15"/>
    </row>
    <row r="893" ht="14.25" customHeight="1">
      <c r="Q893" s="15"/>
    </row>
    <row r="894" ht="14.25" customHeight="1">
      <c r="Q894" s="15"/>
    </row>
    <row r="895" ht="14.25" customHeight="1">
      <c r="Q895" s="15"/>
    </row>
    <row r="896" ht="14.25" customHeight="1">
      <c r="Q896" s="15"/>
    </row>
    <row r="897" ht="14.25" customHeight="1">
      <c r="Q897" s="15"/>
    </row>
    <row r="898" ht="14.25" customHeight="1">
      <c r="Q898" s="15"/>
    </row>
    <row r="899" ht="14.25" customHeight="1">
      <c r="Q899" s="15"/>
    </row>
    <row r="900" ht="14.25" customHeight="1">
      <c r="Q900" s="15"/>
    </row>
    <row r="901" ht="14.25" customHeight="1">
      <c r="Q901" s="15"/>
    </row>
    <row r="902" ht="14.25" customHeight="1">
      <c r="Q902" s="15"/>
    </row>
    <row r="903" ht="14.25" customHeight="1">
      <c r="Q903" s="15"/>
    </row>
    <row r="904" ht="14.25" customHeight="1">
      <c r="Q904" s="15"/>
    </row>
    <row r="905" ht="14.25" customHeight="1">
      <c r="Q905" s="15"/>
    </row>
    <row r="906" ht="14.25" customHeight="1">
      <c r="Q906" s="15"/>
    </row>
    <row r="907" ht="14.25" customHeight="1">
      <c r="Q907" s="15"/>
    </row>
    <row r="908" ht="14.25" customHeight="1">
      <c r="Q908" s="15"/>
    </row>
    <row r="909" ht="14.25" customHeight="1">
      <c r="Q909" s="15"/>
    </row>
    <row r="910" ht="14.25" customHeight="1">
      <c r="Q910" s="15"/>
    </row>
    <row r="911" ht="14.25" customHeight="1">
      <c r="Q911" s="15"/>
    </row>
    <row r="912" ht="14.25" customHeight="1">
      <c r="Q912" s="15"/>
    </row>
    <row r="913" ht="14.25" customHeight="1">
      <c r="Q913" s="15"/>
    </row>
    <row r="914" ht="14.25" customHeight="1">
      <c r="Q914" s="15"/>
    </row>
    <row r="915" ht="14.25" customHeight="1">
      <c r="Q915" s="15"/>
    </row>
    <row r="916" ht="14.25" customHeight="1">
      <c r="Q916" s="15"/>
    </row>
    <row r="917" ht="14.25" customHeight="1">
      <c r="Q917" s="15"/>
    </row>
    <row r="918" ht="14.25" customHeight="1">
      <c r="Q918" s="15"/>
    </row>
    <row r="919" ht="14.25" customHeight="1">
      <c r="Q919" s="15"/>
    </row>
    <row r="920" ht="14.25" customHeight="1">
      <c r="Q920" s="15"/>
    </row>
    <row r="921" ht="14.25" customHeight="1">
      <c r="Q921" s="15"/>
    </row>
    <row r="922" ht="14.25" customHeight="1">
      <c r="Q922" s="15"/>
    </row>
    <row r="923" ht="14.25" customHeight="1">
      <c r="Q923" s="15"/>
    </row>
    <row r="924" ht="14.25" customHeight="1">
      <c r="Q924" s="15"/>
    </row>
    <row r="925" ht="14.25" customHeight="1">
      <c r="Q925" s="15"/>
    </row>
    <row r="926" ht="14.25" customHeight="1">
      <c r="Q926" s="15"/>
    </row>
    <row r="927" ht="14.25" customHeight="1">
      <c r="Q927" s="15"/>
    </row>
    <row r="928" ht="14.25" customHeight="1">
      <c r="Q928" s="15"/>
    </row>
    <row r="929" ht="14.25" customHeight="1">
      <c r="Q929" s="15"/>
    </row>
    <row r="930" ht="14.25" customHeight="1">
      <c r="Q930" s="15"/>
    </row>
    <row r="931" ht="14.25" customHeight="1">
      <c r="Q931" s="15"/>
    </row>
    <row r="932" ht="14.25" customHeight="1">
      <c r="Q932" s="15"/>
    </row>
    <row r="933" ht="14.25" customHeight="1">
      <c r="Q933" s="15"/>
    </row>
    <row r="934" ht="14.25" customHeight="1">
      <c r="Q934" s="15"/>
    </row>
    <row r="935" ht="14.25" customHeight="1">
      <c r="Q935" s="15"/>
    </row>
    <row r="936" ht="14.25" customHeight="1">
      <c r="Q936" s="15"/>
    </row>
    <row r="937" ht="14.25" customHeight="1">
      <c r="Q937" s="15"/>
    </row>
    <row r="938" ht="14.25" customHeight="1">
      <c r="Q938" s="15"/>
    </row>
    <row r="939" ht="14.25" customHeight="1">
      <c r="Q939" s="15"/>
    </row>
    <row r="940" ht="14.25" customHeight="1">
      <c r="Q940" s="15"/>
    </row>
    <row r="941" ht="14.25" customHeight="1">
      <c r="Q941" s="15"/>
    </row>
    <row r="942" ht="14.25" customHeight="1">
      <c r="Q942" s="15"/>
    </row>
    <row r="943" ht="14.25" customHeight="1">
      <c r="Q943" s="15"/>
    </row>
    <row r="944" ht="14.25" customHeight="1">
      <c r="Q944" s="15"/>
    </row>
    <row r="945" ht="14.25" customHeight="1">
      <c r="Q945" s="15"/>
    </row>
    <row r="946" ht="14.25" customHeight="1">
      <c r="Q946" s="15"/>
    </row>
    <row r="947" ht="14.25" customHeight="1">
      <c r="Q947" s="15"/>
    </row>
    <row r="948" ht="14.25" customHeight="1">
      <c r="Q948" s="15"/>
    </row>
    <row r="949" ht="14.25" customHeight="1">
      <c r="Q949" s="15"/>
    </row>
    <row r="950" ht="14.25" customHeight="1">
      <c r="Q950" s="15"/>
    </row>
    <row r="951" ht="14.25" customHeight="1">
      <c r="Q951" s="15"/>
    </row>
    <row r="952" ht="14.25" customHeight="1">
      <c r="Q952" s="15"/>
    </row>
    <row r="953" ht="14.25" customHeight="1">
      <c r="Q953" s="15"/>
    </row>
    <row r="954" ht="14.25" customHeight="1">
      <c r="Q954" s="15"/>
    </row>
    <row r="955" ht="14.25" customHeight="1">
      <c r="Q955" s="15"/>
    </row>
    <row r="956" ht="14.25" customHeight="1">
      <c r="Q956" s="15"/>
    </row>
    <row r="957" ht="14.25" customHeight="1">
      <c r="Q957" s="15"/>
    </row>
    <row r="958" ht="14.25" customHeight="1">
      <c r="Q958" s="15"/>
    </row>
    <row r="959" ht="14.25" customHeight="1">
      <c r="Q959" s="15"/>
    </row>
    <row r="960" ht="14.25" customHeight="1">
      <c r="Q960" s="15"/>
    </row>
    <row r="961" ht="14.25" customHeight="1">
      <c r="Q961" s="15"/>
    </row>
    <row r="962" ht="14.25" customHeight="1">
      <c r="Q962" s="15"/>
    </row>
    <row r="963" ht="14.25" customHeight="1">
      <c r="Q963" s="15"/>
    </row>
    <row r="964" ht="14.25" customHeight="1">
      <c r="Q964" s="15"/>
    </row>
    <row r="965" ht="14.25" customHeight="1">
      <c r="Q965" s="15"/>
    </row>
    <row r="966" ht="14.25" customHeight="1">
      <c r="Q966" s="15"/>
    </row>
    <row r="967" ht="14.25" customHeight="1">
      <c r="Q967" s="15"/>
    </row>
    <row r="968" ht="14.25" customHeight="1">
      <c r="Q968" s="15"/>
    </row>
    <row r="969" ht="14.25" customHeight="1">
      <c r="Q969" s="15"/>
    </row>
    <row r="970" ht="14.25" customHeight="1">
      <c r="Q970" s="15"/>
    </row>
    <row r="971" ht="14.25" customHeight="1">
      <c r="Q971" s="15"/>
    </row>
    <row r="972" ht="14.25" customHeight="1">
      <c r="Q972" s="15"/>
    </row>
    <row r="973" ht="14.25" customHeight="1">
      <c r="Q973" s="15"/>
    </row>
    <row r="974" ht="14.25" customHeight="1">
      <c r="Q974" s="15"/>
    </row>
    <row r="975" ht="14.25" customHeight="1">
      <c r="Q975" s="15"/>
    </row>
    <row r="976" ht="14.25" customHeight="1">
      <c r="Q976" s="15"/>
    </row>
    <row r="977" ht="14.25" customHeight="1">
      <c r="Q977" s="15"/>
    </row>
    <row r="978" ht="14.25" customHeight="1">
      <c r="Q978" s="15"/>
    </row>
    <row r="979" ht="14.25" customHeight="1">
      <c r="Q979" s="15"/>
    </row>
    <row r="980" ht="14.25" customHeight="1">
      <c r="Q980" s="15"/>
    </row>
    <row r="981" ht="14.25" customHeight="1">
      <c r="Q981" s="15"/>
    </row>
    <row r="982" ht="14.25" customHeight="1">
      <c r="Q982" s="15"/>
    </row>
    <row r="983" ht="14.25" customHeight="1">
      <c r="Q983" s="15"/>
    </row>
    <row r="984" ht="14.25" customHeight="1">
      <c r="Q984" s="15"/>
    </row>
    <row r="985" ht="14.25" customHeight="1">
      <c r="Q985" s="15"/>
    </row>
    <row r="986" ht="14.25" customHeight="1">
      <c r="Q986" s="15"/>
    </row>
    <row r="987" ht="14.25" customHeight="1">
      <c r="Q987" s="15"/>
    </row>
    <row r="988" ht="14.25" customHeight="1">
      <c r="Q988" s="15"/>
    </row>
    <row r="989" ht="14.25" customHeight="1">
      <c r="Q989" s="15"/>
    </row>
    <row r="990" ht="14.25" customHeight="1">
      <c r="Q990" s="15"/>
    </row>
    <row r="991" ht="14.25" customHeight="1">
      <c r="Q991" s="15"/>
    </row>
    <row r="992" ht="14.25" customHeight="1">
      <c r="Q992" s="15"/>
    </row>
    <row r="993" ht="14.25" customHeight="1">
      <c r="Q993" s="15"/>
    </row>
    <row r="994" ht="14.25" customHeight="1">
      <c r="Q994" s="15"/>
    </row>
    <row r="995" ht="14.25" customHeight="1">
      <c r="Q995" s="15"/>
    </row>
    <row r="996" ht="14.25" customHeight="1">
      <c r="Q996" s="15"/>
    </row>
    <row r="997" ht="14.25" customHeight="1">
      <c r="Q997" s="15"/>
    </row>
    <row r="998" ht="14.25" customHeight="1">
      <c r="Q998" s="15"/>
    </row>
    <row r="999" ht="14.25" customHeight="1">
      <c r="Q999" s="15"/>
    </row>
    <row r="1000" ht="14.25" customHeight="1">
      <c r="Q1000" s="15"/>
    </row>
    <row r="1001" ht="14.25" customHeight="1">
      <c r="Q1001" s="15"/>
    </row>
    <row r="1002" ht="14.25" customHeight="1">
      <c r="Q1002" s="15"/>
    </row>
    <row r="1003" ht="14.25" customHeight="1">
      <c r="Q1003" s="15"/>
    </row>
    <row r="1004" ht="14.25" customHeight="1">
      <c r="Q1004" s="15"/>
    </row>
    <row r="1005" ht="14.25" customHeight="1">
      <c r="Q1005" s="15"/>
    </row>
    <row r="1006" ht="14.25" customHeight="1">
      <c r="Q1006" s="15"/>
    </row>
    <row r="1007" ht="14.25" customHeight="1">
      <c r="Q1007" s="15"/>
    </row>
    <row r="1008" ht="14.25" customHeight="1">
      <c r="Q1008" s="15"/>
    </row>
    <row r="1009" ht="14.25" customHeight="1">
      <c r="Q1009" s="15"/>
    </row>
    <row r="1010" ht="14.25" customHeight="1">
      <c r="Q1010" s="15"/>
    </row>
    <row r="1011" ht="14.25" customHeight="1">
      <c r="Q1011" s="15"/>
    </row>
    <row r="1012" ht="14.25" customHeight="1">
      <c r="Q1012" s="15"/>
    </row>
    <row r="1013" ht="14.25" customHeight="1">
      <c r="Q1013" s="15"/>
    </row>
  </sheetData>
  <autoFilter ref="$A$1:$AA$126">
    <sortState ref="A1:AA126">
      <sortCondition descending="1" ref="T1:T126"/>
      <sortCondition ref="B1:B126"/>
      <sortCondition descending="1" ref="AA1:AA126"/>
      <sortCondition descending="1" ref="Y1:Y126"/>
    </sortState>
  </autoFilter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5" width="8.63"/>
    <col customWidth="1" hidden="1" min="6" max="14" width="8.63"/>
    <col customWidth="1" min="15" max="15" width="8.63"/>
    <col customWidth="1" min="16" max="16" width="11.0"/>
    <col customWidth="1" min="17" max="17" width="9.13"/>
    <col customWidth="1" min="18" max="18" width="8.63"/>
    <col customWidth="1" min="19" max="19" width="13.5"/>
    <col customWidth="1" min="20" max="27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1481</v>
      </c>
      <c r="G1" s="14" t="s">
        <v>1482</v>
      </c>
      <c r="H1" s="14" t="s">
        <v>1483</v>
      </c>
      <c r="I1" s="14" t="s">
        <v>79</v>
      </c>
      <c r="J1" s="14" t="s">
        <v>83</v>
      </c>
      <c r="K1" s="14" t="s">
        <v>1484</v>
      </c>
      <c r="L1" s="14" t="s">
        <v>1485</v>
      </c>
      <c r="M1" s="14" t="s">
        <v>1486</v>
      </c>
      <c r="N1" s="14" t="s">
        <v>1487</v>
      </c>
      <c r="O1" s="14" t="s">
        <v>86</v>
      </c>
      <c r="P1" s="14" t="s">
        <v>87</v>
      </c>
      <c r="Q1" s="15"/>
      <c r="R1" s="14" t="s">
        <v>86</v>
      </c>
      <c r="S1" s="14" t="s">
        <v>88</v>
      </c>
      <c r="T1" s="14" t="s">
        <v>89</v>
      </c>
      <c r="U1" s="14" t="s">
        <v>91</v>
      </c>
      <c r="V1" s="14" t="s">
        <v>86</v>
      </c>
      <c r="W1" s="14" t="s">
        <v>87</v>
      </c>
      <c r="Y1" s="16" t="s">
        <v>94</v>
      </c>
      <c r="Z1" s="16" t="s">
        <v>95</v>
      </c>
      <c r="AA1" s="16" t="s">
        <v>96</v>
      </c>
    </row>
    <row r="2" ht="14.25" customHeight="1">
      <c r="A2" s="17" t="s">
        <v>1594</v>
      </c>
      <c r="B2" s="17" t="s">
        <v>541</v>
      </c>
      <c r="C2" s="18">
        <v>7.0</v>
      </c>
      <c r="D2" s="17" t="s">
        <v>1595</v>
      </c>
      <c r="E2" s="17" t="s">
        <v>147</v>
      </c>
      <c r="F2" s="18">
        <v>3.0</v>
      </c>
      <c r="G2" s="18">
        <v>20.0</v>
      </c>
      <c r="H2" s="18">
        <v>13.0</v>
      </c>
      <c r="I2" s="19">
        <v>0.65</v>
      </c>
      <c r="J2" s="18">
        <v>0.0</v>
      </c>
      <c r="K2" s="18">
        <v>1.0</v>
      </c>
      <c r="L2" s="18">
        <v>1.0</v>
      </c>
      <c r="M2" s="18">
        <v>3.0</v>
      </c>
      <c r="N2" s="18">
        <v>212.0</v>
      </c>
      <c r="O2" s="22">
        <v>1.63</v>
      </c>
      <c r="P2" s="22">
        <v>14.39</v>
      </c>
      <c r="Q2" s="15"/>
      <c r="R2" s="38">
        <v>1.63</v>
      </c>
      <c r="S2" s="16">
        <v>0.02</v>
      </c>
      <c r="T2" s="16">
        <v>4.56</v>
      </c>
      <c r="U2" s="14">
        <f t="array" ref="U2">XLOOKUP(E2, 'Conference Match'!$A$2:$A$25, 'Conference Match'!$C$2:$C$25)</f>
        <v>0.95</v>
      </c>
      <c r="V2" s="20">
        <f t="shared" ref="V2:V68" si="1">IFERROR(T2*0.7+R2*U2*0.15+S2*0.15, 0)</f>
        <v>3.427275</v>
      </c>
      <c r="W2" s="20">
        <f t="shared" ref="W2:W63" si="2">100*(V2-MIN($V$2:$V$87))/(MAX($V$2:$V$87) - MIN($V$2:$V$87))</f>
        <v>94.22387237</v>
      </c>
      <c r="Y2" s="20">
        <f>IFERROR(__xludf.DUMMYFUNCTION("iferror(PERCENTRANK.INC(FILTER($V$2:$V$425, $T$2:$T$425&lt;3.75), $V2), 1)"),1.0)</f>
        <v>1</v>
      </c>
      <c r="Z2" s="20">
        <f>IFERROR(__xludf.DUMMYFUNCTION("iferror(PERCENTRANK.INC(FILTER($V$2:$V$425, $T$2:$T$425&lt;4.5), $V2), 1)"),0.968)</f>
        <v>0.968</v>
      </c>
      <c r="AA2" s="20">
        <f>IFERROR(__xludf.DUMMYFUNCTION("iferror(PERCENTRANK.INC(FILTER($V$2:$V$425, $T$2:$T$425&gt;4.1), $V2), 0.01)"),0.375)</f>
        <v>0.375</v>
      </c>
    </row>
    <row r="3" ht="14.25" customHeight="1">
      <c r="A3" s="17" t="s">
        <v>1596</v>
      </c>
      <c r="B3" s="17" t="s">
        <v>169</v>
      </c>
      <c r="C3" s="18">
        <v>17.0</v>
      </c>
      <c r="D3" s="17" t="s">
        <v>1595</v>
      </c>
      <c r="E3" s="17" t="s">
        <v>121</v>
      </c>
      <c r="F3" s="18">
        <v>1.0</v>
      </c>
      <c r="G3" s="18">
        <v>38.0</v>
      </c>
      <c r="H3" s="18">
        <v>19.0</v>
      </c>
      <c r="I3" s="19">
        <v>0.5</v>
      </c>
      <c r="J3" s="18">
        <v>3.0</v>
      </c>
      <c r="K3" s="18">
        <v>0.0</v>
      </c>
      <c r="L3" s="18">
        <v>3.0</v>
      </c>
      <c r="M3" s="18">
        <v>5.0</v>
      </c>
      <c r="N3" s="18">
        <v>348.0</v>
      </c>
      <c r="O3" s="22">
        <v>2.49</v>
      </c>
      <c r="P3" s="22">
        <v>42.31</v>
      </c>
      <c r="Q3" s="15"/>
      <c r="R3" s="38">
        <v>2.49</v>
      </c>
      <c r="S3" s="16">
        <v>-0.02</v>
      </c>
      <c r="T3" s="16">
        <v>4.56</v>
      </c>
      <c r="U3" s="14">
        <f t="array" ref="U3">XLOOKUP(E3, 'Conference Match'!$A$2:$A$25, 'Conference Match'!$C$2:$C$25)</f>
        <v>0.9</v>
      </c>
      <c r="V3" s="20">
        <f t="shared" si="1"/>
        <v>3.52515</v>
      </c>
      <c r="W3" s="20">
        <f t="shared" si="2"/>
        <v>97.05516568</v>
      </c>
      <c r="Y3" s="20">
        <f>IFERROR(__xludf.DUMMYFUNCTION("iferror(PERCENTRANK.INC(FILTER($V$2:$V$425, $T$2:$T$425&lt;3.75), $V3), 1)"),1.0)</f>
        <v>1</v>
      </c>
      <c r="Z3" s="20">
        <f>IFERROR(__xludf.DUMMYFUNCTION("iferror(PERCENTRANK.INC(FILTER($V$2:$V$425, $T$2:$T$425&lt;4.5), $V3), 1)"),0.977)</f>
        <v>0.977</v>
      </c>
      <c r="AA3" s="20">
        <f>IFERROR(__xludf.DUMMYFUNCTION("iferror(PERCENTRANK.INC(FILTER($V$2:$V$425, $T$2:$T$425&gt;4.1), $V3), 0.01)"),0.625)</f>
        <v>0.625</v>
      </c>
    </row>
    <row r="4" ht="14.25" customHeight="1">
      <c r="A4" s="14" t="s">
        <v>1597</v>
      </c>
      <c r="B4" s="14" t="s">
        <v>417</v>
      </c>
      <c r="C4" s="14">
        <v>28.0</v>
      </c>
      <c r="D4" s="14" t="s">
        <v>38</v>
      </c>
      <c r="E4" s="14" t="s">
        <v>108</v>
      </c>
      <c r="F4" s="14">
        <v>39.0</v>
      </c>
      <c r="G4" s="14">
        <v>21.0</v>
      </c>
      <c r="H4" s="14">
        <v>10.0</v>
      </c>
      <c r="I4" s="60">
        <v>0.476</v>
      </c>
      <c r="J4" s="14">
        <v>1.0</v>
      </c>
      <c r="K4" s="14">
        <v>1.0</v>
      </c>
      <c r="L4" s="14">
        <v>4.0</v>
      </c>
      <c r="M4" s="14">
        <v>4.0</v>
      </c>
      <c r="N4" s="14">
        <v>173.0</v>
      </c>
      <c r="O4" s="20">
        <v>2.214288</v>
      </c>
      <c r="P4" s="20">
        <v>33.2446195109942</v>
      </c>
      <c r="Q4" s="15"/>
      <c r="R4" s="20">
        <v>2.214288</v>
      </c>
      <c r="S4" s="16">
        <v>0.55</v>
      </c>
      <c r="T4" s="20">
        <v>4.56</v>
      </c>
      <c r="U4" s="14">
        <f t="array" ref="U4">XLOOKUP(E4, 'Conference Match'!$A$2:$A$25, 'Conference Match'!$C$2:$C$25)</f>
        <v>1</v>
      </c>
      <c r="V4" s="20">
        <f t="shared" si="1"/>
        <v>3.6066432</v>
      </c>
      <c r="W4" s="20">
        <f t="shared" si="2"/>
        <v>99.41257209</v>
      </c>
      <c r="Y4" s="20">
        <f>IFERROR(__xludf.DUMMYFUNCTION("iferror(PERCENTRANK.INC(FILTER($V$2:$V$425, $T$2:$T$425&lt;3.75), $V4), 1)"),1.0)</f>
        <v>1</v>
      </c>
      <c r="Z4" s="20">
        <f>IFERROR(__xludf.DUMMYFUNCTION("iferror(PERCENTRANK.INC(FILTER($V$2:$V$425, $T$2:$T$425&lt;4.5), $V4), 1)"),0.986)</f>
        <v>0.986</v>
      </c>
      <c r="AA4" s="20">
        <f>IFERROR(__xludf.DUMMYFUNCTION("iferror(PERCENTRANK.INC(FILTER($V$2:$V$425, $T$2:$T$425&gt;4.1), $V4), 0.01)"),0.875)</f>
        <v>0.875</v>
      </c>
    </row>
    <row r="5" ht="14.25" customHeight="1">
      <c r="A5" s="17" t="s">
        <v>1598</v>
      </c>
      <c r="B5" s="17" t="s">
        <v>431</v>
      </c>
      <c r="C5" s="18">
        <v>23.0</v>
      </c>
      <c r="D5" s="17" t="s">
        <v>1595</v>
      </c>
      <c r="E5" s="17" t="s">
        <v>144</v>
      </c>
      <c r="F5" s="18">
        <v>3.0</v>
      </c>
      <c r="G5" s="18">
        <v>30.0</v>
      </c>
      <c r="H5" s="18">
        <v>19.0</v>
      </c>
      <c r="I5" s="19">
        <v>0.633</v>
      </c>
      <c r="J5" s="18">
        <v>3.0</v>
      </c>
      <c r="K5" s="18">
        <v>0.0</v>
      </c>
      <c r="L5" s="18">
        <v>3.0</v>
      </c>
      <c r="M5" s="18">
        <v>3.0</v>
      </c>
      <c r="N5" s="18">
        <v>344.0</v>
      </c>
      <c r="O5" s="22">
        <v>2.33</v>
      </c>
      <c r="P5" s="22">
        <v>37.07</v>
      </c>
      <c r="Q5" s="15"/>
      <c r="R5" s="22">
        <v>2.33</v>
      </c>
      <c r="S5" s="16">
        <v>0.42</v>
      </c>
      <c r="T5" s="16">
        <v>4.33</v>
      </c>
      <c r="U5" s="14">
        <f t="array" ref="U5">XLOOKUP(E5, 'Conference Match'!$A$2:$A$25, 'Conference Match'!$C$2:$C$25)</f>
        <v>0.95</v>
      </c>
      <c r="V5" s="20">
        <f t="shared" si="1"/>
        <v>3.426025</v>
      </c>
      <c r="W5" s="20">
        <f t="shared" si="2"/>
        <v>94.18771281</v>
      </c>
      <c r="Y5" s="20">
        <f>IFERROR(__xludf.DUMMYFUNCTION("iferror(PERCENTRANK.INC(FILTER($V$2:$V$425, $T$2:$T$425&lt;3.75), $V5), 1)"),1.0)</f>
        <v>1</v>
      </c>
      <c r="Z5" s="20">
        <f>IFERROR(__xludf.DUMMYFUNCTION("iferror(PERCENTRANK.INC(FILTER($V$2:$V$425, $T$2:$T$425&lt;4.5), $V5), 1)"),0.968)</f>
        <v>0.968</v>
      </c>
      <c r="AA5" s="20">
        <f>IFERROR(__xludf.DUMMYFUNCTION("iferror(PERCENTRANK.INC(FILTER($V$2:$V$425, $T$2:$T$425&gt;4.1), $V5), 0.01)"),0.25)</f>
        <v>0.25</v>
      </c>
    </row>
    <row r="6" ht="14.25" customHeight="1">
      <c r="A6" s="17" t="s">
        <v>1599</v>
      </c>
      <c r="B6" s="17" t="s">
        <v>421</v>
      </c>
      <c r="C6" s="18">
        <v>4.0</v>
      </c>
      <c r="D6" s="17" t="s">
        <v>1595</v>
      </c>
      <c r="E6" s="17" t="s">
        <v>189</v>
      </c>
      <c r="F6" s="18">
        <v>9.0</v>
      </c>
      <c r="G6" s="18">
        <v>26.0</v>
      </c>
      <c r="H6" s="18">
        <v>15.0</v>
      </c>
      <c r="I6" s="62">
        <v>0.577</v>
      </c>
      <c r="J6" s="18">
        <v>6.0</v>
      </c>
      <c r="K6" s="18">
        <v>1.0</v>
      </c>
      <c r="L6" s="18">
        <v>6.0</v>
      </c>
      <c r="M6" s="18">
        <v>6.0</v>
      </c>
      <c r="N6" s="18">
        <v>356.0</v>
      </c>
      <c r="O6" s="22">
        <v>3.57</v>
      </c>
      <c r="P6" s="22">
        <v>77.26</v>
      </c>
      <c r="Q6" s="15"/>
      <c r="R6" s="38">
        <v>3.57</v>
      </c>
      <c r="S6" s="16">
        <v>0.76</v>
      </c>
      <c r="T6" s="16">
        <v>4.33</v>
      </c>
      <c r="U6" s="14">
        <f t="array" ref="U6">XLOOKUP(E6, 'Conference Match'!$A$2:$A$25, 'Conference Match'!$C$2:$C$25)</f>
        <v>0.9</v>
      </c>
      <c r="V6" s="20">
        <f t="shared" si="1"/>
        <v>3.62695</v>
      </c>
      <c r="W6" s="20">
        <f t="shared" si="2"/>
        <v>100</v>
      </c>
      <c r="Y6" s="20">
        <f>IFERROR(__xludf.DUMMYFUNCTION("iferror(PERCENTRANK.INC(FILTER($V$2:$V$425, $T$2:$T$425&lt;3.75), $V6), 1)"),1.0)</f>
        <v>1</v>
      </c>
      <c r="Z6" s="20">
        <f>IFERROR(__xludf.DUMMYFUNCTION("iferror(PERCENTRANK.INC(FILTER($V$2:$V$425, $T$2:$T$425&lt;4.5), $V6), 1)"),1.0)</f>
        <v>1</v>
      </c>
      <c r="AA6" s="20">
        <f>IFERROR(__xludf.DUMMYFUNCTION("iferror(PERCENTRANK.INC(FILTER($V$2:$V$425, $T$2:$T$425&gt;4.1), $V6), 0.01)"),1.0)</f>
        <v>1</v>
      </c>
    </row>
    <row r="7" ht="14.25" customHeight="1">
      <c r="A7" s="17" t="s">
        <v>1600</v>
      </c>
      <c r="B7" s="17" t="s">
        <v>523</v>
      </c>
      <c r="C7" s="18">
        <v>1.0</v>
      </c>
      <c r="D7" s="17" t="s">
        <v>1595</v>
      </c>
      <c r="E7" s="17" t="s">
        <v>189</v>
      </c>
      <c r="F7" s="18">
        <v>2.0</v>
      </c>
      <c r="G7" s="18">
        <v>26.0</v>
      </c>
      <c r="H7" s="18">
        <v>15.0</v>
      </c>
      <c r="I7" s="19">
        <v>0.577</v>
      </c>
      <c r="J7" s="18">
        <v>2.0</v>
      </c>
      <c r="K7" s="18">
        <v>0.0</v>
      </c>
      <c r="L7" s="18">
        <v>5.0</v>
      </c>
      <c r="M7" s="18">
        <v>6.0</v>
      </c>
      <c r="N7" s="18">
        <v>243.0</v>
      </c>
      <c r="O7" s="22">
        <v>2.57</v>
      </c>
      <c r="P7" s="22">
        <v>44.87</v>
      </c>
      <c r="Q7" s="15"/>
      <c r="R7" s="38">
        <v>2.57</v>
      </c>
      <c r="S7" s="16">
        <v>0.31</v>
      </c>
      <c r="T7" s="16">
        <v>4.11</v>
      </c>
      <c r="U7" s="14">
        <f t="array" ref="U7">XLOOKUP(E7, 'Conference Match'!$A$2:$A$25, 'Conference Match'!$C$2:$C$25)</f>
        <v>0.9</v>
      </c>
      <c r="V7" s="20">
        <f t="shared" si="1"/>
        <v>3.27045</v>
      </c>
      <c r="W7" s="20">
        <f t="shared" si="2"/>
        <v>89.68729435</v>
      </c>
      <c r="Y7" s="20">
        <f>IFERROR(__xludf.DUMMYFUNCTION("iferror(PERCENTRANK.INC(FILTER($V$2:$V$425, $T$2:$T$425&lt;3.75), $V7), 1)"),1.0)</f>
        <v>1</v>
      </c>
      <c r="Z7" s="20">
        <f>IFERROR(__xludf.DUMMYFUNCTION("iferror(PERCENTRANK.INC(FILTER($V$2:$V$425, $T$2:$T$425&lt;4.5), $V7), 1)"),0.952)</f>
        <v>0.952</v>
      </c>
      <c r="AA7" s="20">
        <f>IFERROR(__xludf.DUMMYFUNCTION("iferror(PERCENTRANK.INC(FILTER($V$2:$V$425, $T$2:$T$425&gt;4.1), $V7), 0.01)"),0.125)</f>
        <v>0.125</v>
      </c>
    </row>
    <row r="8" ht="14.25" customHeight="1">
      <c r="A8" s="17" t="s">
        <v>1601</v>
      </c>
      <c r="B8" s="17" t="s">
        <v>655</v>
      </c>
      <c r="C8" s="18">
        <v>2.0</v>
      </c>
      <c r="D8" s="23" t="s">
        <v>1595</v>
      </c>
      <c r="E8" s="17" t="s">
        <v>189</v>
      </c>
      <c r="F8" s="18">
        <v>160.0</v>
      </c>
      <c r="G8" s="18">
        <v>37.0</v>
      </c>
      <c r="H8" s="18">
        <v>20.0</v>
      </c>
      <c r="I8" s="19">
        <v>0.54</v>
      </c>
      <c r="J8" s="18">
        <v>0.0</v>
      </c>
      <c r="K8" s="18">
        <v>0.0</v>
      </c>
      <c r="L8" s="18">
        <v>3.0</v>
      </c>
      <c r="M8" s="18">
        <v>6.0</v>
      </c>
      <c r="N8" s="18">
        <v>271.0</v>
      </c>
      <c r="O8" s="22">
        <v>1.97</v>
      </c>
      <c r="P8" s="22">
        <v>25.45</v>
      </c>
      <c r="Q8" s="15"/>
      <c r="R8" s="38">
        <v>1.97</v>
      </c>
      <c r="S8" s="16">
        <v>1.04</v>
      </c>
      <c r="T8" s="16">
        <v>3.89</v>
      </c>
      <c r="U8" s="14">
        <f t="array" ref="U8">XLOOKUP(E8, 'Conference Match'!$A$2:$A$25, 'Conference Match'!$C$2:$C$25)</f>
        <v>0.9</v>
      </c>
      <c r="V8" s="20">
        <f t="shared" si="1"/>
        <v>3.14495</v>
      </c>
      <c r="W8" s="20">
        <f t="shared" si="2"/>
        <v>86.05687483</v>
      </c>
      <c r="Y8" s="20">
        <f>IFERROR(__xludf.DUMMYFUNCTION("iferror(PERCENTRANK.INC(FILTER($V$2:$V$425, $T$2:$T$425&lt;3.75), $V8), 1)"),1.0)</f>
        <v>1</v>
      </c>
      <c r="Z8" s="20">
        <f>IFERROR(__xludf.DUMMYFUNCTION("iferror(PERCENTRANK.INC(FILTER($V$2:$V$425, $T$2:$T$425&lt;4.5), $V8), 1)"),0.919)</f>
        <v>0.919</v>
      </c>
      <c r="AA8" s="20">
        <f>IFERROR(__xludf.DUMMYFUNCTION("iferror(PERCENTRANK.INC(FILTER($V$2:$V$425, $T$2:$T$425&gt;4.1), $V8), 0.01)"),0.01)</f>
        <v>0.01</v>
      </c>
    </row>
    <row r="9" ht="14.25" customHeight="1">
      <c r="A9" s="17" t="s">
        <v>1602</v>
      </c>
      <c r="B9" s="17" t="s">
        <v>1603</v>
      </c>
      <c r="C9" s="18">
        <v>5.0</v>
      </c>
      <c r="D9" s="17" t="s">
        <v>1595</v>
      </c>
      <c r="E9" s="17" t="s">
        <v>99</v>
      </c>
      <c r="F9" s="18">
        <v>2.0</v>
      </c>
      <c r="G9" s="18">
        <v>52.0</v>
      </c>
      <c r="H9" s="18">
        <v>35.0</v>
      </c>
      <c r="I9" s="19">
        <v>0.673</v>
      </c>
      <c r="J9" s="18">
        <v>1.0</v>
      </c>
      <c r="K9" s="18">
        <v>2.0</v>
      </c>
      <c r="L9" s="18">
        <v>8.0</v>
      </c>
      <c r="M9" s="18">
        <v>8.0</v>
      </c>
      <c r="N9" s="18">
        <v>283.0</v>
      </c>
      <c r="O9" s="22">
        <v>3.03</v>
      </c>
      <c r="P9" s="22">
        <v>59.73</v>
      </c>
      <c r="Q9" s="15"/>
      <c r="R9" s="38">
        <v>3.03</v>
      </c>
      <c r="S9" s="16">
        <v>0.75</v>
      </c>
      <c r="T9" s="16">
        <v>3.44</v>
      </c>
      <c r="U9" s="14">
        <f t="array" ref="U9">XLOOKUP(E9, 'Conference Match'!$A$2:$A$25, 'Conference Match'!$C$2:$C$25)</f>
        <v>1</v>
      </c>
      <c r="V9" s="20">
        <f t="shared" si="1"/>
        <v>2.975</v>
      </c>
      <c r="W9" s="20">
        <f t="shared" si="2"/>
        <v>81.14062146</v>
      </c>
      <c r="Y9" s="20">
        <f>IFERROR(__xludf.DUMMYFUNCTION("iferror(PERCENTRANK.INC(FILTER($V$2:$V$425, $T$2:$T$425&lt;3.75), $V9), 1)"),1.0)</f>
        <v>1</v>
      </c>
      <c r="Z9" s="20">
        <f>IFERROR(__xludf.DUMMYFUNCTION("iferror(PERCENTRANK.INC(FILTER($V$2:$V$425, $T$2:$T$425&lt;4.5), $V9), 1)"),0.887)</f>
        <v>0.887</v>
      </c>
      <c r="AA9" s="20">
        <f>IFERROR(__xludf.DUMMYFUNCTION("iferror(PERCENTRANK.INC(FILTER($V$2:$V$425, $T$2:$T$425&gt;4.1), $V9), 0.01)"),0.01)</f>
        <v>0.01</v>
      </c>
    </row>
    <row r="10" ht="14.25" customHeight="1">
      <c r="A10" s="17" t="s">
        <v>1604</v>
      </c>
      <c r="B10" s="17" t="s">
        <v>1306</v>
      </c>
      <c r="C10" s="18">
        <v>3.0</v>
      </c>
      <c r="D10" s="17" t="s">
        <v>1595</v>
      </c>
      <c r="E10" s="17" t="s">
        <v>135</v>
      </c>
      <c r="F10" s="18">
        <v>23.0</v>
      </c>
      <c r="G10" s="18">
        <v>33.0</v>
      </c>
      <c r="H10" s="18">
        <v>20.0</v>
      </c>
      <c r="I10" s="19">
        <v>0.606</v>
      </c>
      <c r="J10" s="18">
        <v>2.0</v>
      </c>
      <c r="K10" s="18">
        <v>0.0</v>
      </c>
      <c r="L10" s="18">
        <v>3.0</v>
      </c>
      <c r="M10" s="18">
        <v>5.0</v>
      </c>
      <c r="N10" s="18">
        <v>240.0</v>
      </c>
      <c r="O10" s="22">
        <v>2.29</v>
      </c>
      <c r="P10" s="22">
        <v>35.79</v>
      </c>
      <c r="Q10" s="15"/>
      <c r="R10" s="38">
        <v>2.29</v>
      </c>
      <c r="S10" s="16">
        <v>0.51</v>
      </c>
      <c r="T10" s="16">
        <v>3.44</v>
      </c>
      <c r="U10" s="14">
        <f t="array" ref="U10">XLOOKUP(E10, 'Conference Match'!$A$2:$A$25, 'Conference Match'!$C$2:$C$25)</f>
        <v>1</v>
      </c>
      <c r="V10" s="20">
        <f t="shared" si="1"/>
        <v>2.828</v>
      </c>
      <c r="W10" s="20">
        <f t="shared" si="2"/>
        <v>76.88825756</v>
      </c>
      <c r="Y10" s="20">
        <f>IFERROR(__xludf.DUMMYFUNCTION("iferror(PERCENTRANK.INC(FILTER($V$2:$V$425, $T$2:$T$425&lt;3.75), $V10), 1)"),0.981)</f>
        <v>0.981</v>
      </c>
      <c r="Z10" s="20">
        <f>IFERROR(__xludf.DUMMYFUNCTION("iferror(PERCENTRANK.INC(FILTER($V$2:$V$425, $T$2:$T$425&lt;4.5), $V10), 1)"),0.839)</f>
        <v>0.839</v>
      </c>
      <c r="AA10" s="20">
        <f>IFERROR(__xludf.DUMMYFUNCTION("iferror(PERCENTRANK.INC(FILTER($V$2:$V$425, $T$2:$T$425&gt;4.1), $V10), 0.01)"),0.01)</f>
        <v>0.01</v>
      </c>
    </row>
    <row r="11" ht="14.25" customHeight="1">
      <c r="A11" s="17" t="s">
        <v>1605</v>
      </c>
      <c r="B11" s="17" t="s">
        <v>301</v>
      </c>
      <c r="C11" s="18">
        <v>16.0</v>
      </c>
      <c r="D11" s="17" t="s">
        <v>1595</v>
      </c>
      <c r="E11" s="17" t="s">
        <v>144</v>
      </c>
      <c r="F11" s="18">
        <v>0.0</v>
      </c>
      <c r="G11" s="18">
        <v>6.0</v>
      </c>
      <c r="H11" s="18">
        <v>5.0</v>
      </c>
      <c r="I11" s="19">
        <v>0.833</v>
      </c>
      <c r="J11" s="18">
        <v>1.0</v>
      </c>
      <c r="K11" s="18">
        <v>0.0</v>
      </c>
      <c r="L11" s="18">
        <v>0.0</v>
      </c>
      <c r="M11" s="18">
        <v>0.0</v>
      </c>
      <c r="N11" s="18">
        <v>59.0</v>
      </c>
      <c r="O11" s="22">
        <v>1.39</v>
      </c>
      <c r="P11" s="22">
        <v>6.54</v>
      </c>
      <c r="Q11" s="15"/>
      <c r="R11" s="38">
        <v>1.39</v>
      </c>
      <c r="S11" s="16">
        <v>0.0</v>
      </c>
      <c r="T11" s="16">
        <v>3.44</v>
      </c>
      <c r="U11" s="14">
        <f t="array" ref="U11">XLOOKUP(E11, 'Conference Match'!$A$2:$A$25, 'Conference Match'!$C$2:$C$25)</f>
        <v>0.95</v>
      </c>
      <c r="V11" s="20">
        <f t="shared" si="1"/>
        <v>2.606075</v>
      </c>
      <c r="W11" s="20">
        <f t="shared" si="2"/>
        <v>70.46848982</v>
      </c>
      <c r="Y11" s="20">
        <f>IFERROR(__xludf.DUMMYFUNCTION("iferror(PERCENTRANK.INC(FILTER($V$2:$V$425, $T$2:$T$425&lt;3.75), $V11), 1)"),0.943)</f>
        <v>0.943</v>
      </c>
      <c r="Z11" s="20">
        <f>IFERROR(__xludf.DUMMYFUNCTION("iferror(PERCENTRANK.INC(FILTER($V$2:$V$425, $T$2:$T$425&lt;4.5), $V11), 1)"),0.806)</f>
        <v>0.806</v>
      </c>
      <c r="AA11" s="20">
        <f>IFERROR(__xludf.DUMMYFUNCTION("iferror(PERCENTRANK.INC(FILTER($V$2:$V$425, $T$2:$T$425&gt;4.1), $V11), 0.01)"),0.01)</f>
        <v>0.01</v>
      </c>
    </row>
    <row r="12" ht="14.25" customHeight="1">
      <c r="A12" s="17" t="s">
        <v>1606</v>
      </c>
      <c r="B12" s="17" t="s">
        <v>726</v>
      </c>
      <c r="C12" s="18">
        <v>14.0</v>
      </c>
      <c r="D12" s="17" t="s">
        <v>1595</v>
      </c>
      <c r="E12" s="17" t="s">
        <v>99</v>
      </c>
      <c r="F12" s="18">
        <v>2.0</v>
      </c>
      <c r="G12" s="18">
        <v>23.0</v>
      </c>
      <c r="H12" s="18">
        <v>19.0</v>
      </c>
      <c r="I12" s="19">
        <v>0.826</v>
      </c>
      <c r="J12" s="18">
        <v>0.0</v>
      </c>
      <c r="K12" s="18">
        <v>1.0</v>
      </c>
      <c r="L12" s="18">
        <v>2.0</v>
      </c>
      <c r="M12" s="18">
        <v>3.0</v>
      </c>
      <c r="N12" s="18">
        <v>141.0</v>
      </c>
      <c r="O12" s="22">
        <v>1.73</v>
      </c>
      <c r="P12" s="22">
        <v>19.89</v>
      </c>
      <c r="Q12" s="15"/>
      <c r="R12" s="22">
        <v>1.73</v>
      </c>
      <c r="S12" s="16">
        <v>0.03</v>
      </c>
      <c r="T12" s="16">
        <v>3.44</v>
      </c>
      <c r="U12" s="14">
        <f t="array" ref="U12">XLOOKUP(E12, 'Conference Match'!$A$2:$A$25, 'Conference Match'!$C$2:$C$25)</f>
        <v>1</v>
      </c>
      <c r="V12" s="20">
        <f t="shared" si="1"/>
        <v>2.672</v>
      </c>
      <c r="W12" s="20">
        <f t="shared" si="2"/>
        <v>72.37554485</v>
      </c>
      <c r="Y12" s="20">
        <f>IFERROR(__xludf.DUMMYFUNCTION("iferror(PERCENTRANK.INC(FILTER($V$2:$V$425, $T$2:$T$425&lt;3.75), $V12), 1)"),0.962)</f>
        <v>0.962</v>
      </c>
      <c r="Z12" s="20">
        <f>IFERROR(__xludf.DUMMYFUNCTION("iferror(PERCENTRANK.INC(FILTER($V$2:$V$425, $T$2:$T$425&lt;4.5), $V12), 1)"),0.823)</f>
        <v>0.823</v>
      </c>
      <c r="AA12" s="20">
        <f>IFERROR(__xludf.DUMMYFUNCTION("iferror(PERCENTRANK.INC(FILTER($V$2:$V$425, $T$2:$T$425&gt;4.1), $V12), 0.01)"),0.01)</f>
        <v>0.01</v>
      </c>
    </row>
    <row r="13" ht="14.25" customHeight="1">
      <c r="A13" s="17" t="s">
        <v>1607</v>
      </c>
      <c r="B13" s="17" t="s">
        <v>321</v>
      </c>
      <c r="C13" s="18">
        <v>6.0</v>
      </c>
      <c r="D13" s="17" t="s">
        <v>1595</v>
      </c>
      <c r="E13" s="17" t="s">
        <v>102</v>
      </c>
      <c r="F13" s="18">
        <v>3.0</v>
      </c>
      <c r="G13" s="18">
        <v>28.0</v>
      </c>
      <c r="H13" s="18">
        <v>13.0</v>
      </c>
      <c r="I13" s="19">
        <v>0.464</v>
      </c>
      <c r="J13" s="18">
        <v>2.0</v>
      </c>
      <c r="K13" s="18">
        <v>0.0</v>
      </c>
      <c r="L13" s="18">
        <v>0.0</v>
      </c>
      <c r="M13" s="18">
        <v>1.0</v>
      </c>
      <c r="N13" s="18">
        <v>327.0</v>
      </c>
      <c r="O13" s="22">
        <v>1.67</v>
      </c>
      <c r="P13" s="22">
        <v>17.84</v>
      </c>
      <c r="Q13" s="15"/>
      <c r="R13" s="22">
        <v>1.67</v>
      </c>
      <c r="S13" s="16">
        <v>0.1</v>
      </c>
      <c r="T13" s="16">
        <v>3.22</v>
      </c>
      <c r="U13" s="14">
        <f t="array" ref="U13">XLOOKUP(E13, 'Conference Match'!$A$2:$A$25, 'Conference Match'!$C$2:$C$25)</f>
        <v>0.9</v>
      </c>
      <c r="V13" s="20">
        <f t="shared" si="1"/>
        <v>2.49445</v>
      </c>
      <c r="W13" s="20">
        <f t="shared" si="2"/>
        <v>67.23944138</v>
      </c>
      <c r="Y13" s="20">
        <f>IFERROR(__xludf.DUMMYFUNCTION("iferror(PERCENTRANK.INC(FILTER($V$2:$V$425, $T$2:$T$425&lt;3.75), $V13), 1)"),0.925)</f>
        <v>0.925</v>
      </c>
      <c r="Z13" s="20">
        <f>IFERROR(__xludf.DUMMYFUNCTION("iferror(PERCENTRANK.INC(FILTER($V$2:$V$425, $T$2:$T$425&lt;4.5), $V13), 1)"),0.79)</f>
        <v>0.79</v>
      </c>
      <c r="AA13" s="20">
        <f>IFERROR(__xludf.DUMMYFUNCTION("iferror(PERCENTRANK.INC(FILTER($V$2:$V$425, $T$2:$T$425&gt;4.1), $V13), 0.01)"),0.01)</f>
        <v>0.01</v>
      </c>
    </row>
    <row r="14" ht="14.25" customHeight="1">
      <c r="A14" s="14" t="s">
        <v>1608</v>
      </c>
      <c r="B14" s="14" t="s">
        <v>331</v>
      </c>
      <c r="C14" s="14">
        <v>16.0</v>
      </c>
      <c r="D14" s="14" t="s">
        <v>1595</v>
      </c>
      <c r="E14" s="14" t="s">
        <v>182</v>
      </c>
      <c r="F14" s="14">
        <v>2.0</v>
      </c>
      <c r="G14" s="14">
        <v>11.0</v>
      </c>
      <c r="H14" s="14">
        <v>10.0</v>
      </c>
      <c r="I14" s="60">
        <v>0.909</v>
      </c>
      <c r="J14" s="14">
        <v>1.0</v>
      </c>
      <c r="K14" s="14">
        <v>0.0</v>
      </c>
      <c r="L14" s="14">
        <v>1.0</v>
      </c>
      <c r="M14" s="14">
        <v>1.0</v>
      </c>
      <c r="N14" s="14">
        <v>188.0</v>
      </c>
      <c r="O14" s="20">
        <v>1.569092</v>
      </c>
      <c r="P14" s="20">
        <v>13.979343444940554</v>
      </c>
      <c r="Q14" s="15"/>
      <c r="R14" s="20">
        <v>1.569092</v>
      </c>
      <c r="U14" s="14">
        <f t="array" ref="U14">XLOOKUP(E14, 'Conference Match'!$A$2:$A$25, 'Conference Match'!$C$2:$C$25)</f>
        <v>1</v>
      </c>
      <c r="V14" s="20">
        <f t="shared" si="1"/>
        <v>0.2353638</v>
      </c>
      <c r="W14" s="20">
        <f t="shared" si="2"/>
        <v>1.889396443</v>
      </c>
      <c r="Y14" s="20">
        <f>IFERROR(__xludf.DUMMYFUNCTION("iferror(PERCENTRANK.INC(FILTER($V$2:$V$425, $T$2:$T$425&lt;3.75), $V14), 1)"),0.509)</f>
        <v>0.509</v>
      </c>
      <c r="Z14" s="20">
        <f>IFERROR(__xludf.DUMMYFUNCTION("iferror(PERCENTRANK.INC(FILTER($V$2:$V$425, $T$2:$T$425&lt;4.5), $V14), 1)"),0.435)</f>
        <v>0.435</v>
      </c>
      <c r="AA14" s="20">
        <f>IFERROR(__xludf.DUMMYFUNCTION("iferror(PERCENTRANK.INC(FILTER($V$2:$V$425, $T$2:$T$425&gt;4.1), $V14), 0.01)"),0.01)</f>
        <v>0.01</v>
      </c>
    </row>
    <row r="15" ht="14.25" customHeight="1">
      <c r="A15" s="14" t="s">
        <v>1609</v>
      </c>
      <c r="B15" s="14" t="s">
        <v>331</v>
      </c>
      <c r="C15" s="14">
        <v>3.0</v>
      </c>
      <c r="D15" s="14" t="s">
        <v>1595</v>
      </c>
      <c r="E15" s="14" t="s">
        <v>182</v>
      </c>
      <c r="F15" s="14">
        <v>2.0</v>
      </c>
      <c r="G15" s="14">
        <v>15.0</v>
      </c>
      <c r="H15" s="14">
        <v>9.0</v>
      </c>
      <c r="I15" s="60">
        <v>0.6</v>
      </c>
      <c r="J15" s="14">
        <v>0.0</v>
      </c>
      <c r="K15" s="14">
        <v>0.0</v>
      </c>
      <c r="L15" s="14">
        <v>1.0</v>
      </c>
      <c r="M15" s="14">
        <v>1.0</v>
      </c>
      <c r="N15" s="14">
        <v>254.0</v>
      </c>
      <c r="O15" s="20">
        <v>1.3728</v>
      </c>
      <c r="P15" s="20">
        <v>6.778895040108465</v>
      </c>
      <c r="Q15" s="15"/>
      <c r="R15" s="20">
        <v>1.3728</v>
      </c>
      <c r="U15" s="14">
        <f t="array" ref="U15">XLOOKUP(E15, 'Conference Match'!$A$2:$A$25, 'Conference Match'!$C$2:$C$25)</f>
        <v>1</v>
      </c>
      <c r="V15" s="20">
        <f t="shared" si="1"/>
        <v>0.20592</v>
      </c>
      <c r="W15" s="20">
        <f t="shared" si="2"/>
        <v>1.037656632</v>
      </c>
      <c r="Y15" s="20">
        <f>IFERROR(__xludf.DUMMYFUNCTION("iferror(PERCENTRANK.INC(FILTER($V$2:$V$425, $T$2:$T$425&lt;3.75), $V15), 1)"),0.264)</f>
        <v>0.264</v>
      </c>
      <c r="Z15" s="20">
        <f>IFERROR(__xludf.DUMMYFUNCTION("iferror(PERCENTRANK.INC(FILTER($V$2:$V$425, $T$2:$T$425&lt;4.5), $V15), 1)"),0.226)</f>
        <v>0.226</v>
      </c>
      <c r="AA15" s="20">
        <f>IFERROR(__xludf.DUMMYFUNCTION("iferror(PERCENTRANK.INC(FILTER($V$2:$V$425, $T$2:$T$425&gt;4.1), $V15), 0.01)"),0.01)</f>
        <v>0.01</v>
      </c>
    </row>
    <row r="16" ht="14.25" customHeight="1">
      <c r="A16" s="14" t="s">
        <v>1610</v>
      </c>
      <c r="B16" s="14" t="s">
        <v>351</v>
      </c>
      <c r="C16" s="14">
        <v>0.0</v>
      </c>
      <c r="D16" s="14" t="s">
        <v>1595</v>
      </c>
      <c r="E16" s="14" t="s">
        <v>135</v>
      </c>
      <c r="F16" s="14">
        <v>10.0</v>
      </c>
      <c r="G16" s="14">
        <v>23.0</v>
      </c>
      <c r="H16" s="14">
        <v>19.0</v>
      </c>
      <c r="I16" s="60">
        <v>0.826</v>
      </c>
      <c r="J16" s="14">
        <v>1.0</v>
      </c>
      <c r="K16" s="14">
        <v>0.0</v>
      </c>
      <c r="L16" s="14">
        <v>1.0</v>
      </c>
      <c r="M16" s="14">
        <v>1.0</v>
      </c>
      <c r="N16" s="14">
        <v>308.0</v>
      </c>
      <c r="O16" s="20">
        <v>1.5700880000000002</v>
      </c>
      <c r="P16" s="20">
        <v>14.015879048078807</v>
      </c>
      <c r="Q16" s="15"/>
      <c r="R16" s="20">
        <v>1.5700880000000002</v>
      </c>
      <c r="U16" s="14">
        <f t="array" ref="U16">XLOOKUP(E16, 'Conference Match'!$A$2:$A$25, 'Conference Match'!$C$2:$C$25)</f>
        <v>1</v>
      </c>
      <c r="V16" s="20">
        <f t="shared" si="1"/>
        <v>0.2355132</v>
      </c>
      <c r="W16" s="20">
        <f t="shared" si="2"/>
        <v>1.893718233</v>
      </c>
      <c r="Y16" s="20">
        <f>IFERROR(__xludf.DUMMYFUNCTION("iferror(PERCENTRANK.INC(FILTER($V$2:$V$425, $T$2:$T$425&lt;3.75), $V16), 1)"),0.547)</f>
        <v>0.547</v>
      </c>
      <c r="Z16" s="20">
        <f>IFERROR(__xludf.DUMMYFUNCTION("iferror(PERCENTRANK.INC(FILTER($V$2:$V$425, $T$2:$T$425&lt;4.5), $V16), 1)"),0.468)</f>
        <v>0.468</v>
      </c>
      <c r="AA16" s="20">
        <f>IFERROR(__xludf.DUMMYFUNCTION("iferror(PERCENTRANK.INC(FILTER($V$2:$V$425, $T$2:$T$425&gt;4.1), $V16), 0.01)"),0.01)</f>
        <v>0.01</v>
      </c>
    </row>
    <row r="17" ht="14.25" customHeight="1">
      <c r="A17" s="14" t="s">
        <v>1611</v>
      </c>
      <c r="B17" s="14" t="s">
        <v>351</v>
      </c>
      <c r="C17" s="14">
        <v>20.0</v>
      </c>
      <c r="D17" s="14" t="s">
        <v>1595</v>
      </c>
      <c r="E17" s="14" t="s">
        <v>135</v>
      </c>
      <c r="F17" s="14">
        <v>0.0</v>
      </c>
      <c r="G17" s="14">
        <v>4.0</v>
      </c>
      <c r="H17" s="14">
        <v>2.0</v>
      </c>
      <c r="I17" s="60">
        <v>0.5</v>
      </c>
      <c r="J17" s="14">
        <v>0.0</v>
      </c>
      <c r="K17" s="14">
        <v>0.0</v>
      </c>
      <c r="L17" s="14">
        <v>1.0</v>
      </c>
      <c r="M17" s="14">
        <v>1.0</v>
      </c>
      <c r="N17" s="14">
        <v>64.0</v>
      </c>
      <c r="O17" s="20">
        <v>1.3739999999999997</v>
      </c>
      <c r="P17" s="20">
        <v>6.822913839070195</v>
      </c>
      <c r="Q17" s="15"/>
      <c r="R17" s="20">
        <v>1.3739999999999997</v>
      </c>
      <c r="U17" s="14">
        <f t="array" ref="U17">XLOOKUP(E17, 'Conference Match'!$A$2:$A$25, 'Conference Match'!$C$2:$C$25)</f>
        <v>1</v>
      </c>
      <c r="V17" s="20">
        <f t="shared" si="1"/>
        <v>0.2061</v>
      </c>
      <c r="W17" s="20">
        <f t="shared" si="2"/>
        <v>1.042863608</v>
      </c>
      <c r="Y17" s="20">
        <f>IFERROR(__xludf.DUMMYFUNCTION("iferror(PERCENTRANK.INC(FILTER($V$2:$V$425, $T$2:$T$425&lt;3.75), $V17), 1)"),0.283)</f>
        <v>0.283</v>
      </c>
      <c r="Z17" s="20">
        <f>IFERROR(__xludf.DUMMYFUNCTION("iferror(PERCENTRANK.INC(FILTER($V$2:$V$425, $T$2:$T$425&lt;4.5), $V17), 1)"),0.242)</f>
        <v>0.242</v>
      </c>
      <c r="AA17" s="20">
        <f>IFERROR(__xludf.DUMMYFUNCTION("iferror(PERCENTRANK.INC(FILTER($V$2:$V$425, $T$2:$T$425&gt;4.1), $V17), 0.01)"),0.01)</f>
        <v>0.01</v>
      </c>
    </row>
    <row r="18" ht="14.25" customHeight="1">
      <c r="A18" s="14" t="s">
        <v>1612</v>
      </c>
      <c r="B18" s="14" t="s">
        <v>351</v>
      </c>
      <c r="C18" s="14">
        <v>27.0</v>
      </c>
      <c r="D18" s="14" t="s">
        <v>1595</v>
      </c>
      <c r="E18" s="14" t="s">
        <v>135</v>
      </c>
      <c r="F18" s="14">
        <v>1.0</v>
      </c>
      <c r="G18" s="14">
        <v>8.0</v>
      </c>
      <c r="H18" s="14">
        <v>6.0</v>
      </c>
      <c r="I18" s="60">
        <v>0.75</v>
      </c>
      <c r="J18" s="14">
        <v>0.0</v>
      </c>
      <c r="K18" s="14">
        <v>0.0</v>
      </c>
      <c r="L18" s="14">
        <v>0.0</v>
      </c>
      <c r="M18" s="14">
        <v>0.0</v>
      </c>
      <c r="N18" s="14">
        <v>77.0</v>
      </c>
      <c r="O18" s="20">
        <v>1.1909999999999998</v>
      </c>
      <c r="P18" s="20">
        <v>0.11004699740435418</v>
      </c>
      <c r="Q18" s="15"/>
      <c r="R18" s="20">
        <v>1.1909999999999998</v>
      </c>
      <c r="U18" s="14">
        <f t="array" ref="U18">XLOOKUP(E18, 'Conference Match'!$A$2:$A$25, 'Conference Match'!$C$2:$C$25)</f>
        <v>1</v>
      </c>
      <c r="V18" s="20">
        <f t="shared" si="1"/>
        <v>0.17865</v>
      </c>
      <c r="W18" s="20">
        <f t="shared" si="2"/>
        <v>0.248799737</v>
      </c>
      <c r="Y18" s="20">
        <f>IFERROR(__xludf.DUMMYFUNCTION("iferror(PERCENTRANK.INC(FILTER($V$2:$V$425, $T$2:$T$425&lt;3.75), $V18), 1)"),0.094)</f>
        <v>0.094</v>
      </c>
      <c r="Z18" s="20">
        <f>IFERROR(__xludf.DUMMYFUNCTION("iferror(PERCENTRANK.INC(FILTER($V$2:$V$425, $T$2:$T$425&lt;4.5), $V18), 1)"),0.081)</f>
        <v>0.081</v>
      </c>
      <c r="AA18" s="20">
        <f>IFERROR(__xludf.DUMMYFUNCTION("iferror(PERCENTRANK.INC(FILTER($V$2:$V$425, $T$2:$T$425&gt;4.1), $V18), 0.01)"),0.01)</f>
        <v>0.01</v>
      </c>
    </row>
    <row r="19" ht="14.25" customHeight="1">
      <c r="A19" s="14" t="s">
        <v>1613</v>
      </c>
      <c r="B19" s="14" t="s">
        <v>410</v>
      </c>
      <c r="C19" s="14">
        <v>6.0</v>
      </c>
      <c r="D19" s="14" t="s">
        <v>1595</v>
      </c>
      <c r="E19" s="14" t="s">
        <v>147</v>
      </c>
      <c r="F19" s="14">
        <v>4.0</v>
      </c>
      <c r="G19" s="14">
        <v>19.0</v>
      </c>
      <c r="H19" s="14">
        <v>9.0</v>
      </c>
      <c r="I19" s="60">
        <v>0.474</v>
      </c>
      <c r="J19" s="14">
        <v>0.0</v>
      </c>
      <c r="K19" s="14">
        <v>2.0</v>
      </c>
      <c r="L19" s="14">
        <v>3.0</v>
      </c>
      <c r="M19" s="14">
        <v>3.0</v>
      </c>
      <c r="N19" s="14">
        <v>243.0</v>
      </c>
      <c r="O19" s="20">
        <v>1.9343119999999998</v>
      </c>
      <c r="P19" s="20">
        <v>27.376464908947113</v>
      </c>
      <c r="Q19" s="15"/>
      <c r="R19" s="20">
        <v>1.9343119999999998</v>
      </c>
      <c r="U19" s="14">
        <f t="array" ref="U19">XLOOKUP(E19, 'Conference Match'!$A$2:$A$25, 'Conference Match'!$C$2:$C$25)</f>
        <v>0.95</v>
      </c>
      <c r="V19" s="20">
        <f t="shared" si="1"/>
        <v>0.27563946</v>
      </c>
      <c r="W19" s="20">
        <f t="shared" si="2"/>
        <v>3.054476461</v>
      </c>
      <c r="Y19" s="20">
        <f>IFERROR(__xludf.DUMMYFUNCTION("iferror(PERCENTRANK.INC(FILTER($V$2:$V$425, $T$2:$T$425&lt;3.75), $V19), 1)"),0.679)</f>
        <v>0.679</v>
      </c>
      <c r="Z19" s="20">
        <f>IFERROR(__xludf.DUMMYFUNCTION("iferror(PERCENTRANK.INC(FILTER($V$2:$V$425, $T$2:$T$425&lt;4.5), $V19), 1)"),0.581)</f>
        <v>0.581</v>
      </c>
      <c r="AA19" s="20">
        <f>IFERROR(__xludf.DUMMYFUNCTION("iferror(PERCENTRANK.INC(FILTER($V$2:$V$425, $T$2:$T$425&gt;4.1), $V19), 0.01)"),0.01)</f>
        <v>0.01</v>
      </c>
    </row>
    <row r="20" ht="14.25" customHeight="1">
      <c r="A20" s="14" t="s">
        <v>1614</v>
      </c>
      <c r="B20" s="14" t="s">
        <v>131</v>
      </c>
      <c r="C20" s="14">
        <v>12.0</v>
      </c>
      <c r="D20" s="14" t="s">
        <v>1595</v>
      </c>
      <c r="E20" s="14" t="s">
        <v>132</v>
      </c>
      <c r="F20" s="14">
        <v>1.0</v>
      </c>
      <c r="G20" s="14">
        <v>14.0</v>
      </c>
      <c r="H20" s="14">
        <v>9.0</v>
      </c>
      <c r="I20" s="60">
        <v>0.643</v>
      </c>
      <c r="J20" s="14">
        <v>4.0</v>
      </c>
      <c r="K20" s="14">
        <v>0.0</v>
      </c>
      <c r="L20" s="14">
        <v>0.0</v>
      </c>
      <c r="M20" s="14">
        <v>0.0</v>
      </c>
      <c r="N20" s="14">
        <v>132.0</v>
      </c>
      <c r="O20" s="20">
        <v>1.992284</v>
      </c>
      <c r="P20" s="20">
        <v>29.50301308678893</v>
      </c>
      <c r="Q20" s="15"/>
      <c r="R20" s="20">
        <v>1.992284</v>
      </c>
      <c r="U20" s="14">
        <f t="array" ref="U20">XLOOKUP(E20, 'Conference Match'!$A$2:$A$25, 'Conference Match'!$C$2:$C$25)</f>
        <v>0.95</v>
      </c>
      <c r="V20" s="20">
        <f t="shared" si="1"/>
        <v>0.28390047</v>
      </c>
      <c r="W20" s="20">
        <f t="shared" si="2"/>
        <v>3.293448031</v>
      </c>
      <c r="Y20" s="20">
        <f>IFERROR(__xludf.DUMMYFUNCTION("iferror(PERCENTRANK.INC(FILTER($V$2:$V$425, $T$2:$T$425&lt;3.75), $V20), 1)"),0.698)</f>
        <v>0.698</v>
      </c>
      <c r="Z20" s="20">
        <f>IFERROR(__xludf.DUMMYFUNCTION("iferror(PERCENTRANK.INC(FILTER($V$2:$V$425, $T$2:$T$425&lt;4.5), $V20), 1)"),0.597)</f>
        <v>0.597</v>
      </c>
      <c r="AA20" s="20">
        <f>IFERROR(__xludf.DUMMYFUNCTION("iferror(PERCENTRANK.INC(FILTER($V$2:$V$425, $T$2:$T$425&gt;4.1), $V20), 0.01)"),0.01)</f>
        <v>0.01</v>
      </c>
    </row>
    <row r="21" ht="14.25" customHeight="1">
      <c r="A21" s="14" t="s">
        <v>1615</v>
      </c>
      <c r="B21" s="14" t="s">
        <v>131</v>
      </c>
      <c r="C21" s="14">
        <v>18.0</v>
      </c>
      <c r="D21" s="14" t="s">
        <v>1595</v>
      </c>
      <c r="E21" s="14" t="s">
        <v>132</v>
      </c>
      <c r="F21" s="14">
        <v>18.0</v>
      </c>
      <c r="G21" s="14">
        <v>19.0</v>
      </c>
      <c r="H21" s="14">
        <v>13.0</v>
      </c>
      <c r="I21" s="60">
        <v>0.684</v>
      </c>
      <c r="J21" s="14">
        <v>0.0</v>
      </c>
      <c r="K21" s="14">
        <v>1.0</v>
      </c>
      <c r="L21" s="14">
        <v>1.0</v>
      </c>
      <c r="M21" s="14">
        <v>1.0</v>
      </c>
      <c r="N21" s="14">
        <v>123.0</v>
      </c>
      <c r="O21" s="20">
        <v>1.4717919999999998</v>
      </c>
      <c r="P21" s="20">
        <v>10.41015249579253</v>
      </c>
      <c r="Q21" s="15"/>
      <c r="R21" s="20">
        <v>1.4717919999999998</v>
      </c>
      <c r="U21" s="14">
        <f t="array" ref="U21">XLOOKUP(E21, 'Conference Match'!$A$2:$A$25, 'Conference Match'!$C$2:$C$25)</f>
        <v>0.95</v>
      </c>
      <c r="V21" s="20">
        <f t="shared" si="1"/>
        <v>0.20973036</v>
      </c>
      <c r="W21" s="20">
        <f t="shared" si="2"/>
        <v>1.147881376</v>
      </c>
      <c r="Y21" s="20">
        <f>IFERROR(__xludf.DUMMYFUNCTION("iferror(PERCENTRANK.INC(FILTER($V$2:$V$425, $T$2:$T$425&lt;3.75), $V21), 1)"),0.358)</f>
        <v>0.358</v>
      </c>
      <c r="Z21" s="20">
        <f>IFERROR(__xludf.DUMMYFUNCTION("iferror(PERCENTRANK.INC(FILTER($V$2:$V$425, $T$2:$T$425&lt;4.5), $V21), 1)"),0.306)</f>
        <v>0.306</v>
      </c>
      <c r="AA21" s="20">
        <f>IFERROR(__xludf.DUMMYFUNCTION("iferror(PERCENTRANK.INC(FILTER($V$2:$V$425, $T$2:$T$425&gt;4.1), $V21), 0.01)"),0.01)</f>
        <v>0.01</v>
      </c>
    </row>
    <row r="22" ht="14.25" customHeight="1">
      <c r="A22" s="14" t="s">
        <v>1616</v>
      </c>
      <c r="B22" s="14" t="s">
        <v>509</v>
      </c>
      <c r="C22" s="14">
        <v>7.0</v>
      </c>
      <c r="D22" s="14" t="s">
        <v>1595</v>
      </c>
      <c r="E22" s="14" t="s">
        <v>99</v>
      </c>
      <c r="F22" s="14">
        <v>5.0</v>
      </c>
      <c r="G22" s="14">
        <v>27.0</v>
      </c>
      <c r="H22" s="14">
        <v>19.0</v>
      </c>
      <c r="I22" s="60">
        <v>0.704</v>
      </c>
      <c r="J22" s="14">
        <v>1.0</v>
      </c>
      <c r="K22" s="14">
        <v>0.0</v>
      </c>
      <c r="L22" s="14">
        <v>2.0</v>
      </c>
      <c r="M22" s="14">
        <v>2.0</v>
      </c>
      <c r="N22" s="14">
        <v>238.0</v>
      </c>
      <c r="O22" s="20">
        <v>1.751552</v>
      </c>
      <c r="P22" s="20">
        <v>20.672401827073617</v>
      </c>
      <c r="Q22" s="15"/>
      <c r="R22" s="20">
        <v>1.751552</v>
      </c>
      <c r="S22" s="16">
        <v>0.42</v>
      </c>
      <c r="T22" s="16">
        <v>4.56</v>
      </c>
      <c r="U22" s="14">
        <f t="array" ref="U22">XLOOKUP(E22, 'Conference Match'!$A$2:$A$25, 'Conference Match'!$C$2:$C$25)</f>
        <v>1</v>
      </c>
      <c r="V22" s="20">
        <f t="shared" si="1"/>
        <v>3.5177328</v>
      </c>
      <c r="W22" s="20">
        <f t="shared" si="2"/>
        <v>96.84060355</v>
      </c>
      <c r="Y22" s="20">
        <f>IFERROR(__xludf.DUMMYFUNCTION("iferror(PERCENTRANK.INC(FILTER($V$2:$V$425, $T$2:$T$425&lt;3.75), $V22), 1)"),1.0)</f>
        <v>1</v>
      </c>
      <c r="Z22" s="20">
        <f>IFERROR(__xludf.DUMMYFUNCTION("iferror(PERCENTRANK.INC(FILTER($V$2:$V$425, $T$2:$T$425&lt;4.5), $V22), 1)"),0.976)</f>
        <v>0.976</v>
      </c>
      <c r="AA22" s="20">
        <f>IFERROR(__xludf.DUMMYFUNCTION("iferror(PERCENTRANK.INC(FILTER($V$2:$V$425, $T$2:$T$425&gt;4.1), $V22), 0.01)"),0.5)</f>
        <v>0.5</v>
      </c>
    </row>
    <row r="23" ht="14.25" customHeight="1">
      <c r="A23" s="14" t="s">
        <v>1617</v>
      </c>
      <c r="B23" s="14" t="s">
        <v>509</v>
      </c>
      <c r="C23" s="14">
        <v>23.0</v>
      </c>
      <c r="D23" s="14" t="s">
        <v>1595</v>
      </c>
      <c r="E23" s="14" t="s">
        <v>99</v>
      </c>
      <c r="F23" s="14">
        <v>4.0</v>
      </c>
      <c r="G23" s="14">
        <v>10.0</v>
      </c>
      <c r="H23" s="14">
        <v>5.0</v>
      </c>
      <c r="I23" s="60">
        <v>0.5</v>
      </c>
      <c r="J23" s="14">
        <v>0.0</v>
      </c>
      <c r="K23" s="14">
        <v>0.0</v>
      </c>
      <c r="L23" s="14">
        <v>2.0</v>
      </c>
      <c r="M23" s="14">
        <v>2.0</v>
      </c>
      <c r="N23" s="14">
        <v>215.0</v>
      </c>
      <c r="O23" s="20">
        <v>1.5539999999999998</v>
      </c>
      <c r="P23" s="20">
        <v>13.425733683331691</v>
      </c>
      <c r="Q23" s="15"/>
      <c r="R23" s="20">
        <v>1.5539999999999998</v>
      </c>
      <c r="U23" s="14">
        <f t="array" ref="U23">XLOOKUP(E23, 'Conference Match'!$A$2:$A$25, 'Conference Match'!$C$2:$C$25)</f>
        <v>1</v>
      </c>
      <c r="V23" s="20">
        <f t="shared" si="1"/>
        <v>0.2331</v>
      </c>
      <c r="W23" s="20">
        <f t="shared" si="2"/>
        <v>1.823910039</v>
      </c>
      <c r="Y23" s="20">
        <f>IFERROR(__xludf.DUMMYFUNCTION("iferror(PERCENTRANK.INC(FILTER($V$2:$V$425, $T$2:$T$425&lt;3.75), $V23), 1)"),0.472)</f>
        <v>0.472</v>
      </c>
      <c r="Z23" s="20">
        <f>IFERROR(__xludf.DUMMYFUNCTION("iferror(PERCENTRANK.INC(FILTER($V$2:$V$425, $T$2:$T$425&lt;4.5), $V23), 1)"),0.403)</f>
        <v>0.403</v>
      </c>
      <c r="AA23" s="20">
        <f>IFERROR(__xludf.DUMMYFUNCTION("iferror(PERCENTRANK.INC(FILTER($V$2:$V$425, $T$2:$T$425&gt;4.1), $V23), 0.01)"),0.01)</f>
        <v>0.01</v>
      </c>
    </row>
    <row r="24" ht="14.25" customHeight="1">
      <c r="A24" s="14" t="s">
        <v>1618</v>
      </c>
      <c r="B24" s="14" t="s">
        <v>509</v>
      </c>
      <c r="C24" s="14">
        <v>13.0</v>
      </c>
      <c r="D24" s="14" t="s">
        <v>1595</v>
      </c>
      <c r="E24" s="14" t="s">
        <v>99</v>
      </c>
      <c r="F24" s="14">
        <v>0.0</v>
      </c>
      <c r="G24" s="14">
        <v>2.0</v>
      </c>
      <c r="H24" s="14">
        <v>1.0</v>
      </c>
      <c r="I24" s="60">
        <v>0.5</v>
      </c>
      <c r="J24" s="14">
        <v>1.0</v>
      </c>
      <c r="K24" s="14">
        <v>0.0</v>
      </c>
      <c r="L24" s="14">
        <v>0.0</v>
      </c>
      <c r="M24" s="14">
        <v>0.0</v>
      </c>
      <c r="N24" s="14">
        <v>72.0</v>
      </c>
      <c r="O24" s="20">
        <v>1.3939999999999997</v>
      </c>
      <c r="P24" s="20">
        <v>7.556560488432583</v>
      </c>
      <c r="Q24" s="15"/>
      <c r="R24" s="20">
        <v>1.3939999999999997</v>
      </c>
      <c r="U24" s="14">
        <f t="array" ref="U24">XLOOKUP(E24, 'Conference Match'!$A$2:$A$25, 'Conference Match'!$C$2:$C$25)</f>
        <v>1</v>
      </c>
      <c r="V24" s="20">
        <f t="shared" si="1"/>
        <v>0.2091</v>
      </c>
      <c r="W24" s="20">
        <f t="shared" si="2"/>
        <v>1.129646545</v>
      </c>
      <c r="Y24" s="20">
        <f>IFERROR(__xludf.DUMMYFUNCTION("iferror(PERCENTRANK.INC(FILTER($V$2:$V$425, $T$2:$T$425&lt;3.75), $V24), 1)"),0.34)</f>
        <v>0.34</v>
      </c>
      <c r="Z24" s="20">
        <f>IFERROR(__xludf.DUMMYFUNCTION("iferror(PERCENTRANK.INC(FILTER($V$2:$V$425, $T$2:$T$425&lt;4.5), $V24), 1)"),0.29)</f>
        <v>0.29</v>
      </c>
      <c r="AA24" s="20">
        <f>IFERROR(__xludf.DUMMYFUNCTION("iferror(PERCENTRANK.INC(FILTER($V$2:$V$425, $T$2:$T$425&gt;4.1), $V24), 0.01)"),0.01)</f>
        <v>0.01</v>
      </c>
    </row>
    <row r="25" ht="14.25" customHeight="1">
      <c r="A25" s="14" t="s">
        <v>1619</v>
      </c>
      <c r="B25" s="14" t="s">
        <v>165</v>
      </c>
      <c r="C25" s="14">
        <v>35.0</v>
      </c>
      <c r="D25" s="14" t="s">
        <v>1595</v>
      </c>
      <c r="E25" s="14" t="s">
        <v>135</v>
      </c>
      <c r="F25" s="14">
        <v>3.0</v>
      </c>
      <c r="G25" s="14">
        <v>7.0</v>
      </c>
      <c r="H25" s="14">
        <v>6.0</v>
      </c>
      <c r="I25" s="60">
        <v>0.857</v>
      </c>
      <c r="J25" s="14">
        <v>1.0</v>
      </c>
      <c r="K25" s="14">
        <v>0.0</v>
      </c>
      <c r="L25" s="14">
        <v>1.0</v>
      </c>
      <c r="M25" s="14">
        <v>1.0</v>
      </c>
      <c r="N25" s="14">
        <v>80.0</v>
      </c>
      <c r="O25" s="20">
        <v>1.569716</v>
      </c>
      <c r="P25" s="20">
        <v>14.002233220400658</v>
      </c>
      <c r="Q25" s="15"/>
      <c r="R25" s="20">
        <v>1.569716</v>
      </c>
      <c r="U25" s="14">
        <f t="array" ref="U25">XLOOKUP(E25, 'Conference Match'!$A$2:$A$25, 'Conference Match'!$C$2:$C$25)</f>
        <v>1</v>
      </c>
      <c r="V25" s="20">
        <f t="shared" si="1"/>
        <v>0.2354574</v>
      </c>
      <c r="W25" s="20">
        <f t="shared" si="2"/>
        <v>1.892104071</v>
      </c>
      <c r="Y25" s="20">
        <f>IFERROR(__xludf.DUMMYFUNCTION("iferror(PERCENTRANK.INC(FILTER($V$2:$V$425, $T$2:$T$425&lt;3.75), $V25), 1)"),0.528)</f>
        <v>0.528</v>
      </c>
      <c r="Z25" s="20">
        <f>IFERROR(__xludf.DUMMYFUNCTION("iferror(PERCENTRANK.INC(FILTER($V$2:$V$425, $T$2:$T$425&lt;4.5), $V25), 1)"),0.452)</f>
        <v>0.452</v>
      </c>
      <c r="AA25" s="20">
        <f>IFERROR(__xludf.DUMMYFUNCTION("iferror(PERCENTRANK.INC(FILTER($V$2:$V$425, $T$2:$T$425&gt;4.1), $V25), 0.01)"),0.01)</f>
        <v>0.01</v>
      </c>
    </row>
    <row r="26" ht="14.25" customHeight="1">
      <c r="A26" s="14" t="s">
        <v>1620</v>
      </c>
      <c r="B26" s="14" t="s">
        <v>165</v>
      </c>
      <c r="C26" s="14">
        <v>8.0</v>
      </c>
      <c r="D26" s="14" t="s">
        <v>1595</v>
      </c>
      <c r="E26" s="14" t="s">
        <v>135</v>
      </c>
      <c r="F26" s="14">
        <v>3.0</v>
      </c>
      <c r="G26" s="14">
        <v>35.0</v>
      </c>
      <c r="H26" s="14">
        <v>22.0</v>
      </c>
      <c r="I26" s="60">
        <v>0.629</v>
      </c>
      <c r="J26" s="14">
        <v>1.0</v>
      </c>
      <c r="K26" s="14">
        <v>0.0</v>
      </c>
      <c r="L26" s="14">
        <v>0.0</v>
      </c>
      <c r="M26" s="14">
        <v>0.0</v>
      </c>
      <c r="N26" s="14">
        <v>272.0</v>
      </c>
      <c r="O26" s="20">
        <v>1.3924519999999998</v>
      </c>
      <c r="P26" s="20">
        <v>7.49977623777194</v>
      </c>
      <c r="Q26" s="15"/>
      <c r="R26" s="20">
        <v>1.3924519999999998</v>
      </c>
      <c r="U26" s="14">
        <f t="array" ref="U26">XLOOKUP(E26, 'Conference Match'!$A$2:$A$25, 'Conference Match'!$C$2:$C$25)</f>
        <v>1</v>
      </c>
      <c r="V26" s="20">
        <f t="shared" si="1"/>
        <v>0.2088678</v>
      </c>
      <c r="W26" s="20">
        <f t="shared" si="2"/>
        <v>1.122929546</v>
      </c>
      <c r="Y26" s="20">
        <f>IFERROR(__xludf.DUMMYFUNCTION("iferror(PERCENTRANK.INC(FILTER($V$2:$V$425, $T$2:$T$425&lt;3.75), $V26), 1)"),0.302)</f>
        <v>0.302</v>
      </c>
      <c r="Z26" s="20">
        <f>IFERROR(__xludf.DUMMYFUNCTION("iferror(PERCENTRANK.INC(FILTER($V$2:$V$425, $T$2:$T$425&lt;4.5), $V26), 1)"),0.258)</f>
        <v>0.258</v>
      </c>
      <c r="AA26" s="20">
        <f>IFERROR(__xludf.DUMMYFUNCTION("iferror(PERCENTRANK.INC(FILTER($V$2:$V$425, $T$2:$T$425&gt;4.1), $V26), 0.01)"),0.01)</f>
        <v>0.01</v>
      </c>
    </row>
    <row r="27" ht="14.25" customHeight="1">
      <c r="A27" s="14" t="s">
        <v>1621</v>
      </c>
      <c r="B27" s="14" t="s">
        <v>165</v>
      </c>
      <c r="C27" s="14">
        <v>26.0</v>
      </c>
      <c r="D27" s="14" t="s">
        <v>1595</v>
      </c>
      <c r="E27" s="14" t="s">
        <v>135</v>
      </c>
      <c r="F27" s="14">
        <v>2.0</v>
      </c>
      <c r="G27" s="14">
        <v>5.0</v>
      </c>
      <c r="H27" s="14">
        <v>5.0</v>
      </c>
      <c r="I27" s="61">
        <v>1.0</v>
      </c>
      <c r="J27" s="14">
        <v>0.0</v>
      </c>
      <c r="K27" s="14">
        <v>0.0</v>
      </c>
      <c r="L27" s="14">
        <v>0.0</v>
      </c>
      <c r="M27" s="14">
        <v>0.0</v>
      </c>
      <c r="N27" s="14">
        <v>77.0</v>
      </c>
      <c r="O27" s="20">
        <v>1.188</v>
      </c>
      <c r="P27" s="20">
        <v>0.0</v>
      </c>
      <c r="Q27" s="15"/>
      <c r="R27" s="20">
        <v>1.188</v>
      </c>
      <c r="U27" s="14">
        <f t="array" ref="U27">XLOOKUP(E27, 'Conference Match'!$A$2:$A$25, 'Conference Match'!$C$2:$C$25)</f>
        <v>1</v>
      </c>
      <c r="V27" s="20">
        <f t="shared" si="1"/>
        <v>0.1782</v>
      </c>
      <c r="W27" s="20">
        <f t="shared" si="2"/>
        <v>0.2357822965</v>
      </c>
      <c r="Y27" s="20">
        <f>IFERROR(__xludf.DUMMYFUNCTION("iferror(PERCENTRANK.INC(FILTER($V$2:$V$425, $T$2:$T$425&lt;3.75), $V27), 1)"),0.038)</f>
        <v>0.038</v>
      </c>
      <c r="Z27" s="20">
        <f>IFERROR(__xludf.DUMMYFUNCTION("iferror(PERCENTRANK.INC(FILTER($V$2:$V$425, $T$2:$T$425&lt;4.5), $V27), 1)"),0.032)</f>
        <v>0.032</v>
      </c>
      <c r="AA27" s="20">
        <f>IFERROR(__xludf.DUMMYFUNCTION("iferror(PERCENTRANK.INC(FILTER($V$2:$V$425, $T$2:$T$425&gt;4.1), $V27), 0.01)"),0.01)</f>
        <v>0.01</v>
      </c>
    </row>
    <row r="28" ht="14.25" customHeight="1">
      <c r="A28" s="14" t="s">
        <v>1622</v>
      </c>
      <c r="B28" s="14" t="s">
        <v>333</v>
      </c>
      <c r="C28" s="14">
        <v>4.0</v>
      </c>
      <c r="D28" s="14" t="s">
        <v>1595</v>
      </c>
      <c r="E28" s="14" t="s">
        <v>147</v>
      </c>
      <c r="F28" s="14">
        <v>0.0</v>
      </c>
      <c r="G28" s="14">
        <v>10.0</v>
      </c>
      <c r="H28" s="14">
        <v>8.0</v>
      </c>
      <c r="I28" s="60">
        <v>0.8</v>
      </c>
      <c r="J28" s="14">
        <v>3.0</v>
      </c>
      <c r="K28" s="14">
        <v>1.0</v>
      </c>
      <c r="L28" s="14">
        <v>1.0</v>
      </c>
      <c r="M28" s="14">
        <v>1.0</v>
      </c>
      <c r="N28" s="14">
        <v>128.0</v>
      </c>
      <c r="O28" s="20">
        <v>2.0704</v>
      </c>
      <c r="P28" s="20">
        <v>32.36849016986854</v>
      </c>
      <c r="Q28" s="15"/>
      <c r="R28" s="20">
        <v>2.0704</v>
      </c>
      <c r="U28" s="14">
        <f t="array" ref="U28">XLOOKUP(E28, 'Conference Match'!$A$2:$A$25, 'Conference Match'!$C$2:$C$25)</f>
        <v>0.95</v>
      </c>
      <c r="V28" s="20">
        <f t="shared" si="1"/>
        <v>0.295032</v>
      </c>
      <c r="W28" s="20">
        <f t="shared" si="2"/>
        <v>3.615456985</v>
      </c>
      <c r="Y28" s="20">
        <f>IFERROR(__xludf.DUMMYFUNCTION("iferror(PERCENTRANK.INC(FILTER($V$2:$V$425, $T$2:$T$425&lt;3.75), $V28), 1)"),0.755)</f>
        <v>0.755</v>
      </c>
      <c r="Z28" s="20">
        <f>IFERROR(__xludf.DUMMYFUNCTION("iferror(PERCENTRANK.INC(FILTER($V$2:$V$425, $T$2:$T$425&lt;4.5), $V28), 1)"),0.645)</f>
        <v>0.645</v>
      </c>
      <c r="AA28" s="20">
        <f>IFERROR(__xludf.DUMMYFUNCTION("iferror(PERCENTRANK.INC(FILTER($V$2:$V$425, $T$2:$T$425&gt;4.1), $V28), 0.01)"),0.01)</f>
        <v>0.01</v>
      </c>
    </row>
    <row r="29" ht="14.25" customHeight="1">
      <c r="A29" s="14" t="s">
        <v>1623</v>
      </c>
      <c r="B29" s="14" t="s">
        <v>935</v>
      </c>
      <c r="C29" s="14">
        <v>7.0</v>
      </c>
      <c r="D29" s="14" t="s">
        <v>1595</v>
      </c>
      <c r="E29" s="14" t="s">
        <v>108</v>
      </c>
      <c r="F29" s="14">
        <v>7.0</v>
      </c>
      <c r="G29" s="14">
        <v>20.0</v>
      </c>
      <c r="H29" s="14">
        <v>15.0</v>
      </c>
      <c r="I29" s="60">
        <v>0.75</v>
      </c>
      <c r="J29" s="14">
        <v>0.0</v>
      </c>
      <c r="K29" s="14">
        <v>0.0</v>
      </c>
      <c r="L29" s="14">
        <v>1.0</v>
      </c>
      <c r="M29" s="14">
        <v>1.0</v>
      </c>
      <c r="N29" s="14">
        <v>293.0</v>
      </c>
      <c r="O29" s="20">
        <v>1.371</v>
      </c>
      <c r="P29" s="20">
        <v>6.712866841665849</v>
      </c>
      <c r="Q29" s="15"/>
      <c r="R29" s="20">
        <v>1.371</v>
      </c>
      <c r="U29" s="14">
        <f t="array" ref="U29">XLOOKUP(E29, 'Conference Match'!$A$2:$A$25, 'Conference Match'!$C$2:$C$25)</f>
        <v>1</v>
      </c>
      <c r="V29" s="20">
        <f t="shared" si="1"/>
        <v>0.20565</v>
      </c>
      <c r="W29" s="20">
        <f t="shared" si="2"/>
        <v>1.029846168</v>
      </c>
      <c r="Y29" s="20">
        <f>IFERROR(__xludf.DUMMYFUNCTION("iferror(PERCENTRANK.INC(FILTER($V$2:$V$425, $T$2:$T$425&lt;3.75), $V29), 1)"),0.245)</f>
        <v>0.245</v>
      </c>
      <c r="Z29" s="20">
        <f>IFERROR(__xludf.DUMMYFUNCTION("iferror(PERCENTRANK.INC(FILTER($V$2:$V$425, $T$2:$T$425&lt;4.5), $V29), 1)"),0.21)</f>
        <v>0.21</v>
      </c>
      <c r="AA29" s="20">
        <f>IFERROR(__xludf.DUMMYFUNCTION("iferror(PERCENTRANK.INC(FILTER($V$2:$V$425, $T$2:$T$425&gt;4.1), $V29), 0.01)"),0.01)</f>
        <v>0.01</v>
      </c>
    </row>
    <row r="30" ht="14.25" customHeight="1">
      <c r="A30" s="14" t="s">
        <v>1624</v>
      </c>
      <c r="B30" s="14" t="s">
        <v>935</v>
      </c>
      <c r="C30" s="14">
        <v>0.0</v>
      </c>
      <c r="D30" s="14" t="s">
        <v>1595</v>
      </c>
      <c r="E30" s="14" t="s">
        <v>108</v>
      </c>
      <c r="F30" s="14">
        <v>0.0</v>
      </c>
      <c r="G30" s="14">
        <v>4.0</v>
      </c>
      <c r="H30" s="14">
        <v>2.0</v>
      </c>
      <c r="I30" s="60">
        <v>0.5</v>
      </c>
      <c r="J30" s="14">
        <v>0.0</v>
      </c>
      <c r="K30" s="14">
        <v>0.0</v>
      </c>
      <c r="L30" s="14">
        <v>0.0</v>
      </c>
      <c r="M30" s="14">
        <v>0.0</v>
      </c>
      <c r="N30" s="14">
        <v>91.0</v>
      </c>
      <c r="O30" s="20">
        <v>1.194</v>
      </c>
      <c r="P30" s="20">
        <v>0.2200939948087165</v>
      </c>
      <c r="Q30" s="15"/>
      <c r="R30" s="20">
        <v>1.194</v>
      </c>
      <c r="U30" s="14">
        <f t="array" ref="U30">XLOOKUP(E30, 'Conference Match'!$A$2:$A$25, 'Conference Match'!$C$2:$C$25)</f>
        <v>1</v>
      </c>
      <c r="V30" s="20">
        <f t="shared" si="1"/>
        <v>0.1791</v>
      </c>
      <c r="W30" s="20">
        <f t="shared" si="2"/>
        <v>0.2618171775</v>
      </c>
      <c r="Y30" s="20">
        <f>IFERROR(__xludf.DUMMYFUNCTION("iferror(PERCENTRANK.INC(FILTER($V$2:$V$425, $T$2:$T$425&lt;3.75), $V30), 1)"),0.151)</f>
        <v>0.151</v>
      </c>
      <c r="Z30" s="20">
        <f>IFERROR(__xludf.DUMMYFUNCTION("iferror(PERCENTRANK.INC(FILTER($V$2:$V$425, $T$2:$T$425&lt;4.5), $V30), 1)"),0.129)</f>
        <v>0.129</v>
      </c>
      <c r="AA30" s="20">
        <f>IFERROR(__xludf.DUMMYFUNCTION("iferror(PERCENTRANK.INC(FILTER($V$2:$V$425, $T$2:$T$425&gt;4.1), $V30), 0.01)"),0.01)</f>
        <v>0.01</v>
      </c>
    </row>
    <row r="31" ht="14.25" customHeight="1">
      <c r="A31" s="14" t="s">
        <v>1625</v>
      </c>
      <c r="B31" s="14" t="s">
        <v>935</v>
      </c>
      <c r="C31" s="14">
        <v>2.0</v>
      </c>
      <c r="D31" s="14" t="s">
        <v>1595</v>
      </c>
      <c r="E31" s="14" t="s">
        <v>108</v>
      </c>
      <c r="F31" s="14">
        <v>2.0</v>
      </c>
      <c r="G31" s="14">
        <v>6.0</v>
      </c>
      <c r="H31" s="14">
        <v>5.0</v>
      </c>
      <c r="I31" s="60">
        <v>0.833</v>
      </c>
      <c r="J31" s="14">
        <v>0.0</v>
      </c>
      <c r="K31" s="14">
        <v>0.0</v>
      </c>
      <c r="L31" s="14">
        <v>0.0</v>
      </c>
      <c r="M31" s="14">
        <v>0.0</v>
      </c>
      <c r="N31" s="14">
        <v>81.0</v>
      </c>
      <c r="O31" s="20">
        <v>1.190004</v>
      </c>
      <c r="P31" s="20">
        <v>0.07351139426611553</v>
      </c>
      <c r="Q31" s="15"/>
      <c r="R31" s="20">
        <v>1.190004</v>
      </c>
      <c r="U31" s="14">
        <f t="array" ref="U31">XLOOKUP(E31, 'Conference Match'!$A$2:$A$25, 'Conference Match'!$C$2:$C$25)</f>
        <v>1</v>
      </c>
      <c r="V31" s="20">
        <f t="shared" si="1"/>
        <v>0.1785006</v>
      </c>
      <c r="W31" s="20">
        <f t="shared" si="2"/>
        <v>0.2444779468</v>
      </c>
      <c r="Y31" s="20">
        <f>IFERROR(__xludf.DUMMYFUNCTION("iferror(PERCENTRANK.INC(FILTER($V$2:$V$425, $T$2:$T$425&lt;3.75), $V31), 1)"),0.057)</f>
        <v>0.057</v>
      </c>
      <c r="Z31" s="20">
        <f>IFERROR(__xludf.DUMMYFUNCTION("iferror(PERCENTRANK.INC(FILTER($V$2:$V$425, $T$2:$T$425&lt;4.5), $V31), 1)"),0.048)</f>
        <v>0.048</v>
      </c>
      <c r="AA31" s="20">
        <f>IFERROR(__xludf.DUMMYFUNCTION("iferror(PERCENTRANK.INC(FILTER($V$2:$V$425, $T$2:$T$425&gt;4.1), $V31), 0.01)"),0.01)</f>
        <v>0.01</v>
      </c>
    </row>
    <row r="32" ht="14.25" customHeight="1">
      <c r="A32" s="14" t="s">
        <v>1626</v>
      </c>
      <c r="B32" s="14" t="s">
        <v>287</v>
      </c>
      <c r="C32" s="14">
        <v>13.0</v>
      </c>
      <c r="D32" s="14" t="s">
        <v>1595</v>
      </c>
      <c r="E32" s="14" t="s">
        <v>117</v>
      </c>
      <c r="F32" s="14">
        <v>1.0</v>
      </c>
      <c r="G32" s="14">
        <v>16.0</v>
      </c>
      <c r="H32" s="14">
        <v>7.0</v>
      </c>
      <c r="I32" s="60">
        <v>0.438</v>
      </c>
      <c r="J32" s="14">
        <v>1.0</v>
      </c>
      <c r="K32" s="14">
        <v>0.0</v>
      </c>
      <c r="L32" s="14">
        <v>4.0</v>
      </c>
      <c r="M32" s="14">
        <v>7.0</v>
      </c>
      <c r="N32" s="14">
        <v>256.0</v>
      </c>
      <c r="O32" s="20">
        <v>2.354744</v>
      </c>
      <c r="P32" s="20">
        <v>42.79889131318349</v>
      </c>
      <c r="Q32" s="15"/>
      <c r="R32" s="20">
        <v>2.354744</v>
      </c>
      <c r="U32" s="14">
        <f t="array" ref="U32">XLOOKUP(E32, 'Conference Match'!$A$2:$A$25, 'Conference Match'!$C$2:$C$25)</f>
        <v>0.95</v>
      </c>
      <c r="V32" s="20">
        <f t="shared" si="1"/>
        <v>0.33555102</v>
      </c>
      <c r="W32" s="20">
        <f t="shared" si="2"/>
        <v>4.787576835</v>
      </c>
      <c r="Y32" s="20">
        <f>IFERROR(__xludf.DUMMYFUNCTION("iferror(PERCENTRANK.INC(FILTER($V$2:$V$425, $T$2:$T$425&lt;3.75), $V32), 1)"),0.83)</f>
        <v>0.83</v>
      </c>
      <c r="Z32" s="20">
        <f>IFERROR(__xludf.DUMMYFUNCTION("iferror(PERCENTRANK.INC(FILTER($V$2:$V$425, $T$2:$T$425&lt;4.5), $V32), 1)"),0.71)</f>
        <v>0.71</v>
      </c>
      <c r="AA32" s="20">
        <f>IFERROR(__xludf.DUMMYFUNCTION("iferror(PERCENTRANK.INC(FILTER($V$2:$V$425, $T$2:$T$425&gt;4.1), $V32), 0.01)"),0.01)</f>
        <v>0.01</v>
      </c>
    </row>
    <row r="33" ht="14.25" customHeight="1">
      <c r="A33" s="14" t="s">
        <v>1627</v>
      </c>
      <c r="B33" s="14" t="s">
        <v>577</v>
      </c>
      <c r="C33" s="14">
        <v>7.0</v>
      </c>
      <c r="D33" s="14" t="s">
        <v>1595</v>
      </c>
      <c r="E33" s="14" t="s">
        <v>144</v>
      </c>
      <c r="F33" s="14">
        <v>2.0</v>
      </c>
      <c r="G33" s="14">
        <v>9.0</v>
      </c>
      <c r="H33" s="14">
        <v>5.0</v>
      </c>
      <c r="I33" s="60">
        <v>0.556</v>
      </c>
      <c r="J33" s="14">
        <v>0.0</v>
      </c>
      <c r="K33" s="14">
        <v>0.0</v>
      </c>
      <c r="L33" s="14">
        <v>0.0</v>
      </c>
      <c r="M33" s="14">
        <v>0.0</v>
      </c>
      <c r="N33" s="14">
        <v>114.0</v>
      </c>
      <c r="O33" s="20">
        <v>1.193328</v>
      </c>
      <c r="P33" s="20">
        <v>0.19544346739014007</v>
      </c>
      <c r="Q33" s="15"/>
      <c r="R33" s="20">
        <v>1.193328</v>
      </c>
      <c r="U33" s="14">
        <f t="array" ref="U33">XLOOKUP(E33, 'Conference Match'!$A$2:$A$25, 'Conference Match'!$C$2:$C$25)</f>
        <v>0.95</v>
      </c>
      <c r="V33" s="20">
        <f t="shared" si="1"/>
        <v>0.17004924</v>
      </c>
      <c r="W33" s="20">
        <f t="shared" si="2"/>
        <v>0</v>
      </c>
      <c r="Y33" s="20">
        <f>IFERROR(__xludf.DUMMYFUNCTION("iferror(PERCENTRANK.INC(FILTER($V$2:$V$425, $T$2:$T$425&lt;3.75), $V33), 1)"),0.0)</f>
        <v>0</v>
      </c>
      <c r="Z33" s="20">
        <f>IFERROR(__xludf.DUMMYFUNCTION("iferror(PERCENTRANK.INC(FILTER($V$2:$V$425, $T$2:$T$425&lt;4.5), $V33), 1)"),0.0)</f>
        <v>0</v>
      </c>
      <c r="AA33" s="20">
        <f>IFERROR(__xludf.DUMMYFUNCTION("iferror(PERCENTRANK.INC(FILTER($V$2:$V$425, $T$2:$T$425&gt;4.1), $V33), 0.01)"),0.01)</f>
        <v>0.01</v>
      </c>
    </row>
    <row r="34" ht="14.25" customHeight="1">
      <c r="A34" s="14" t="s">
        <v>1628</v>
      </c>
      <c r="B34" s="14" t="s">
        <v>858</v>
      </c>
      <c r="C34" s="14">
        <v>0.0</v>
      </c>
      <c r="D34" s="14" t="s">
        <v>1595</v>
      </c>
      <c r="E34" s="14" t="s">
        <v>182</v>
      </c>
      <c r="F34" s="14">
        <v>6.0</v>
      </c>
      <c r="G34" s="14">
        <v>30.0</v>
      </c>
      <c r="H34" s="14">
        <v>21.0</v>
      </c>
      <c r="I34" s="60">
        <v>0.7</v>
      </c>
      <c r="J34" s="14">
        <v>2.0</v>
      </c>
      <c r="K34" s="14">
        <v>0.0</v>
      </c>
      <c r="L34" s="14">
        <v>3.0</v>
      </c>
      <c r="M34" s="14">
        <v>3.0</v>
      </c>
      <c r="N34" s="14">
        <v>315.0</v>
      </c>
      <c r="O34" s="20">
        <v>2.1316</v>
      </c>
      <c r="P34" s="20">
        <v>34.61344891691746</v>
      </c>
      <c r="Q34" s="15"/>
      <c r="R34" s="20">
        <v>2.1316</v>
      </c>
      <c r="U34" s="14">
        <f t="array" ref="U34">XLOOKUP(E34, 'Conference Match'!$A$2:$A$25, 'Conference Match'!$C$2:$C$25)</f>
        <v>1</v>
      </c>
      <c r="V34" s="20">
        <f t="shared" si="1"/>
        <v>0.31974</v>
      </c>
      <c r="W34" s="20">
        <f t="shared" si="2"/>
        <v>4.330201252</v>
      </c>
      <c r="Y34" s="20">
        <f>IFERROR(__xludf.DUMMYFUNCTION("iferror(PERCENTRANK.INC(FILTER($V$2:$V$425, $T$2:$T$425&lt;3.75), $V34), 1)"),0.811)</f>
        <v>0.811</v>
      </c>
      <c r="Z34" s="20">
        <f>IFERROR(__xludf.DUMMYFUNCTION("iferror(PERCENTRANK.INC(FILTER($V$2:$V$425, $T$2:$T$425&lt;4.5), $V34), 1)"),0.694)</f>
        <v>0.694</v>
      </c>
      <c r="AA34" s="20">
        <f>IFERROR(__xludf.DUMMYFUNCTION("iferror(PERCENTRANK.INC(FILTER($V$2:$V$425, $T$2:$T$425&gt;4.1), $V34), 0.01)"),0.01)</f>
        <v>0.01</v>
      </c>
    </row>
    <row r="35" ht="14.25" customHeight="1">
      <c r="A35" s="14" t="s">
        <v>1629</v>
      </c>
      <c r="B35" s="14" t="s">
        <v>858</v>
      </c>
      <c r="C35" s="14">
        <v>10.0</v>
      </c>
      <c r="D35" s="14" t="s">
        <v>1595</v>
      </c>
      <c r="E35" s="14" t="s">
        <v>182</v>
      </c>
      <c r="F35" s="14">
        <v>2.0</v>
      </c>
      <c r="G35" s="14">
        <v>8.0</v>
      </c>
      <c r="H35" s="14">
        <v>5.0</v>
      </c>
      <c r="I35" s="60">
        <v>0.625</v>
      </c>
      <c r="J35" s="14">
        <v>2.0</v>
      </c>
      <c r="K35" s="14">
        <v>0.0</v>
      </c>
      <c r="L35" s="14">
        <v>0.0</v>
      </c>
      <c r="M35" s="14">
        <v>0.0</v>
      </c>
      <c r="N35" s="14">
        <v>67.0</v>
      </c>
      <c r="O35" s="20">
        <v>1.5925</v>
      </c>
      <c r="P35" s="20">
        <v>14.838003483354296</v>
      </c>
      <c r="Q35" s="15"/>
      <c r="R35" s="20">
        <v>1.5925</v>
      </c>
      <c r="U35" s="14">
        <f t="array" ref="U35">XLOOKUP(E35, 'Conference Match'!$A$2:$A$25, 'Conference Match'!$C$2:$C$25)</f>
        <v>1</v>
      </c>
      <c r="V35" s="20">
        <f t="shared" si="1"/>
        <v>0.238875</v>
      </c>
      <c r="W35" s="20">
        <f t="shared" si="2"/>
        <v>1.990967192</v>
      </c>
      <c r="Y35" s="20">
        <f>IFERROR(__xludf.DUMMYFUNCTION("iferror(PERCENTRANK.INC(FILTER($V$2:$V$425, $T$2:$T$425&lt;3.75), $V35), 1)"),0.566)</f>
        <v>0.566</v>
      </c>
      <c r="Z35" s="20">
        <f>IFERROR(__xludf.DUMMYFUNCTION("iferror(PERCENTRANK.INC(FILTER($V$2:$V$425, $T$2:$T$425&lt;4.5), $V35), 1)"),0.484)</f>
        <v>0.484</v>
      </c>
      <c r="AA35" s="20">
        <f>IFERROR(__xludf.DUMMYFUNCTION("iferror(PERCENTRANK.INC(FILTER($V$2:$V$425, $T$2:$T$425&gt;4.1), $V35), 0.01)"),0.01)</f>
        <v>0.01</v>
      </c>
    </row>
    <row r="36" ht="14.25" customHeight="1">
      <c r="A36" s="14" t="s">
        <v>1630</v>
      </c>
      <c r="B36" s="14" t="s">
        <v>311</v>
      </c>
      <c r="C36" s="14">
        <v>13.0</v>
      </c>
      <c r="D36" s="14" t="s">
        <v>1595</v>
      </c>
      <c r="E36" s="14" t="s">
        <v>108</v>
      </c>
      <c r="F36" s="14">
        <v>4.0</v>
      </c>
      <c r="G36" s="14">
        <v>14.0</v>
      </c>
      <c r="H36" s="14">
        <v>10.0</v>
      </c>
      <c r="I36" s="60">
        <v>0.714</v>
      </c>
      <c r="J36" s="14">
        <v>2.0</v>
      </c>
      <c r="K36" s="14">
        <v>0.0</v>
      </c>
      <c r="L36" s="14">
        <v>2.0</v>
      </c>
      <c r="M36" s="14">
        <v>2.0</v>
      </c>
      <c r="N36" s="14">
        <v>192.0</v>
      </c>
      <c r="O36" s="20">
        <v>1.9514319999999998</v>
      </c>
      <c r="P36" s="20">
        <v>28.004466440801316</v>
      </c>
      <c r="Q36" s="15"/>
      <c r="R36" s="20">
        <v>1.9514319999999998</v>
      </c>
      <c r="U36" s="14">
        <f t="array" ref="U36">XLOOKUP(E36, 'Conference Match'!$A$2:$A$25, 'Conference Match'!$C$2:$C$25)</f>
        <v>1</v>
      </c>
      <c r="V36" s="20">
        <f t="shared" si="1"/>
        <v>0.2927148</v>
      </c>
      <c r="W36" s="20">
        <f t="shared" si="2"/>
        <v>3.548425845</v>
      </c>
      <c r="Y36" s="20">
        <f>IFERROR(__xludf.DUMMYFUNCTION("iferror(PERCENTRANK.INC(FILTER($V$2:$V$425, $T$2:$T$425&lt;3.75), $V36), 1)"),0.736)</f>
        <v>0.736</v>
      </c>
      <c r="Z36" s="20">
        <f>IFERROR(__xludf.DUMMYFUNCTION("iferror(PERCENTRANK.INC(FILTER($V$2:$V$425, $T$2:$T$425&lt;4.5), $V36), 1)"),0.629)</f>
        <v>0.629</v>
      </c>
      <c r="AA36" s="20">
        <f>IFERROR(__xludf.DUMMYFUNCTION("iferror(PERCENTRANK.INC(FILTER($V$2:$V$425, $T$2:$T$425&gt;4.1), $V36), 0.01)"),0.01)</f>
        <v>0.01</v>
      </c>
    </row>
    <row r="37" ht="14.25" customHeight="1">
      <c r="A37" s="14" t="s">
        <v>1631</v>
      </c>
      <c r="B37" s="14" t="s">
        <v>311</v>
      </c>
      <c r="C37" s="14">
        <v>33.0</v>
      </c>
      <c r="D37" s="14" t="s">
        <v>1595</v>
      </c>
      <c r="E37" s="14" t="s">
        <v>108</v>
      </c>
      <c r="F37" s="14">
        <v>5.0</v>
      </c>
      <c r="G37" s="14">
        <v>26.0</v>
      </c>
      <c r="H37" s="14">
        <v>18.0</v>
      </c>
      <c r="I37" s="60">
        <v>0.692</v>
      </c>
      <c r="J37" s="14">
        <v>1.0</v>
      </c>
      <c r="K37" s="14">
        <v>0.0</v>
      </c>
      <c r="L37" s="14">
        <v>3.0</v>
      </c>
      <c r="M37" s="14">
        <v>3.0</v>
      </c>
      <c r="N37" s="14">
        <v>185.0</v>
      </c>
      <c r="O37" s="20">
        <v>1.931696</v>
      </c>
      <c r="P37" s="20">
        <v>27.28050392721052</v>
      </c>
      <c r="Q37" s="15"/>
      <c r="R37" s="20">
        <v>1.931696</v>
      </c>
      <c r="U37" s="14">
        <f t="array" ref="U37">XLOOKUP(E37, 'Conference Match'!$A$2:$A$25, 'Conference Match'!$C$2:$C$25)</f>
        <v>1</v>
      </c>
      <c r="V37" s="20">
        <f t="shared" si="1"/>
        <v>0.2897544</v>
      </c>
      <c r="W37" s="20">
        <f t="shared" si="2"/>
        <v>3.462788443</v>
      </c>
      <c r="Y37" s="20">
        <f>IFERROR(__xludf.DUMMYFUNCTION("iferror(PERCENTRANK.INC(FILTER($V$2:$V$425, $T$2:$T$425&lt;3.75), $V37), 1)"),0.717)</f>
        <v>0.717</v>
      </c>
      <c r="Z37" s="20">
        <f>IFERROR(__xludf.DUMMYFUNCTION("iferror(PERCENTRANK.INC(FILTER($V$2:$V$425, $T$2:$T$425&lt;4.5), $V37), 1)"),0.613)</f>
        <v>0.613</v>
      </c>
      <c r="AA37" s="20">
        <f>IFERROR(__xludf.DUMMYFUNCTION("iferror(PERCENTRANK.INC(FILTER($V$2:$V$425, $T$2:$T$425&gt;4.1), $V37), 0.01)"),0.01)</f>
        <v>0.01</v>
      </c>
    </row>
    <row r="38" ht="14.25" customHeight="1">
      <c r="A38" s="14" t="s">
        <v>1632</v>
      </c>
      <c r="B38" s="14" t="s">
        <v>311</v>
      </c>
      <c r="C38" s="14">
        <v>7.0</v>
      </c>
      <c r="D38" s="14" t="s">
        <v>1595</v>
      </c>
      <c r="E38" s="14" t="s">
        <v>108</v>
      </c>
      <c r="F38" s="14">
        <v>3.0</v>
      </c>
      <c r="G38" s="14">
        <v>5.0</v>
      </c>
      <c r="H38" s="14">
        <v>3.0</v>
      </c>
      <c r="I38" s="60">
        <v>0.6</v>
      </c>
      <c r="J38" s="14">
        <v>0.0</v>
      </c>
      <c r="K38" s="14">
        <v>0.0</v>
      </c>
      <c r="L38" s="14">
        <v>0.0</v>
      </c>
      <c r="M38" s="14">
        <v>0.0</v>
      </c>
      <c r="N38" s="14">
        <v>73.0</v>
      </c>
      <c r="O38" s="20">
        <v>1.1928</v>
      </c>
      <c r="P38" s="20">
        <v>0.1760751958469781</v>
      </c>
      <c r="Q38" s="15"/>
      <c r="R38" s="20">
        <v>1.1928</v>
      </c>
      <c r="U38" s="14">
        <f t="array" ref="U38">XLOOKUP(E38, 'Conference Match'!$A$2:$A$25, 'Conference Match'!$C$2:$C$25)</f>
        <v>1</v>
      </c>
      <c r="V38" s="20">
        <f t="shared" si="1"/>
        <v>0.17892</v>
      </c>
      <c r="W38" s="20">
        <f t="shared" si="2"/>
        <v>0.2566102013</v>
      </c>
      <c r="Y38" s="20">
        <f>IFERROR(__xludf.DUMMYFUNCTION("iferror(PERCENTRANK.INC(FILTER($V$2:$V$425, $T$2:$T$425&lt;3.75), $V38), 1)"),0.132)</f>
        <v>0.132</v>
      </c>
      <c r="Z38" s="20">
        <f>IFERROR(__xludf.DUMMYFUNCTION("iferror(PERCENTRANK.INC(FILTER($V$2:$V$425, $T$2:$T$425&lt;4.5), $V38), 1)"),0.113)</f>
        <v>0.113</v>
      </c>
      <c r="AA38" s="20">
        <f>IFERROR(__xludf.DUMMYFUNCTION("iferror(PERCENTRANK.INC(FILTER($V$2:$V$425, $T$2:$T$425&gt;4.1), $V38), 0.01)"),0.01)</f>
        <v>0.01</v>
      </c>
    </row>
    <row r="39" ht="14.25" customHeight="1">
      <c r="A39" s="14" t="s">
        <v>1633</v>
      </c>
      <c r="B39" s="14" t="s">
        <v>345</v>
      </c>
      <c r="C39" s="14">
        <v>39.0</v>
      </c>
      <c r="D39" s="14" t="s">
        <v>1595</v>
      </c>
      <c r="E39" s="14" t="s">
        <v>144</v>
      </c>
      <c r="F39" s="14">
        <v>0.0</v>
      </c>
      <c r="G39" s="14">
        <v>8.0</v>
      </c>
      <c r="H39" s="14">
        <v>6.0</v>
      </c>
      <c r="I39" s="60">
        <v>0.75</v>
      </c>
      <c r="J39" s="14">
        <v>0.0</v>
      </c>
      <c r="K39" s="14">
        <v>0.0</v>
      </c>
      <c r="L39" s="14">
        <v>2.0</v>
      </c>
      <c r="M39" s="14">
        <v>2.0</v>
      </c>
      <c r="N39" s="14">
        <v>130.0</v>
      </c>
      <c r="O39" s="20">
        <v>1.551</v>
      </c>
      <c r="P39" s="20">
        <v>13.315686685927336</v>
      </c>
      <c r="Q39" s="15"/>
      <c r="R39" s="20">
        <v>1.551</v>
      </c>
      <c r="U39" s="14">
        <f t="array" ref="U39">XLOOKUP(E39, 'Conference Match'!$A$2:$A$25, 'Conference Match'!$C$2:$C$25)</f>
        <v>0.95</v>
      </c>
      <c r="V39" s="20">
        <f t="shared" si="1"/>
        <v>0.2210175</v>
      </c>
      <c r="W39" s="20">
        <f t="shared" si="2"/>
        <v>1.474391761</v>
      </c>
      <c r="Y39" s="20">
        <f>IFERROR(__xludf.DUMMYFUNCTION("iferror(PERCENTRANK.INC(FILTER($V$2:$V$425, $T$2:$T$425&lt;3.75), $V39), 1)"),0.396)</f>
        <v>0.396</v>
      </c>
      <c r="Z39" s="20">
        <f>IFERROR(__xludf.DUMMYFUNCTION("iferror(PERCENTRANK.INC(FILTER($V$2:$V$425, $T$2:$T$425&lt;4.5), $V39), 1)"),0.339)</f>
        <v>0.339</v>
      </c>
      <c r="AA39" s="20">
        <f>IFERROR(__xludf.DUMMYFUNCTION("iferror(PERCENTRANK.INC(FILTER($V$2:$V$425, $T$2:$T$425&gt;4.1), $V39), 0.01)"),0.01)</f>
        <v>0.01</v>
      </c>
    </row>
    <row r="40" ht="14.25" customHeight="1">
      <c r="A40" s="14" t="s">
        <v>1634</v>
      </c>
      <c r="B40" s="14" t="s">
        <v>345</v>
      </c>
      <c r="C40" s="14">
        <v>18.0</v>
      </c>
      <c r="D40" s="14" t="s">
        <v>1595</v>
      </c>
      <c r="E40" s="14" t="s">
        <v>144</v>
      </c>
      <c r="F40" s="14">
        <v>1.0</v>
      </c>
      <c r="G40" s="14">
        <v>11.0</v>
      </c>
      <c r="H40" s="14">
        <v>8.0</v>
      </c>
      <c r="I40" s="60">
        <v>0.727</v>
      </c>
      <c r="J40" s="14">
        <v>0.0</v>
      </c>
      <c r="K40" s="14">
        <v>0.0</v>
      </c>
      <c r="L40" s="14">
        <v>1.0</v>
      </c>
      <c r="M40" s="14">
        <v>1.0</v>
      </c>
      <c r="N40" s="14">
        <v>124.0</v>
      </c>
      <c r="O40" s="20">
        <v>1.3712759999999997</v>
      </c>
      <c r="P40" s="20">
        <v>6.72299116542704</v>
      </c>
      <c r="Q40" s="15"/>
      <c r="R40" s="20">
        <v>1.3712759999999997</v>
      </c>
      <c r="U40" s="14">
        <f t="array" ref="U40">XLOOKUP(E40, 'Conference Match'!$A$2:$A$25, 'Conference Match'!$C$2:$C$25)</f>
        <v>0.95</v>
      </c>
      <c r="V40" s="20">
        <f t="shared" si="1"/>
        <v>0.19540683</v>
      </c>
      <c r="W40" s="20">
        <f t="shared" si="2"/>
        <v>0.7335353764</v>
      </c>
      <c r="Y40" s="20">
        <f>IFERROR(__xludf.DUMMYFUNCTION("iferror(PERCENTRANK.INC(FILTER($V$2:$V$425, $T$2:$T$425&lt;3.75), $V40), 1)"),0.226)</f>
        <v>0.226</v>
      </c>
      <c r="Z40" s="20">
        <f>IFERROR(__xludf.DUMMYFUNCTION("iferror(PERCENTRANK.INC(FILTER($V$2:$V$425, $T$2:$T$425&lt;4.5), $V40), 1)"),0.194)</f>
        <v>0.194</v>
      </c>
      <c r="AA40" s="20">
        <f>IFERROR(__xludf.DUMMYFUNCTION("iferror(PERCENTRANK.INC(FILTER($V$2:$V$425, $T$2:$T$425&gt;4.1), $V40), 0.01)"),0.01)</f>
        <v>0.01</v>
      </c>
    </row>
    <row r="41" ht="14.25" customHeight="1">
      <c r="A41" s="14" t="s">
        <v>1635</v>
      </c>
      <c r="B41" s="14" t="s">
        <v>349</v>
      </c>
      <c r="C41" s="14">
        <v>14.0</v>
      </c>
      <c r="D41" s="14" t="s">
        <v>1595</v>
      </c>
      <c r="E41" s="14" t="s">
        <v>108</v>
      </c>
      <c r="F41" s="14">
        <v>22.0</v>
      </c>
      <c r="G41" s="14">
        <v>28.0</v>
      </c>
      <c r="H41" s="14">
        <v>19.0</v>
      </c>
      <c r="I41" s="60">
        <v>0.679</v>
      </c>
      <c r="J41" s="14">
        <v>2.0</v>
      </c>
      <c r="K41" s="14">
        <v>0.0</v>
      </c>
      <c r="L41" s="14">
        <v>3.0</v>
      </c>
      <c r="M41" s="14">
        <v>5.0</v>
      </c>
      <c r="N41" s="14">
        <v>236.0</v>
      </c>
      <c r="O41" s="20">
        <v>2.291852</v>
      </c>
      <c r="P41" s="20">
        <v>40.49186605959852</v>
      </c>
      <c r="Q41" s="15"/>
      <c r="R41" s="20">
        <v>2.291852</v>
      </c>
      <c r="U41" s="14">
        <f t="array" ref="U41">XLOOKUP(E41, 'Conference Match'!$A$2:$A$25, 'Conference Match'!$C$2:$C$25)</f>
        <v>1</v>
      </c>
      <c r="V41" s="20">
        <f t="shared" si="1"/>
        <v>0.3437778</v>
      </c>
      <c r="W41" s="20">
        <f t="shared" si="2"/>
        <v>5.025558211</v>
      </c>
      <c r="Y41" s="20">
        <f>IFERROR(__xludf.DUMMYFUNCTION("iferror(PERCENTRANK.INC(FILTER($V$2:$V$425, $T$2:$T$425&lt;3.75), $V41), 1)"),0.849)</f>
        <v>0.849</v>
      </c>
      <c r="Z41" s="20">
        <f>IFERROR(__xludf.DUMMYFUNCTION("iferror(PERCENTRANK.INC(FILTER($V$2:$V$425, $T$2:$T$425&lt;4.5), $V41), 1)"),0.726)</f>
        <v>0.726</v>
      </c>
      <c r="AA41" s="20">
        <f>IFERROR(__xludf.DUMMYFUNCTION("iferror(PERCENTRANK.INC(FILTER($V$2:$V$425, $T$2:$T$425&gt;4.1), $V41), 0.01)"),0.01)</f>
        <v>0.01</v>
      </c>
    </row>
    <row r="42" ht="14.25" customHeight="1">
      <c r="A42" s="14" t="s">
        <v>1636</v>
      </c>
      <c r="B42" s="14" t="s">
        <v>349</v>
      </c>
      <c r="C42" s="14">
        <v>3.0</v>
      </c>
      <c r="D42" s="14" t="s">
        <v>1595</v>
      </c>
      <c r="E42" s="14" t="s">
        <v>108</v>
      </c>
      <c r="F42" s="14">
        <v>1.0</v>
      </c>
      <c r="G42" s="14">
        <v>25.0</v>
      </c>
      <c r="H42" s="14">
        <v>21.0</v>
      </c>
      <c r="I42" s="60">
        <v>0.84</v>
      </c>
      <c r="J42" s="14">
        <v>1.0</v>
      </c>
      <c r="K42" s="14">
        <v>0.0</v>
      </c>
      <c r="L42" s="14">
        <v>1.0</v>
      </c>
      <c r="M42" s="14">
        <v>2.0</v>
      </c>
      <c r="N42" s="14">
        <v>290.0</v>
      </c>
      <c r="O42" s="20">
        <v>1.6499199999999998</v>
      </c>
      <c r="P42" s="20">
        <v>16.9443030136737</v>
      </c>
      <c r="Q42" s="15"/>
      <c r="R42" s="20">
        <v>1.6499199999999998</v>
      </c>
      <c r="U42" s="14">
        <f t="array" ref="U42">XLOOKUP(E42, 'Conference Match'!$A$2:$A$25, 'Conference Match'!$C$2:$C$25)</f>
        <v>1</v>
      </c>
      <c r="V42" s="20">
        <f t="shared" si="1"/>
        <v>0.247488</v>
      </c>
      <c r="W42" s="20">
        <f t="shared" si="2"/>
        <v>2.240121004</v>
      </c>
      <c r="Y42" s="20">
        <f>IFERROR(__xludf.DUMMYFUNCTION("iferror(PERCENTRANK.INC(FILTER($V$2:$V$425, $T$2:$T$425&lt;3.75), $V42), 1)"),0.604)</f>
        <v>0.604</v>
      </c>
      <c r="Z42" s="20">
        <f>IFERROR(__xludf.DUMMYFUNCTION("iferror(PERCENTRANK.INC(FILTER($V$2:$V$425, $T$2:$T$425&lt;4.5), $V42), 1)"),0.516)</f>
        <v>0.516</v>
      </c>
      <c r="AA42" s="20">
        <f>IFERROR(__xludf.DUMMYFUNCTION("iferror(PERCENTRANK.INC(FILTER($V$2:$V$425, $T$2:$T$425&gt;4.1), $V42), 0.01)"),0.01)</f>
        <v>0.01</v>
      </c>
    </row>
    <row r="43" ht="14.25" customHeight="1">
      <c r="A43" s="14" t="s">
        <v>1637</v>
      </c>
      <c r="B43" s="14" t="s">
        <v>349</v>
      </c>
      <c r="C43" s="14">
        <v>7.0</v>
      </c>
      <c r="D43" s="14" t="s">
        <v>1595</v>
      </c>
      <c r="E43" s="14" t="s">
        <v>108</v>
      </c>
      <c r="F43" s="14">
        <v>0.0</v>
      </c>
      <c r="G43" s="14">
        <v>10.0</v>
      </c>
      <c r="H43" s="14">
        <v>6.0</v>
      </c>
      <c r="I43" s="60">
        <v>0.6</v>
      </c>
      <c r="J43" s="14">
        <v>0.0</v>
      </c>
      <c r="K43" s="14">
        <v>1.0</v>
      </c>
      <c r="L43" s="14">
        <v>0.0</v>
      </c>
      <c r="M43" s="14">
        <v>0.0</v>
      </c>
      <c r="N43" s="14">
        <v>148.0</v>
      </c>
      <c r="O43" s="20">
        <v>1.2928</v>
      </c>
      <c r="P43" s="20">
        <v>3.8443084426589116</v>
      </c>
      <c r="Q43" s="15"/>
      <c r="R43" s="20">
        <v>1.2928</v>
      </c>
      <c r="U43" s="14">
        <f t="array" ref="U43">XLOOKUP(E43, 'Conference Match'!$A$2:$A$25, 'Conference Match'!$C$2:$C$25)</f>
        <v>1</v>
      </c>
      <c r="V43" s="20">
        <f t="shared" si="1"/>
        <v>0.19392</v>
      </c>
      <c r="W43" s="20">
        <f t="shared" si="2"/>
        <v>0.6905248851</v>
      </c>
      <c r="Y43" s="20">
        <f>IFERROR(__xludf.DUMMYFUNCTION("iferror(PERCENTRANK.INC(FILTER($V$2:$V$425, $T$2:$T$425&lt;3.75), $V43), 1)"),0.208)</f>
        <v>0.208</v>
      </c>
      <c r="Z43" s="20">
        <f>IFERROR(__xludf.DUMMYFUNCTION("iferror(PERCENTRANK.INC(FILTER($V$2:$V$425, $T$2:$T$425&lt;4.5), $V43), 1)"),0.177)</f>
        <v>0.177</v>
      </c>
      <c r="AA43" s="20">
        <f>IFERROR(__xludf.DUMMYFUNCTION("iferror(PERCENTRANK.INC(FILTER($V$2:$V$425, $T$2:$T$425&gt;4.1), $V43), 0.01)"),0.01)</f>
        <v>0.01</v>
      </c>
    </row>
    <row r="44" ht="14.25" customHeight="1">
      <c r="A44" s="17" t="s">
        <v>1638</v>
      </c>
      <c r="B44" s="17" t="s">
        <v>1639</v>
      </c>
      <c r="C44" s="18">
        <v>9.0</v>
      </c>
      <c r="D44" s="17" t="s">
        <v>1595</v>
      </c>
      <c r="E44" s="17" t="s">
        <v>182</v>
      </c>
      <c r="F44" s="18">
        <v>2.0</v>
      </c>
      <c r="G44" s="18">
        <v>9.0</v>
      </c>
      <c r="H44" s="18">
        <v>8.0</v>
      </c>
      <c r="I44" s="19">
        <v>0.889</v>
      </c>
      <c r="J44" s="18">
        <v>0.0</v>
      </c>
      <c r="K44" s="18">
        <v>0.0</v>
      </c>
      <c r="L44" s="18">
        <v>0.0</v>
      </c>
      <c r="M44" s="18">
        <v>0.0</v>
      </c>
      <c r="N44" s="18">
        <v>128.0</v>
      </c>
      <c r="O44" s="22">
        <v>1.19</v>
      </c>
      <c r="P44" s="22">
        <v>0.04</v>
      </c>
      <c r="Q44" s="15"/>
      <c r="R44" s="38">
        <v>1.19</v>
      </c>
      <c r="S44" s="16">
        <v>0.04</v>
      </c>
      <c r="U44" s="14">
        <f t="array" ref="U44">XLOOKUP(E44, 'Conference Match'!$A$2:$A$25, 'Conference Match'!$C$2:$C$25)</f>
        <v>1</v>
      </c>
      <c r="V44" s="20">
        <f t="shared" si="1"/>
        <v>0.1845</v>
      </c>
      <c r="W44" s="20">
        <f t="shared" si="2"/>
        <v>0.4180264637</v>
      </c>
      <c r="Y44" s="20">
        <f>IFERROR(__xludf.DUMMYFUNCTION("iferror(PERCENTRANK.INC(FILTER($V$2:$V$425, $T$2:$T$425&lt;3.75), $V44), 1)"),0.189)</f>
        <v>0.189</v>
      </c>
      <c r="Z44" s="20">
        <f>IFERROR(__xludf.DUMMYFUNCTION("iferror(PERCENTRANK.INC(FILTER($V$2:$V$425, $T$2:$T$425&lt;4.5), $V44), 1)"),0.161)</f>
        <v>0.161</v>
      </c>
      <c r="AA44" s="20">
        <f>IFERROR(__xludf.DUMMYFUNCTION("iferror(PERCENTRANK.INC(FILTER($V$2:$V$425, $T$2:$T$425&gt;4.1), $V44), 0.01)"),0.01)</f>
        <v>0.01</v>
      </c>
    </row>
    <row r="45" ht="14.25" customHeight="1">
      <c r="A45" s="14" t="s">
        <v>1640</v>
      </c>
      <c r="B45" s="14" t="s">
        <v>441</v>
      </c>
      <c r="C45" s="14">
        <v>16.0</v>
      </c>
      <c r="D45" s="14" t="s">
        <v>1595</v>
      </c>
      <c r="E45" s="14" t="s">
        <v>135</v>
      </c>
      <c r="F45" s="14">
        <v>2.0</v>
      </c>
      <c r="G45" s="14">
        <v>11.0</v>
      </c>
      <c r="H45" s="14">
        <v>6.0</v>
      </c>
      <c r="I45" s="60">
        <v>0.545</v>
      </c>
      <c r="J45" s="14">
        <v>0.0</v>
      </c>
      <c r="K45" s="14">
        <v>0.0</v>
      </c>
      <c r="L45" s="14">
        <v>2.0</v>
      </c>
      <c r="M45" s="14">
        <v>2.0</v>
      </c>
      <c r="N45" s="14">
        <v>83.0</v>
      </c>
      <c r="O45" s="20">
        <v>1.55346</v>
      </c>
      <c r="P45" s="20">
        <v>13.405925223798915</v>
      </c>
      <c r="Q45" s="15"/>
      <c r="R45" s="20">
        <v>1.55346</v>
      </c>
      <c r="U45" s="14">
        <f t="array" ref="U45">XLOOKUP(E45, 'Conference Match'!$A$2:$A$25, 'Conference Match'!$C$2:$C$25)</f>
        <v>1</v>
      </c>
      <c r="V45" s="20">
        <f t="shared" si="1"/>
        <v>0.233019</v>
      </c>
      <c r="W45" s="20">
        <f t="shared" si="2"/>
        <v>1.8215669</v>
      </c>
      <c r="Y45" s="20">
        <f>IFERROR(__xludf.DUMMYFUNCTION("iferror(PERCENTRANK.INC(FILTER($V$2:$V$425, $T$2:$T$425&lt;3.75), $V45), 1)"),0.453)</f>
        <v>0.453</v>
      </c>
      <c r="Z45" s="20">
        <f>IFERROR(__xludf.DUMMYFUNCTION("iferror(PERCENTRANK.INC(FILTER($V$2:$V$425, $T$2:$T$425&lt;4.5), $V45), 1)"),0.387)</f>
        <v>0.387</v>
      </c>
      <c r="AA45" s="20">
        <f>IFERROR(__xludf.DUMMYFUNCTION("iferror(PERCENTRANK.INC(FILTER($V$2:$V$425, $T$2:$T$425&gt;4.1), $V45), 0.01)"),0.01)</f>
        <v>0.01</v>
      </c>
    </row>
    <row r="46" ht="14.25" customHeight="1">
      <c r="A46" s="14" t="s">
        <v>1641</v>
      </c>
      <c r="B46" s="14" t="s">
        <v>441</v>
      </c>
      <c r="C46" s="14">
        <v>12.0</v>
      </c>
      <c r="D46" s="14" t="s">
        <v>1595</v>
      </c>
      <c r="E46" s="14" t="s">
        <v>135</v>
      </c>
      <c r="F46" s="14">
        <v>3.0</v>
      </c>
      <c r="G46" s="14">
        <v>12.0</v>
      </c>
      <c r="H46" s="14">
        <v>7.0</v>
      </c>
      <c r="I46" s="60">
        <v>0.583</v>
      </c>
      <c r="J46" s="14">
        <v>1.0</v>
      </c>
      <c r="K46" s="14">
        <v>0.0</v>
      </c>
      <c r="L46" s="14">
        <v>0.0</v>
      </c>
      <c r="M46" s="14">
        <v>0.0</v>
      </c>
      <c r="N46" s="14">
        <v>105.0</v>
      </c>
      <c r="O46" s="20">
        <v>1.393004</v>
      </c>
      <c r="P46" s="20">
        <v>7.520024885294345</v>
      </c>
      <c r="Q46" s="15"/>
      <c r="R46" s="20">
        <v>1.393004</v>
      </c>
      <c r="U46" s="14">
        <f t="array" ref="U46">XLOOKUP(E46, 'Conference Match'!$A$2:$A$25, 'Conference Match'!$C$2:$C$25)</f>
        <v>1</v>
      </c>
      <c r="V46" s="20">
        <f t="shared" si="1"/>
        <v>0.2089506</v>
      </c>
      <c r="W46" s="20">
        <f t="shared" si="2"/>
        <v>1.125324755</v>
      </c>
      <c r="Y46" s="20">
        <f>IFERROR(__xludf.DUMMYFUNCTION("iferror(PERCENTRANK.INC(FILTER($V$2:$V$425, $T$2:$T$425&lt;3.75), $V46), 1)"),0.321)</f>
        <v>0.321</v>
      </c>
      <c r="Z46" s="20">
        <f>IFERROR(__xludf.DUMMYFUNCTION("iferror(PERCENTRANK.INC(FILTER($V$2:$V$425, $T$2:$T$425&lt;4.5), $V46), 1)"),0.274)</f>
        <v>0.274</v>
      </c>
      <c r="AA46" s="20">
        <f>IFERROR(__xludf.DUMMYFUNCTION("iferror(PERCENTRANK.INC(FILTER($V$2:$V$425, $T$2:$T$425&gt;4.1), $V46), 0.01)"),0.01)</f>
        <v>0.01</v>
      </c>
    </row>
    <row r="47" ht="14.25" customHeight="1">
      <c r="A47" s="14" t="s">
        <v>1642</v>
      </c>
      <c r="B47" s="14" t="s">
        <v>107</v>
      </c>
      <c r="C47" s="14">
        <v>21.0</v>
      </c>
      <c r="D47" s="14" t="s">
        <v>1595</v>
      </c>
      <c r="E47" s="14" t="s">
        <v>108</v>
      </c>
      <c r="F47" s="14">
        <v>2.0</v>
      </c>
      <c r="G47" s="14">
        <v>24.0</v>
      </c>
      <c r="H47" s="14">
        <v>18.0</v>
      </c>
      <c r="I47" s="60">
        <v>0.75</v>
      </c>
      <c r="J47" s="14">
        <v>0.0</v>
      </c>
      <c r="K47" s="14">
        <v>0.0</v>
      </c>
      <c r="L47" s="14">
        <v>0.0</v>
      </c>
      <c r="M47" s="14">
        <v>0.0</v>
      </c>
      <c r="N47" s="14">
        <v>216.0</v>
      </c>
      <c r="O47" s="20">
        <v>1.1909999999999998</v>
      </c>
      <c r="P47" s="20">
        <v>0.11004699740435418</v>
      </c>
      <c r="Q47" s="15"/>
      <c r="R47" s="20">
        <v>1.1909999999999998</v>
      </c>
      <c r="U47" s="14">
        <f t="array" ref="U47">XLOOKUP(E47, 'Conference Match'!$A$2:$A$25, 'Conference Match'!$C$2:$C$25)</f>
        <v>1</v>
      </c>
      <c r="V47" s="20">
        <f t="shared" si="1"/>
        <v>0.17865</v>
      </c>
      <c r="W47" s="20">
        <f t="shared" si="2"/>
        <v>0.248799737</v>
      </c>
      <c r="Y47" s="20">
        <f>IFERROR(__xludf.DUMMYFUNCTION("iferror(PERCENTRANK.INC(FILTER($V$2:$V$425, $T$2:$T$425&lt;3.75), $V47), 1)"),0.094)</f>
        <v>0.094</v>
      </c>
      <c r="Z47" s="20">
        <f>IFERROR(__xludf.DUMMYFUNCTION("iferror(PERCENTRANK.INC(FILTER($V$2:$V$425, $T$2:$T$425&lt;4.5), $V47), 1)"),0.081)</f>
        <v>0.081</v>
      </c>
      <c r="AA47" s="20">
        <f>IFERROR(__xludf.DUMMYFUNCTION("iferror(PERCENTRANK.INC(FILTER($V$2:$V$425, $T$2:$T$425&gt;4.1), $V47), 0.01)"),0.01)</f>
        <v>0.01</v>
      </c>
    </row>
    <row r="48" ht="14.25" customHeight="1">
      <c r="A48" s="14" t="s">
        <v>1643</v>
      </c>
      <c r="B48" s="14" t="s">
        <v>219</v>
      </c>
      <c r="C48" s="14">
        <v>9.0</v>
      </c>
      <c r="D48" s="14" t="s">
        <v>1595</v>
      </c>
      <c r="E48" s="14" t="s">
        <v>220</v>
      </c>
      <c r="F48" s="14">
        <v>1.0</v>
      </c>
      <c r="G48" s="14">
        <v>20.0</v>
      </c>
      <c r="H48" s="14">
        <v>13.0</v>
      </c>
      <c r="I48" s="60">
        <v>0.65</v>
      </c>
      <c r="J48" s="14">
        <v>3.0</v>
      </c>
      <c r="K48" s="14">
        <v>1.0</v>
      </c>
      <c r="L48" s="14">
        <v>4.0</v>
      </c>
      <c r="M48" s="14">
        <v>4.0</v>
      </c>
      <c r="N48" s="14">
        <v>331.0</v>
      </c>
      <c r="O48" s="20">
        <v>2.6121999999999996</v>
      </c>
      <c r="P48" s="20">
        <v>52.242977901095614</v>
      </c>
      <c r="Q48" s="15"/>
      <c r="R48" s="20">
        <v>2.6121999999999996</v>
      </c>
      <c r="U48" s="14">
        <f t="array" ref="U48">XLOOKUP(E48, 'Conference Match'!$A$2:$A$25, 'Conference Match'!$C$2:$C$25)</f>
        <v>1</v>
      </c>
      <c r="V48" s="20">
        <f t="shared" si="1"/>
        <v>0.39183</v>
      </c>
      <c r="W48" s="20">
        <f t="shared" si="2"/>
        <v>6.415595222</v>
      </c>
      <c r="Y48" s="20">
        <f>IFERROR(__xludf.DUMMYFUNCTION("iferror(PERCENTRANK.INC(FILTER($V$2:$V$425, $T$2:$T$425&lt;3.75), $V48), 1)"),0.906)</f>
        <v>0.906</v>
      </c>
      <c r="Z48" s="20">
        <f>IFERROR(__xludf.DUMMYFUNCTION("iferror(PERCENTRANK.INC(FILTER($V$2:$V$425, $T$2:$T$425&lt;4.5), $V48), 1)"),0.774)</f>
        <v>0.774</v>
      </c>
      <c r="AA48" s="20">
        <f>IFERROR(__xludf.DUMMYFUNCTION("iferror(PERCENTRANK.INC(FILTER($V$2:$V$425, $T$2:$T$425&gt;4.1), $V48), 0.01)"),0.01)</f>
        <v>0.01</v>
      </c>
    </row>
    <row r="49" ht="14.25" customHeight="1">
      <c r="A49" s="14" t="s">
        <v>1644</v>
      </c>
      <c r="B49" s="14" t="s">
        <v>219</v>
      </c>
      <c r="C49" s="14">
        <v>8.0</v>
      </c>
      <c r="D49" s="14" t="s">
        <v>1595</v>
      </c>
      <c r="E49" s="14" t="s">
        <v>220</v>
      </c>
      <c r="F49" s="14">
        <v>4.0</v>
      </c>
      <c r="G49" s="14">
        <v>23.0</v>
      </c>
      <c r="H49" s="14">
        <v>15.0</v>
      </c>
      <c r="I49" s="60">
        <v>0.652</v>
      </c>
      <c r="J49" s="14">
        <v>2.0</v>
      </c>
      <c r="K49" s="14">
        <v>1.0</v>
      </c>
      <c r="L49" s="14">
        <v>2.0</v>
      </c>
      <c r="M49" s="14">
        <v>2.0</v>
      </c>
      <c r="N49" s="14">
        <v>291.0</v>
      </c>
      <c r="O49" s="20">
        <v>2.0521760000000002</v>
      </c>
      <c r="P49" s="20">
        <v>31.699991342969547</v>
      </c>
      <c r="Q49" s="15"/>
      <c r="R49" s="20">
        <v>2.0521760000000002</v>
      </c>
      <c r="U49" s="14">
        <f t="array" ref="U49">XLOOKUP(E49, 'Conference Match'!$A$2:$A$25, 'Conference Match'!$C$2:$C$25)</f>
        <v>1</v>
      </c>
      <c r="V49" s="20">
        <f t="shared" si="1"/>
        <v>0.3078264</v>
      </c>
      <c r="W49" s="20">
        <f t="shared" si="2"/>
        <v>3.985568854</v>
      </c>
      <c r="Y49" s="20">
        <f>IFERROR(__xludf.DUMMYFUNCTION("iferror(PERCENTRANK.INC(FILTER($V$2:$V$425, $T$2:$T$425&lt;3.75), $V49), 1)"),0.792)</f>
        <v>0.792</v>
      </c>
      <c r="Z49" s="20">
        <f>IFERROR(__xludf.DUMMYFUNCTION("iferror(PERCENTRANK.INC(FILTER($V$2:$V$425, $T$2:$T$425&lt;4.5), $V49), 1)"),0.677)</f>
        <v>0.677</v>
      </c>
      <c r="AA49" s="20">
        <f>IFERROR(__xludf.DUMMYFUNCTION("iferror(PERCENTRANK.INC(FILTER($V$2:$V$425, $T$2:$T$425&gt;4.1), $V49), 0.01)"),0.01)</f>
        <v>0.01</v>
      </c>
    </row>
    <row r="50" ht="14.25" customHeight="1">
      <c r="A50" s="14" t="s">
        <v>1645</v>
      </c>
      <c r="B50" s="14" t="s">
        <v>219</v>
      </c>
      <c r="C50" s="14">
        <v>28.0</v>
      </c>
      <c r="D50" s="14" t="s">
        <v>1595</v>
      </c>
      <c r="E50" s="14" t="s">
        <v>220</v>
      </c>
      <c r="F50" s="14">
        <v>6.0</v>
      </c>
      <c r="G50" s="14">
        <v>12.0</v>
      </c>
      <c r="H50" s="14">
        <v>4.0</v>
      </c>
      <c r="I50" s="60">
        <v>0.333</v>
      </c>
      <c r="J50" s="14">
        <v>3.0</v>
      </c>
      <c r="K50" s="14">
        <v>0.0</v>
      </c>
      <c r="L50" s="14">
        <v>1.0</v>
      </c>
      <c r="M50" s="14">
        <v>1.0</v>
      </c>
      <c r="N50" s="14">
        <v>97.0</v>
      </c>
      <c r="O50" s="20">
        <v>1.9760039999999999</v>
      </c>
      <c r="P50" s="20">
        <v>28.905824714207945</v>
      </c>
      <c r="Q50" s="15"/>
      <c r="R50" s="20">
        <v>1.9760039999999999</v>
      </c>
      <c r="U50" s="14">
        <f t="array" ref="U50">XLOOKUP(E50, 'Conference Match'!$A$2:$A$25, 'Conference Match'!$C$2:$C$25)</f>
        <v>1</v>
      </c>
      <c r="V50" s="20">
        <f t="shared" si="1"/>
        <v>0.2964006</v>
      </c>
      <c r="W50" s="20">
        <f t="shared" si="2"/>
        <v>3.655047361</v>
      </c>
      <c r="Y50" s="20">
        <f>IFERROR(__xludf.DUMMYFUNCTION("iferror(PERCENTRANK.INC(FILTER($V$2:$V$425, $T$2:$T$425&lt;3.75), $V50), 1)"),0.774)</f>
        <v>0.774</v>
      </c>
      <c r="Z50" s="20">
        <f>IFERROR(__xludf.DUMMYFUNCTION("iferror(PERCENTRANK.INC(FILTER($V$2:$V$425, $T$2:$T$425&lt;4.5), $V50), 1)"),0.661)</f>
        <v>0.661</v>
      </c>
      <c r="AA50" s="20">
        <f>IFERROR(__xludf.DUMMYFUNCTION("iferror(PERCENTRANK.INC(FILTER($V$2:$V$425, $T$2:$T$425&gt;4.1), $V50), 0.01)"),0.01)</f>
        <v>0.01</v>
      </c>
    </row>
    <row r="51" ht="14.25" customHeight="1">
      <c r="A51" s="14" t="s">
        <v>1646</v>
      </c>
      <c r="B51" s="14" t="s">
        <v>369</v>
      </c>
      <c r="C51" s="14">
        <v>0.0</v>
      </c>
      <c r="D51" s="14" t="s">
        <v>1595</v>
      </c>
      <c r="E51" s="14" t="s">
        <v>135</v>
      </c>
      <c r="F51" s="14">
        <v>6.0</v>
      </c>
      <c r="G51" s="14">
        <v>21.0</v>
      </c>
      <c r="H51" s="14">
        <v>15.0</v>
      </c>
      <c r="I51" s="60">
        <v>0.714</v>
      </c>
      <c r="J51" s="14">
        <v>1.0</v>
      </c>
      <c r="K51" s="14">
        <v>0.0</v>
      </c>
      <c r="L51" s="14">
        <v>2.0</v>
      </c>
      <c r="M51" s="14">
        <v>2.0</v>
      </c>
      <c r="N51" s="14">
        <v>262.0</v>
      </c>
      <c r="O51" s="20">
        <v>1.7514319999999999</v>
      </c>
      <c r="P51" s="20">
        <v>20.66799994717744</v>
      </c>
      <c r="Q51" s="15"/>
      <c r="R51" s="20">
        <v>1.7514319999999999</v>
      </c>
      <c r="U51" s="14">
        <f t="array" ref="U51">XLOOKUP(E51, 'Conference Match'!$A$2:$A$25, 'Conference Match'!$C$2:$C$25)</f>
        <v>1</v>
      </c>
      <c r="V51" s="20">
        <f t="shared" si="1"/>
        <v>0.2627148</v>
      </c>
      <c r="W51" s="20">
        <f t="shared" si="2"/>
        <v>2.680596477</v>
      </c>
      <c r="Y51" s="20">
        <f>IFERROR(__xludf.DUMMYFUNCTION("iferror(PERCENTRANK.INC(FILTER($V$2:$V$425, $T$2:$T$425&lt;3.75), $V51), 1)"),0.642)</f>
        <v>0.642</v>
      </c>
      <c r="Z51" s="20">
        <f>IFERROR(__xludf.DUMMYFUNCTION("iferror(PERCENTRANK.INC(FILTER($V$2:$V$425, $T$2:$T$425&lt;4.5), $V51), 1)"),0.548)</f>
        <v>0.548</v>
      </c>
      <c r="AA51" s="20">
        <f>IFERROR(__xludf.DUMMYFUNCTION("iferror(PERCENTRANK.INC(FILTER($V$2:$V$425, $T$2:$T$425&gt;4.1), $V51), 0.01)"),0.01)</f>
        <v>0.01</v>
      </c>
    </row>
    <row r="52" ht="14.25" customHeight="1">
      <c r="A52" s="14" t="s">
        <v>1647</v>
      </c>
      <c r="B52" s="14" t="s">
        <v>369</v>
      </c>
      <c r="C52" s="14">
        <v>19.0</v>
      </c>
      <c r="D52" s="14" t="s">
        <v>1595</v>
      </c>
      <c r="E52" s="14" t="s">
        <v>135</v>
      </c>
      <c r="F52" s="14">
        <v>13.0</v>
      </c>
      <c r="G52" s="14">
        <v>17.0</v>
      </c>
      <c r="H52" s="14">
        <v>9.0</v>
      </c>
      <c r="I52" s="60">
        <v>0.529</v>
      </c>
      <c r="J52" s="14">
        <v>0.0</v>
      </c>
      <c r="K52" s="14">
        <v>0.0</v>
      </c>
      <c r="L52" s="14">
        <v>1.0</v>
      </c>
      <c r="M52" s="14">
        <v>2.0</v>
      </c>
      <c r="N52" s="14">
        <v>196.0</v>
      </c>
      <c r="O52" s="20">
        <v>1.4536520000000002</v>
      </c>
      <c r="P52" s="20">
        <v>9.744734984820859</v>
      </c>
      <c r="Q52" s="15"/>
      <c r="R52" s="20">
        <v>1.4536520000000002</v>
      </c>
      <c r="U52" s="14">
        <f t="array" ref="U52">XLOOKUP(E52, 'Conference Match'!$A$2:$A$25, 'Conference Match'!$C$2:$C$25)</f>
        <v>1</v>
      </c>
      <c r="V52" s="20">
        <f t="shared" si="1"/>
        <v>0.2180478</v>
      </c>
      <c r="W52" s="20">
        <f t="shared" si="2"/>
        <v>1.388485332</v>
      </c>
      <c r="Y52" s="20">
        <f>IFERROR(__xludf.DUMMYFUNCTION("iferror(PERCENTRANK.INC(FILTER($V$2:$V$425, $T$2:$T$425&lt;3.75), $V52), 1)"),0.377)</f>
        <v>0.377</v>
      </c>
      <c r="Z52" s="20">
        <f>IFERROR(__xludf.DUMMYFUNCTION("iferror(PERCENTRANK.INC(FILTER($V$2:$V$425, $T$2:$T$425&lt;4.5), $V52), 1)"),0.323)</f>
        <v>0.323</v>
      </c>
      <c r="AA52" s="20">
        <f>IFERROR(__xludf.DUMMYFUNCTION("iferror(PERCENTRANK.INC(FILTER($V$2:$V$425, $T$2:$T$425&gt;4.1), $V52), 0.01)"),0.01)</f>
        <v>0.01</v>
      </c>
    </row>
    <row r="53" ht="14.25" customHeight="1">
      <c r="A53" s="14" t="s">
        <v>1648</v>
      </c>
      <c r="B53" s="14" t="s">
        <v>267</v>
      </c>
      <c r="C53" s="14">
        <v>22.0</v>
      </c>
      <c r="D53" s="14" t="s">
        <v>1595</v>
      </c>
      <c r="E53" s="14" t="s">
        <v>117</v>
      </c>
      <c r="F53" s="14">
        <v>5.0</v>
      </c>
      <c r="G53" s="14">
        <v>16.0</v>
      </c>
      <c r="H53" s="14">
        <v>9.0</v>
      </c>
      <c r="I53" s="60">
        <v>0.563</v>
      </c>
      <c r="J53" s="14">
        <v>0.0</v>
      </c>
      <c r="K53" s="14">
        <v>0.0</v>
      </c>
      <c r="L53" s="14">
        <v>3.0</v>
      </c>
      <c r="M53" s="14">
        <v>3.0</v>
      </c>
      <c r="N53" s="14">
        <v>88.0</v>
      </c>
      <c r="O53" s="20">
        <v>1.733244</v>
      </c>
      <c r="P53" s="20">
        <v>20.00082168424729</v>
      </c>
      <c r="Q53" s="15"/>
      <c r="R53" s="20">
        <v>1.733244</v>
      </c>
      <c r="U53" s="14">
        <f t="array" ref="U53">XLOOKUP(E53, 'Conference Match'!$A$2:$A$25, 'Conference Match'!$C$2:$C$25)</f>
        <v>0.95</v>
      </c>
      <c r="V53" s="20">
        <f t="shared" si="1"/>
        <v>0.24698727</v>
      </c>
      <c r="W53" s="20">
        <f t="shared" si="2"/>
        <v>2.225636064</v>
      </c>
      <c r="Y53" s="20">
        <f>IFERROR(__xludf.DUMMYFUNCTION("iferror(PERCENTRANK.INC(FILTER($V$2:$V$425, $T$2:$T$425&lt;3.75), $V53), 1)"),0.585)</f>
        <v>0.585</v>
      </c>
      <c r="Z53" s="20">
        <f>IFERROR(__xludf.DUMMYFUNCTION("iferror(PERCENTRANK.INC(FILTER($V$2:$V$425, $T$2:$T$425&lt;4.5), $V53), 1)"),0.5)</f>
        <v>0.5</v>
      </c>
      <c r="AA53" s="20">
        <f>IFERROR(__xludf.DUMMYFUNCTION("iferror(PERCENTRANK.INC(FILTER($V$2:$V$425, $T$2:$T$425&gt;4.1), $V53), 0.01)"),0.01)</f>
        <v>0.01</v>
      </c>
    </row>
    <row r="54" ht="14.25" customHeight="1">
      <c r="A54" s="14" t="s">
        <v>1649</v>
      </c>
      <c r="B54" s="14" t="s">
        <v>267</v>
      </c>
      <c r="C54" s="14">
        <v>7.0</v>
      </c>
      <c r="D54" s="14" t="s">
        <v>1595</v>
      </c>
      <c r="E54" s="14" t="s">
        <v>117</v>
      </c>
      <c r="F54" s="14">
        <v>2.0</v>
      </c>
      <c r="G54" s="14">
        <v>24.0</v>
      </c>
      <c r="H54" s="14">
        <v>20.0</v>
      </c>
      <c r="I54" s="60">
        <v>0.833</v>
      </c>
      <c r="J54" s="14">
        <v>0.0</v>
      </c>
      <c r="K54" s="14">
        <v>1.0</v>
      </c>
      <c r="L54" s="14">
        <v>2.0</v>
      </c>
      <c r="M54" s="14">
        <v>2.0</v>
      </c>
      <c r="N54" s="14">
        <v>266.0</v>
      </c>
      <c r="O54" s="20">
        <v>1.650004</v>
      </c>
      <c r="P54" s="20">
        <v>16.947384329601032</v>
      </c>
      <c r="Q54" s="15"/>
      <c r="R54" s="20">
        <v>1.650004</v>
      </c>
      <c r="U54" s="14">
        <f t="array" ref="U54">XLOOKUP(E54, 'Conference Match'!$A$2:$A$25, 'Conference Match'!$C$2:$C$25)</f>
        <v>0.95</v>
      </c>
      <c r="V54" s="20">
        <f t="shared" si="1"/>
        <v>0.23512557</v>
      </c>
      <c r="W54" s="20">
        <f t="shared" si="2"/>
        <v>1.88250501</v>
      </c>
      <c r="Y54" s="20">
        <f>IFERROR(__xludf.DUMMYFUNCTION("iferror(PERCENTRANK.INC(FILTER($V$2:$V$425, $T$2:$T$425&lt;3.75), $V54), 1)"),0.491)</f>
        <v>0.491</v>
      </c>
      <c r="Z54" s="20">
        <f>IFERROR(__xludf.DUMMYFUNCTION("iferror(PERCENTRANK.INC(FILTER($V$2:$V$425, $T$2:$T$425&lt;4.5), $V54), 1)"),0.419)</f>
        <v>0.419</v>
      </c>
      <c r="AA54" s="20">
        <f>IFERROR(__xludf.DUMMYFUNCTION("iferror(PERCENTRANK.INC(FILTER($V$2:$V$425, $T$2:$T$425&gt;4.1), $V54), 0.01)"),0.01)</f>
        <v>0.01</v>
      </c>
    </row>
    <row r="55" ht="14.25" customHeight="1">
      <c r="A55" s="14" t="s">
        <v>1650</v>
      </c>
      <c r="B55" s="14" t="s">
        <v>267</v>
      </c>
      <c r="C55" s="14">
        <v>10.0</v>
      </c>
      <c r="D55" s="14" t="s">
        <v>1595</v>
      </c>
      <c r="E55" s="14" t="s">
        <v>117</v>
      </c>
      <c r="F55" s="14">
        <v>2.0</v>
      </c>
      <c r="G55" s="14">
        <v>4.0</v>
      </c>
      <c r="H55" s="14">
        <v>1.0</v>
      </c>
      <c r="I55" s="60">
        <v>0.25</v>
      </c>
      <c r="J55" s="14">
        <v>0.0</v>
      </c>
      <c r="K55" s="14">
        <v>0.0</v>
      </c>
      <c r="L55" s="14">
        <v>0.0</v>
      </c>
      <c r="M55" s="14">
        <v>1.0</v>
      </c>
      <c r="N55" s="14">
        <v>133.0</v>
      </c>
      <c r="O55" s="20">
        <v>1.277</v>
      </c>
      <c r="P55" s="20">
        <v>3.264727589662624</v>
      </c>
      <c r="Q55" s="15"/>
      <c r="R55" s="20">
        <v>1.277</v>
      </c>
      <c r="U55" s="14">
        <f t="array" ref="U55">XLOOKUP(E55, 'Conference Match'!$A$2:$A$25, 'Conference Match'!$C$2:$C$25)</f>
        <v>0.95</v>
      </c>
      <c r="V55" s="20">
        <f t="shared" si="1"/>
        <v>0.1819725</v>
      </c>
      <c r="W55" s="20">
        <f t="shared" si="2"/>
        <v>0.3449118395</v>
      </c>
      <c r="Y55" s="20">
        <f>IFERROR(__xludf.DUMMYFUNCTION("iferror(PERCENTRANK.INC(FILTER($V$2:$V$425, $T$2:$T$425&lt;3.75), $V55), 1)"),0.17)</f>
        <v>0.17</v>
      </c>
      <c r="Z55" s="20">
        <f>IFERROR(__xludf.DUMMYFUNCTION("iferror(PERCENTRANK.INC(FILTER($V$2:$V$425, $T$2:$T$425&lt;4.5), $V55), 1)"),0.145)</f>
        <v>0.145</v>
      </c>
      <c r="AA55" s="20">
        <f>IFERROR(__xludf.DUMMYFUNCTION("iferror(PERCENTRANK.INC(FILTER($V$2:$V$425, $T$2:$T$425&gt;4.1), $V55), 0.01)"),0.01)</f>
        <v>0.01</v>
      </c>
    </row>
    <row r="56" ht="14.25" customHeight="1">
      <c r="A56" s="14" t="s">
        <v>1651</v>
      </c>
      <c r="B56" s="14" t="s">
        <v>447</v>
      </c>
      <c r="C56" s="14">
        <v>8.0</v>
      </c>
      <c r="D56" s="14" t="s">
        <v>1595</v>
      </c>
      <c r="E56" s="14" t="s">
        <v>99</v>
      </c>
      <c r="F56" s="14">
        <v>0.0</v>
      </c>
      <c r="G56" s="14">
        <v>19.0</v>
      </c>
      <c r="H56" s="14">
        <v>14.0</v>
      </c>
      <c r="I56" s="60">
        <v>0.737</v>
      </c>
      <c r="J56" s="14">
        <v>1.0</v>
      </c>
      <c r="K56" s="14">
        <v>0.0</v>
      </c>
      <c r="L56" s="14">
        <v>1.0</v>
      </c>
      <c r="M56" s="14">
        <v>3.0</v>
      </c>
      <c r="N56" s="14">
        <v>235.0</v>
      </c>
      <c r="O56" s="20">
        <v>1.731156</v>
      </c>
      <c r="P56" s="20">
        <v>19.92422897405385</v>
      </c>
      <c r="Q56" s="15"/>
      <c r="R56" s="20">
        <v>1.731156</v>
      </c>
      <c r="U56" s="14">
        <f t="array" ref="U56">XLOOKUP(E56, 'Conference Match'!$A$2:$A$25, 'Conference Match'!$C$2:$C$25)</f>
        <v>1</v>
      </c>
      <c r="V56" s="20">
        <f t="shared" si="1"/>
        <v>0.2596734</v>
      </c>
      <c r="W56" s="20">
        <f t="shared" si="2"/>
        <v>2.592615936</v>
      </c>
      <c r="Y56" s="20">
        <f>IFERROR(__xludf.DUMMYFUNCTION("iferror(PERCENTRANK.INC(FILTER($V$2:$V$425, $T$2:$T$425&lt;3.75), $V56), 1)"),0.623)</f>
        <v>0.623</v>
      </c>
      <c r="Z56" s="20">
        <f>IFERROR(__xludf.DUMMYFUNCTION("iferror(PERCENTRANK.INC(FILTER($V$2:$V$425, $T$2:$T$425&lt;4.5), $V56), 1)"),0.532)</f>
        <v>0.532</v>
      </c>
      <c r="AA56" s="20">
        <f>IFERROR(__xludf.DUMMYFUNCTION("iferror(PERCENTRANK.INC(FILTER($V$2:$V$425, $T$2:$T$425&gt;4.1), $V56), 0.01)"),0.01)</f>
        <v>0.01</v>
      </c>
    </row>
    <row r="57" ht="14.25" customHeight="1">
      <c r="A57" s="14" t="s">
        <v>1652</v>
      </c>
      <c r="B57" s="14" t="s">
        <v>417</v>
      </c>
      <c r="C57" s="14">
        <v>21.0</v>
      </c>
      <c r="D57" s="14" t="s">
        <v>1595</v>
      </c>
      <c r="E57" s="14" t="s">
        <v>108</v>
      </c>
      <c r="F57" s="14">
        <v>11.0</v>
      </c>
      <c r="G57" s="14">
        <v>27.0</v>
      </c>
      <c r="H57" s="14">
        <v>18.0</v>
      </c>
      <c r="I57" s="60">
        <v>0.667</v>
      </c>
      <c r="J57" s="14">
        <v>0.0</v>
      </c>
      <c r="K57" s="14">
        <v>0.0</v>
      </c>
      <c r="L57" s="14">
        <v>4.0</v>
      </c>
      <c r="M57" s="14">
        <v>5.0</v>
      </c>
      <c r="N57" s="14">
        <v>275.0</v>
      </c>
      <c r="O57" s="20">
        <v>1.9919959999999997</v>
      </c>
      <c r="P57" s="20">
        <v>29.4924485750381</v>
      </c>
      <c r="Q57" s="15"/>
      <c r="R57" s="20">
        <v>1.9919959999999997</v>
      </c>
      <c r="S57" s="16">
        <v>0.36</v>
      </c>
      <c r="U57" s="14">
        <f t="array" ref="U57">XLOOKUP(E57, 'Conference Match'!$A$2:$A$25, 'Conference Match'!$C$2:$C$25)</f>
        <v>1</v>
      </c>
      <c r="V57" s="20">
        <f t="shared" si="1"/>
        <v>0.3527994</v>
      </c>
      <c r="W57" s="20">
        <f t="shared" si="2"/>
        <v>5.286531859</v>
      </c>
      <c r="Y57" s="20">
        <f>IFERROR(__xludf.DUMMYFUNCTION("iferror(PERCENTRANK.INC(FILTER($V$2:$V$425, $T$2:$T$425&lt;3.75), $V57), 1)"),0.868)</f>
        <v>0.868</v>
      </c>
      <c r="Z57" s="20">
        <f>IFERROR(__xludf.DUMMYFUNCTION("iferror(PERCENTRANK.INC(FILTER($V$2:$V$425, $T$2:$T$425&lt;4.5), $V57), 1)"),0.742)</f>
        <v>0.742</v>
      </c>
      <c r="AA57" s="20">
        <f>IFERROR(__xludf.DUMMYFUNCTION("iferror(PERCENTRANK.INC(FILTER($V$2:$V$425, $T$2:$T$425&gt;4.1), $V57), 0.01)"),0.01)</f>
        <v>0.01</v>
      </c>
    </row>
    <row r="58" ht="14.25" customHeight="1">
      <c r="A58" s="14" t="s">
        <v>1653</v>
      </c>
      <c r="B58" s="14" t="s">
        <v>240</v>
      </c>
      <c r="C58" s="14">
        <v>12.0</v>
      </c>
      <c r="D58" s="14" t="s">
        <v>1595</v>
      </c>
      <c r="E58" s="14" t="s">
        <v>108</v>
      </c>
      <c r="F58" s="14">
        <v>2.0</v>
      </c>
      <c r="G58" s="14">
        <v>34.0</v>
      </c>
      <c r="H58" s="14">
        <v>22.0</v>
      </c>
      <c r="I58" s="60">
        <v>0.647</v>
      </c>
      <c r="J58" s="14">
        <v>2.0</v>
      </c>
      <c r="K58" s="14">
        <v>0.0</v>
      </c>
      <c r="L58" s="14">
        <v>4.0</v>
      </c>
      <c r="M58" s="14">
        <v>5.0</v>
      </c>
      <c r="N58" s="14">
        <v>342.0</v>
      </c>
      <c r="O58" s="20">
        <v>2.3922359999999996</v>
      </c>
      <c r="P58" s="20">
        <v>44.1741853220782</v>
      </c>
      <c r="Q58" s="15"/>
      <c r="R58" s="20">
        <v>2.3922359999999996</v>
      </c>
      <c r="U58" s="14">
        <f t="array" ref="U58">XLOOKUP(E58, 'Conference Match'!$A$2:$A$25, 'Conference Match'!$C$2:$C$25)</f>
        <v>1</v>
      </c>
      <c r="V58" s="20">
        <f t="shared" si="1"/>
        <v>0.3588354</v>
      </c>
      <c r="W58" s="20">
        <f t="shared" si="2"/>
        <v>5.461139127</v>
      </c>
      <c r="Y58" s="20">
        <f>IFERROR(__xludf.DUMMYFUNCTION("iferror(PERCENTRANK.INC(FILTER($V$2:$V$425, $T$2:$T$425&lt;3.75), $V58), 1)"),0.887)</f>
        <v>0.887</v>
      </c>
      <c r="Z58" s="20">
        <f>IFERROR(__xludf.DUMMYFUNCTION("iferror(PERCENTRANK.INC(FILTER($V$2:$V$425, $T$2:$T$425&lt;4.5), $V58), 1)"),0.758)</f>
        <v>0.758</v>
      </c>
      <c r="AA58" s="20">
        <f>IFERROR(__xludf.DUMMYFUNCTION("iferror(PERCENTRANK.INC(FILTER($V$2:$V$425, $T$2:$T$425&gt;4.1), $V58), 0.01)"),0.01)</f>
        <v>0.01</v>
      </c>
    </row>
    <row r="59" ht="14.25" customHeight="1">
      <c r="A59" s="14" t="s">
        <v>1654</v>
      </c>
      <c r="B59" s="14" t="s">
        <v>240</v>
      </c>
      <c r="C59" s="14">
        <v>18.0</v>
      </c>
      <c r="D59" s="14" t="s">
        <v>1595</v>
      </c>
      <c r="E59" s="14" t="s">
        <v>108</v>
      </c>
      <c r="F59" s="14">
        <v>0.0</v>
      </c>
      <c r="G59" s="14">
        <v>6.0</v>
      </c>
      <c r="H59" s="14">
        <v>5.0</v>
      </c>
      <c r="I59" s="60">
        <v>0.833</v>
      </c>
      <c r="J59" s="14">
        <v>0.0</v>
      </c>
      <c r="K59" s="14">
        <v>0.0</v>
      </c>
      <c r="L59" s="14">
        <v>0.0</v>
      </c>
      <c r="M59" s="14">
        <v>0.0</v>
      </c>
      <c r="N59" s="14">
        <v>109.0</v>
      </c>
      <c r="O59" s="20">
        <v>1.190004</v>
      </c>
      <c r="P59" s="20">
        <v>0.07351139426611553</v>
      </c>
      <c r="Q59" s="15"/>
      <c r="R59" s="20">
        <v>1.190004</v>
      </c>
      <c r="U59" s="14">
        <f t="array" ref="U59">XLOOKUP(E59, 'Conference Match'!$A$2:$A$25, 'Conference Match'!$C$2:$C$25)</f>
        <v>1</v>
      </c>
      <c r="V59" s="20">
        <f t="shared" si="1"/>
        <v>0.1785006</v>
      </c>
      <c r="W59" s="20">
        <f t="shared" si="2"/>
        <v>0.2444779468</v>
      </c>
      <c r="Y59" s="20">
        <f>IFERROR(__xludf.DUMMYFUNCTION("iferror(PERCENTRANK.INC(FILTER($V$2:$V$425, $T$2:$T$425&lt;3.75), $V59), 1)"),0.057)</f>
        <v>0.057</v>
      </c>
      <c r="Z59" s="20">
        <f>IFERROR(__xludf.DUMMYFUNCTION("iferror(PERCENTRANK.INC(FILTER($V$2:$V$425, $T$2:$T$425&lt;4.5), $V59), 1)"),0.048)</f>
        <v>0.048</v>
      </c>
      <c r="AA59" s="20">
        <f>IFERROR(__xludf.DUMMYFUNCTION("iferror(PERCENTRANK.INC(FILTER($V$2:$V$425, $T$2:$T$425&gt;4.1), $V59), 0.01)"),0.01)</f>
        <v>0.01</v>
      </c>
    </row>
    <row r="60" ht="14.25" customHeight="1">
      <c r="A60" s="14" t="s">
        <v>1655</v>
      </c>
      <c r="B60" s="14" t="s">
        <v>527</v>
      </c>
      <c r="C60" s="14">
        <v>4.0</v>
      </c>
      <c r="D60" s="14" t="s">
        <v>1595</v>
      </c>
      <c r="E60" s="14" t="s">
        <v>132</v>
      </c>
      <c r="F60" s="14">
        <v>0.0</v>
      </c>
      <c r="G60" s="14">
        <v>10.0</v>
      </c>
      <c r="H60" s="14">
        <v>4.0</v>
      </c>
      <c r="I60" s="60">
        <v>0.4</v>
      </c>
      <c r="J60" s="14">
        <v>1.0</v>
      </c>
      <c r="K60" s="14">
        <v>0.0</v>
      </c>
      <c r="L60" s="14">
        <v>1.0</v>
      </c>
      <c r="M60" s="14">
        <v>1.0</v>
      </c>
      <c r="N60" s="14">
        <v>149.0</v>
      </c>
      <c r="O60" s="20">
        <v>1.5751999999999997</v>
      </c>
      <c r="P60" s="20">
        <v>14.203399131655818</v>
      </c>
      <c r="Q60" s="15"/>
      <c r="R60" s="20">
        <v>1.5751999999999997</v>
      </c>
      <c r="U60" s="14">
        <f t="array" ref="U60">XLOOKUP(E60, 'Conference Match'!$A$2:$A$25, 'Conference Match'!$C$2:$C$25)</f>
        <v>0.95</v>
      </c>
      <c r="V60" s="20">
        <f t="shared" si="1"/>
        <v>0.224466</v>
      </c>
      <c r="W60" s="20">
        <f t="shared" si="2"/>
        <v>1.574148747</v>
      </c>
      <c r="Y60" s="20">
        <f>IFERROR(__xludf.DUMMYFUNCTION("iferror(PERCENTRANK.INC(FILTER($V$2:$V$425, $T$2:$T$425&lt;3.75), $V60), 1)"),0.434)</f>
        <v>0.434</v>
      </c>
      <c r="Z60" s="20">
        <f>IFERROR(__xludf.DUMMYFUNCTION("iferror(PERCENTRANK.INC(FILTER($V$2:$V$425, $T$2:$T$425&lt;4.5), $V60), 1)"),0.371)</f>
        <v>0.371</v>
      </c>
      <c r="AA60" s="20">
        <f>IFERROR(__xludf.DUMMYFUNCTION("iferror(PERCENTRANK.INC(FILTER($V$2:$V$425, $T$2:$T$425&gt;4.1), $V60), 0.01)"),0.01)</f>
        <v>0.01</v>
      </c>
    </row>
    <row r="61" ht="14.25" customHeight="1">
      <c r="A61" s="14" t="s">
        <v>1656</v>
      </c>
      <c r="B61" s="14" t="s">
        <v>527</v>
      </c>
      <c r="C61" s="14">
        <v>23.0</v>
      </c>
      <c r="D61" s="14" t="s">
        <v>1595</v>
      </c>
      <c r="E61" s="14" t="s">
        <v>132</v>
      </c>
      <c r="F61" s="14">
        <v>1.0</v>
      </c>
      <c r="G61" s="14">
        <v>21.0</v>
      </c>
      <c r="H61" s="14">
        <v>12.0</v>
      </c>
      <c r="I61" s="60">
        <v>0.571</v>
      </c>
      <c r="J61" s="14">
        <v>1.0</v>
      </c>
      <c r="K61" s="14">
        <v>0.0</v>
      </c>
      <c r="L61" s="14">
        <v>1.0</v>
      </c>
      <c r="M61" s="14">
        <v>1.0</v>
      </c>
      <c r="N61" s="14">
        <v>229.0</v>
      </c>
      <c r="O61" s="20">
        <v>1.573148</v>
      </c>
      <c r="P61" s="20">
        <v>14.128126985431248</v>
      </c>
      <c r="Q61" s="15"/>
      <c r="R61" s="20">
        <v>1.573148</v>
      </c>
      <c r="U61" s="14">
        <f t="array" ref="U61">XLOOKUP(E61, 'Conference Match'!$A$2:$A$25, 'Conference Match'!$C$2:$C$25)</f>
        <v>0.95</v>
      </c>
      <c r="V61" s="20">
        <f t="shared" si="1"/>
        <v>0.22417359</v>
      </c>
      <c r="W61" s="20">
        <f t="shared" si="2"/>
        <v>1.565690014</v>
      </c>
      <c r="Y61" s="20">
        <f>IFERROR(__xludf.DUMMYFUNCTION("iferror(PERCENTRANK.INC(FILTER($V$2:$V$425, $T$2:$T$425&lt;3.75), $V61), 1)"),0.415)</f>
        <v>0.415</v>
      </c>
      <c r="Z61" s="20">
        <f>IFERROR(__xludf.DUMMYFUNCTION("iferror(PERCENTRANK.INC(FILTER($V$2:$V$425, $T$2:$T$425&lt;4.5), $V61), 1)"),0.355)</f>
        <v>0.355</v>
      </c>
      <c r="AA61" s="20">
        <f>IFERROR(__xludf.DUMMYFUNCTION("iferror(PERCENTRANK.INC(FILTER($V$2:$V$425, $T$2:$T$425&gt;4.1), $V61), 0.01)"),0.01)</f>
        <v>0.01</v>
      </c>
    </row>
    <row r="62" ht="14.25" customHeight="1">
      <c r="A62" s="14" t="s">
        <v>1657</v>
      </c>
      <c r="B62" s="14" t="s">
        <v>527</v>
      </c>
      <c r="C62" s="14">
        <v>25.0</v>
      </c>
      <c r="D62" s="14" t="s">
        <v>1595</v>
      </c>
      <c r="E62" s="14" t="s">
        <v>132</v>
      </c>
      <c r="F62" s="14">
        <v>0.0</v>
      </c>
      <c r="G62" s="14">
        <v>6.0</v>
      </c>
      <c r="H62" s="14">
        <v>2.0</v>
      </c>
      <c r="I62" s="60">
        <v>0.333</v>
      </c>
      <c r="J62" s="14">
        <v>0.0</v>
      </c>
      <c r="K62" s="14">
        <v>0.0</v>
      </c>
      <c r="L62" s="14">
        <v>0.0</v>
      </c>
      <c r="M62" s="14">
        <v>0.0</v>
      </c>
      <c r="N62" s="14">
        <v>62.0</v>
      </c>
      <c r="O62" s="20">
        <v>1.1960039999999998</v>
      </c>
      <c r="P62" s="20">
        <v>0.2936053890748239</v>
      </c>
      <c r="Q62" s="15"/>
      <c r="R62" s="20">
        <v>1.1960039999999998</v>
      </c>
      <c r="U62" s="14">
        <f t="array" ref="U62">XLOOKUP(E62, 'Conference Match'!$A$2:$A$25, 'Conference Match'!$C$2:$C$25)</f>
        <v>0.95</v>
      </c>
      <c r="V62" s="20">
        <f t="shared" si="1"/>
        <v>0.17043057</v>
      </c>
      <c r="W62" s="20">
        <f t="shared" si="2"/>
        <v>0.01103097909</v>
      </c>
      <c r="Y62" s="20">
        <f>IFERROR(__xludf.DUMMYFUNCTION("iferror(PERCENTRANK.INC(FILTER($V$2:$V$425, $T$2:$T$425&lt;3.75), $V62), 1)"),0.019)</f>
        <v>0.019</v>
      </c>
      <c r="Z62" s="20">
        <f>IFERROR(__xludf.DUMMYFUNCTION("iferror(PERCENTRANK.INC(FILTER($V$2:$V$425, $T$2:$T$425&lt;4.5), $V62), 1)"),0.016)</f>
        <v>0.016</v>
      </c>
      <c r="AA62" s="20">
        <f>IFERROR(__xludf.DUMMYFUNCTION("iferror(PERCENTRANK.INC(FILTER($V$2:$V$425, $T$2:$T$425&gt;4.1), $V62), 0.01)"),0.01)</f>
        <v>0.01</v>
      </c>
    </row>
    <row r="63" ht="14.25" customHeight="1">
      <c r="A63" s="17" t="s">
        <v>1658</v>
      </c>
      <c r="B63" s="17" t="s">
        <v>419</v>
      </c>
      <c r="C63" s="18">
        <v>1.0</v>
      </c>
      <c r="D63" s="17" t="s">
        <v>1595</v>
      </c>
      <c r="E63" s="17" t="s">
        <v>117</v>
      </c>
      <c r="F63" s="18">
        <v>8.0</v>
      </c>
      <c r="G63" s="18">
        <v>21.0</v>
      </c>
      <c r="H63" s="18">
        <v>11.0</v>
      </c>
      <c r="I63" s="19">
        <v>0.524</v>
      </c>
      <c r="J63" s="18">
        <v>1.0</v>
      </c>
      <c r="K63" s="18">
        <v>0.0</v>
      </c>
      <c r="L63" s="18">
        <v>1.0</v>
      </c>
      <c r="M63" s="18">
        <v>3.0</v>
      </c>
      <c r="N63" s="18">
        <v>222.0</v>
      </c>
      <c r="O63" s="18">
        <v>1.73</v>
      </c>
      <c r="P63" s="18">
        <v>17.68</v>
      </c>
      <c r="Q63" s="15"/>
      <c r="R63" s="38">
        <v>1.73</v>
      </c>
      <c r="S63" s="16">
        <v>0.18</v>
      </c>
      <c r="U63" s="14">
        <f t="array" ref="U63">XLOOKUP(E63, 'Conference Match'!$A$2:$A$25, 'Conference Match'!$C$2:$C$25)</f>
        <v>0.95</v>
      </c>
      <c r="V63" s="20">
        <f t="shared" si="1"/>
        <v>0.273525</v>
      </c>
      <c r="W63" s="20">
        <f t="shared" si="2"/>
        <v>2.993310112</v>
      </c>
      <c r="Y63" s="20">
        <f>IFERROR(__xludf.DUMMYFUNCTION("iferror(PERCENTRANK.INC(FILTER($V$2:$V$425, $T$2:$T$425&lt;3.75), $V63), 1)"),0.66)</f>
        <v>0.66</v>
      </c>
      <c r="Z63" s="20">
        <f>IFERROR(__xludf.DUMMYFUNCTION("iferror(PERCENTRANK.INC(FILTER($V$2:$V$425, $T$2:$T$425&lt;4.5), $V63), 1)"),0.565)</f>
        <v>0.565</v>
      </c>
      <c r="AA63" s="20">
        <f>IFERROR(__xludf.DUMMYFUNCTION("iferror(PERCENTRANK.INC(FILTER($V$2:$V$425, $T$2:$T$425&gt;4.1), $V63), 0.01)"),0.01)</f>
        <v>0.01</v>
      </c>
    </row>
    <row r="64" ht="14.25" customHeight="1">
      <c r="A64" s="17" t="s">
        <v>1659</v>
      </c>
      <c r="B64" s="17" t="s">
        <v>431</v>
      </c>
      <c r="C64" s="18">
        <v>27.0</v>
      </c>
      <c r="D64" s="23" t="s">
        <v>1595</v>
      </c>
      <c r="E64" s="17" t="s">
        <v>144</v>
      </c>
      <c r="F64" s="18">
        <v>67.0</v>
      </c>
      <c r="G64" s="18">
        <v>52.0</v>
      </c>
      <c r="H64" s="18">
        <v>33.0</v>
      </c>
      <c r="I64" s="19">
        <v>0.635</v>
      </c>
      <c r="J64" s="18">
        <v>2.0</v>
      </c>
      <c r="K64" s="18">
        <v>1.0</v>
      </c>
      <c r="L64" s="18">
        <v>9.0</v>
      </c>
      <c r="M64" s="18">
        <v>10.0</v>
      </c>
      <c r="N64" s="18">
        <v>340.0</v>
      </c>
      <c r="O64" s="22">
        <v>3.39</v>
      </c>
      <c r="P64" s="22">
        <v>71.41</v>
      </c>
      <c r="Q64" s="15"/>
      <c r="R64" s="38">
        <v>3.39</v>
      </c>
      <c r="S64" s="16">
        <v>0.6</v>
      </c>
      <c r="T64" s="16">
        <v>4.33</v>
      </c>
      <c r="U64" s="14">
        <f t="array" ref="U64">XLOOKUP(E64, 'Conference Match'!$A$2:$A$25, 'Conference Match'!$C$2:$C$25)</f>
        <v>0.95</v>
      </c>
      <c r="V64" s="20">
        <f t="shared" si="1"/>
        <v>3.604075</v>
      </c>
      <c r="W64" s="20">
        <f>100*(V64-MIN('CB Sheet'!$V$2:$V$126))/(MAX('CB Sheet'!$V$2:$V$126) - MIN('CB Sheet'!$V$2:$V$126))</f>
        <v>76.66205796</v>
      </c>
      <c r="Y64" s="20">
        <f>IFERROR(__xludf.DUMMYFUNCTION("iferror(PERCENTRANK.INC(FILTER($V$2:$V$425, $T$2:$T$425&lt;3.75), $V64), 1)"),1.0)</f>
        <v>1</v>
      </c>
      <c r="Z64" s="20">
        <f>IFERROR(__xludf.DUMMYFUNCTION("iferror(PERCENTRANK.INC(FILTER($V$2:$V$425, $T$2:$T$425&lt;4.5), $V64), 1)"),0.984)</f>
        <v>0.984</v>
      </c>
      <c r="AA64" s="20">
        <f>IFERROR(__xludf.DUMMYFUNCTION("iferror(PERCENTRANK.INC(FILTER($V$2:$V$425, $T$2:$T$425&gt;4.1), $V64), 0.01)"),0.75)</f>
        <v>0.75</v>
      </c>
    </row>
    <row r="65" ht="14.25" customHeight="1">
      <c r="A65" s="14" t="s">
        <v>1660</v>
      </c>
      <c r="B65" s="14" t="s">
        <v>577</v>
      </c>
      <c r="C65" s="14">
        <v>20.0</v>
      </c>
      <c r="D65" s="14" t="s">
        <v>38</v>
      </c>
      <c r="E65" s="14" t="s">
        <v>144</v>
      </c>
      <c r="F65" s="14">
        <v>25.0</v>
      </c>
      <c r="G65" s="14">
        <v>29.0</v>
      </c>
      <c r="H65" s="14">
        <v>16.0</v>
      </c>
      <c r="I65" s="60">
        <v>0.552</v>
      </c>
      <c r="J65" s="14">
        <v>0.0</v>
      </c>
      <c r="K65" s="14">
        <v>0.0</v>
      </c>
      <c r="L65" s="14">
        <v>2.0</v>
      </c>
      <c r="M65" s="14">
        <v>3.0</v>
      </c>
      <c r="N65" s="14">
        <v>190.0</v>
      </c>
      <c r="O65" s="20">
        <v>1.6333759999999997</v>
      </c>
      <c r="P65" s="20">
        <v>14.427096155590387</v>
      </c>
      <c r="Q65" s="15"/>
      <c r="R65" s="20">
        <v>1.6333759999999997</v>
      </c>
      <c r="S65" s="16">
        <v>0.43</v>
      </c>
      <c r="T65" s="38">
        <v>4.11</v>
      </c>
      <c r="U65" s="14">
        <f t="array" ref="U65">XLOOKUP(E65, 'Conference Match'!$A$2:$A$25, 'Conference Match'!$C$2:$C$25)</f>
        <v>0.95</v>
      </c>
      <c r="V65" s="20">
        <f t="shared" si="1"/>
        <v>3.17425608</v>
      </c>
      <c r="W65" s="20">
        <f>100*(V65-MIN('CB Sheet'!$V$2:$V$126))/(MAX('CB Sheet'!$V$2:$V$126) - MIN('CB Sheet'!$V$2:$V$126))</f>
        <v>67.51940612</v>
      </c>
      <c r="Y65" s="20">
        <f>IFERROR(__xludf.DUMMYFUNCTION("iferror(PERCENTRANK.INC(FILTER($V$2:$V$425, $T$2:$T$425&lt;3.75), $V65), 1)"),1.0)</f>
        <v>1</v>
      </c>
      <c r="Z65" s="20">
        <f>IFERROR(__xludf.DUMMYFUNCTION("iferror(PERCENTRANK.INC(FILTER($V$2:$V$425, $T$2:$T$425&lt;4.5), $V65), 1)"),0.935)</f>
        <v>0.935</v>
      </c>
      <c r="AA65" s="20">
        <f>IFERROR(__xludf.DUMMYFUNCTION("iferror(PERCENTRANK.INC(FILTER($V$2:$V$425, $T$2:$T$425&gt;4.1), $V65), 0.01)"),0.0)</f>
        <v>0</v>
      </c>
    </row>
    <row r="66" ht="14.25" customHeight="1">
      <c r="A66" s="17" t="s">
        <v>1661</v>
      </c>
      <c r="B66" s="17" t="s">
        <v>529</v>
      </c>
      <c r="C66" s="18">
        <v>1.0</v>
      </c>
      <c r="D66" s="17" t="s">
        <v>1595</v>
      </c>
      <c r="E66" s="17" t="s">
        <v>144</v>
      </c>
      <c r="F66" s="18">
        <v>12.0</v>
      </c>
      <c r="G66" s="18">
        <v>47.0</v>
      </c>
      <c r="H66" s="18">
        <v>31.0</v>
      </c>
      <c r="I66" s="19">
        <v>0.66</v>
      </c>
      <c r="J66" s="18">
        <v>2.0</v>
      </c>
      <c r="K66" s="18">
        <v>0.0</v>
      </c>
      <c r="L66" s="18">
        <v>1.0</v>
      </c>
      <c r="M66" s="18">
        <v>2.0</v>
      </c>
      <c r="N66" s="18">
        <v>293.0</v>
      </c>
      <c r="O66" s="22">
        <v>1.85</v>
      </c>
      <c r="P66" s="22">
        <v>21.51</v>
      </c>
      <c r="Q66" s="15"/>
      <c r="R66" s="38">
        <v>1.85</v>
      </c>
      <c r="T66" s="16">
        <v>3.89</v>
      </c>
      <c r="U66" s="14">
        <f t="array" ref="U66">XLOOKUP(E66, 'Conference Match'!$A$2:$A$25, 'Conference Match'!$C$2:$C$25)</f>
        <v>0.95</v>
      </c>
      <c r="V66" s="20">
        <f t="shared" si="1"/>
        <v>2.986625</v>
      </c>
      <c r="W66" s="20">
        <f>100*(V66-MIN('CB Sheet'!$V$2:$V$126))/(MAX('CB Sheet'!$V$2:$V$126) - MIN('CB Sheet'!$V$2:$V$126))</f>
        <v>63.52831694</v>
      </c>
      <c r="Y66" s="20">
        <f>IFERROR(__xludf.DUMMYFUNCTION("iferror(PERCENTRANK.INC(FILTER($V$2:$V$425, $T$2:$T$425&lt;3.75), $V66), 1)"),1.0)</f>
        <v>1</v>
      </c>
      <c r="Z66" s="20">
        <f>IFERROR(__xludf.DUMMYFUNCTION("iferror(PERCENTRANK.INC(FILTER($V$2:$V$425, $T$2:$T$425&lt;4.5), $V66), 1)"),0.903)</f>
        <v>0.903</v>
      </c>
      <c r="AA66" s="20">
        <f>IFERROR(__xludf.DUMMYFUNCTION("iferror(PERCENTRANK.INC(FILTER($V$2:$V$425, $T$2:$T$425&gt;4.1), $V66), 0.01)"),0.01)</f>
        <v>0.01</v>
      </c>
    </row>
    <row r="67" ht="14.25" customHeight="1">
      <c r="A67" s="17" t="s">
        <v>1662</v>
      </c>
      <c r="B67" s="17" t="s">
        <v>617</v>
      </c>
      <c r="C67" s="18">
        <v>1.0</v>
      </c>
      <c r="D67" s="17" t="s">
        <v>38</v>
      </c>
      <c r="E67" s="17" t="s">
        <v>179</v>
      </c>
      <c r="F67" s="18">
        <v>12.0</v>
      </c>
      <c r="G67" s="18">
        <v>54.0</v>
      </c>
      <c r="H67" s="18">
        <v>37.0</v>
      </c>
      <c r="I67" s="19">
        <v>0.685</v>
      </c>
      <c r="J67" s="18">
        <v>2.0</v>
      </c>
      <c r="K67" s="18">
        <v>0.0</v>
      </c>
      <c r="L67" s="18">
        <v>1.0</v>
      </c>
      <c r="M67" s="18">
        <v>2.0</v>
      </c>
      <c r="N67" s="18">
        <v>278.0</v>
      </c>
      <c r="O67" s="22">
        <v>1.85</v>
      </c>
      <c r="P67" s="22">
        <v>21.5</v>
      </c>
      <c r="Q67" s="15"/>
      <c r="R67" s="38">
        <v>1.85</v>
      </c>
      <c r="T67" s="16">
        <v>3.89</v>
      </c>
      <c r="U67" s="14">
        <f t="array" ref="U67">XLOOKUP(E67, 'Conference Match'!$A$2:$A$25, 'Conference Match'!$C$2:$C$25)</f>
        <v>0.9</v>
      </c>
      <c r="V67" s="20">
        <f t="shared" si="1"/>
        <v>2.97275</v>
      </c>
      <c r="W67" s="20">
        <f>100*(V67-MIN('CB Sheet'!$V$2:$V$126))/(MAX('CB Sheet'!$V$2:$V$126) - MIN('CB Sheet'!$V$2:$V$126))</f>
        <v>63.23318266</v>
      </c>
      <c r="Y67" s="20">
        <f>IFERROR(__xludf.DUMMYFUNCTION("iferror(PERCENTRANK.INC(FILTER($V$2:$V$425, $T$2:$T$425&lt;3.75), $V67), 1)"),1.0)</f>
        <v>1</v>
      </c>
      <c r="Z67" s="20">
        <f>IFERROR(__xludf.DUMMYFUNCTION("iferror(PERCENTRANK.INC(FILTER($V$2:$V$425, $T$2:$T$425&lt;4.5), $V67), 1)"),0.871)</f>
        <v>0.871</v>
      </c>
      <c r="AA67" s="20">
        <f>IFERROR(__xludf.DUMMYFUNCTION("iferror(PERCENTRANK.INC(FILTER($V$2:$V$425, $T$2:$T$425&gt;4.1), $V67), 0.01)"),0.01)</f>
        <v>0.01</v>
      </c>
    </row>
    <row r="68" ht="14.25" customHeight="1">
      <c r="A68" s="17" t="s">
        <v>1663</v>
      </c>
      <c r="B68" s="17" t="s">
        <v>541</v>
      </c>
      <c r="C68" s="18">
        <v>10.0</v>
      </c>
      <c r="D68" s="17" t="s">
        <v>1595</v>
      </c>
      <c r="E68" s="17" t="s">
        <v>147</v>
      </c>
      <c r="F68" s="18">
        <v>0.0</v>
      </c>
      <c r="G68" s="18">
        <v>25.0</v>
      </c>
      <c r="H68" s="18">
        <v>11.0</v>
      </c>
      <c r="I68" s="19">
        <v>0.44</v>
      </c>
      <c r="J68" s="18">
        <v>0.0</v>
      </c>
      <c r="K68" s="18">
        <v>0.0</v>
      </c>
      <c r="L68" s="18">
        <v>2.0</v>
      </c>
      <c r="M68" s="18">
        <v>3.0</v>
      </c>
      <c r="N68" s="18">
        <v>181.0</v>
      </c>
      <c r="O68" s="22">
        <v>1.63</v>
      </c>
      <c r="P68" s="22">
        <v>14.47</v>
      </c>
      <c r="Q68" s="15"/>
      <c r="R68" s="38">
        <v>1.63</v>
      </c>
      <c r="S68" s="16">
        <v>0.088</v>
      </c>
      <c r="T68" s="16">
        <v>3.89</v>
      </c>
      <c r="U68" s="14">
        <f t="array" ref="U68">XLOOKUP(E68, 'Conference Match'!$A$2:$A$25, 'Conference Match'!$C$2:$C$25)</f>
        <v>0.95</v>
      </c>
      <c r="V68" s="20">
        <f t="shared" si="1"/>
        <v>2.968475</v>
      </c>
      <c r="W68" s="20">
        <f>100*(V68-MIN('CB Sheet'!$V$2:$V$126))/(MAX('CB Sheet'!$V$2:$V$126) - MIN('CB Sheet'!$V$2:$V$126))</f>
        <v>63.1422494</v>
      </c>
      <c r="Y68" s="20">
        <f>IFERROR(__xludf.DUMMYFUNCTION("iferror(PERCENTRANK.INC(FILTER($V$2:$V$425, $T$2:$T$425&lt;3.75), $V68), 1)"),0.999)</f>
        <v>0.999</v>
      </c>
      <c r="Z68" s="20">
        <f>IFERROR(__xludf.DUMMYFUNCTION("iferror(PERCENTRANK.INC(FILTER($V$2:$V$425, $T$2:$T$425&lt;4.5), $V68), 1)"),0.855)</f>
        <v>0.855</v>
      </c>
      <c r="AA68" s="20">
        <f>IFERROR(__xludf.DUMMYFUNCTION("iferror(PERCENTRANK.INC(FILTER($V$2:$V$425, $T$2:$T$425&gt;4.1), $V68), 0.01)"),0.01)</f>
        <v>0.01</v>
      </c>
    </row>
    <row r="69" ht="14.25" customHeight="1">
      <c r="I69" s="60"/>
      <c r="O69" s="20"/>
      <c r="P69" s="20"/>
      <c r="Q69" s="15"/>
      <c r="R69" s="20"/>
      <c r="V69" s="20"/>
      <c r="W69" s="20"/>
      <c r="Y69" s="20">
        <f>IFERROR(__xludf.DUMMYFUNCTION("iferror(PERCENTRANK.INC(FILTER($V$2:$V$425, $T$2:$T$425&lt;3.75), $V69), 1)"),1.0)</f>
        <v>1</v>
      </c>
      <c r="Z69" s="20">
        <f>IFERROR(__xludf.DUMMYFUNCTION("iferror(PERCENTRANK.INC(FILTER($V$2:$V$425, $T$2:$T$425&lt;4.5), $V69), 1)"),1.0)</f>
        <v>1</v>
      </c>
      <c r="AA69" s="20">
        <f>IFERROR(__xludf.DUMMYFUNCTION("iferror(PERCENTRANK.INC(FILTER($V$2:$V$425, $T$2:$T$425&gt;4.1), $V69), 0.01)"),0.01)</f>
        <v>0.01</v>
      </c>
    </row>
    <row r="70" ht="14.25" customHeight="1">
      <c r="I70" s="60"/>
      <c r="O70" s="20"/>
      <c r="P70" s="20"/>
      <c r="Q70" s="15"/>
      <c r="R70" s="20"/>
      <c r="V70" s="20"/>
      <c r="W70" s="20"/>
      <c r="Y70" s="20">
        <f>IFERROR(__xludf.DUMMYFUNCTION("iferror(PERCENTRANK.INC(FILTER($V$2:$V$425, $T$2:$T$425&lt;3.75), $V70), 1)"),1.0)</f>
        <v>1</v>
      </c>
      <c r="Z70" s="20">
        <f>IFERROR(__xludf.DUMMYFUNCTION("iferror(PERCENTRANK.INC(FILTER($V$2:$V$425, $T$2:$T$425&lt;4.5), $V70), 1)"),1.0)</f>
        <v>1</v>
      </c>
      <c r="AA70" s="20">
        <f>IFERROR(__xludf.DUMMYFUNCTION("iferror(PERCENTRANK.INC(FILTER($V$2:$V$425, $T$2:$T$425&gt;4.1), $V70), 0.01)"),0.01)</f>
        <v>0.01</v>
      </c>
    </row>
    <row r="71" ht="14.25" customHeight="1">
      <c r="I71" s="60"/>
      <c r="O71" s="20"/>
      <c r="P71" s="20"/>
      <c r="Q71" s="15"/>
      <c r="R71" s="20"/>
      <c r="V71" s="20"/>
      <c r="W71" s="20"/>
      <c r="Y71" s="20">
        <f>IFERROR(__xludf.DUMMYFUNCTION("iferror(PERCENTRANK.INC(FILTER($V$2:$V$425, $T$2:$T$425&lt;3.75), $V71), 1)"),1.0)</f>
        <v>1</v>
      </c>
      <c r="Z71" s="20">
        <f>IFERROR(__xludf.DUMMYFUNCTION("iferror(PERCENTRANK.INC(FILTER($V$2:$V$425, $T$2:$T$425&lt;4.5), $V71), 1)"),1.0)</f>
        <v>1</v>
      </c>
      <c r="AA71" s="20">
        <f>IFERROR(__xludf.DUMMYFUNCTION("iferror(PERCENTRANK.INC(FILTER($V$2:$V$425, $T$2:$T$425&gt;4.1), $V71), 0.01)"),0.01)</f>
        <v>0.01</v>
      </c>
    </row>
    <row r="72" ht="14.25" customHeight="1">
      <c r="I72" s="60"/>
      <c r="O72" s="20"/>
      <c r="P72" s="20"/>
      <c r="Q72" s="15"/>
      <c r="R72" s="20"/>
      <c r="V72" s="20"/>
      <c r="W72" s="20"/>
      <c r="Y72" s="20">
        <f>IFERROR(__xludf.DUMMYFUNCTION("iferror(PERCENTRANK.INC(FILTER($V$2:$V$425, $T$2:$T$425&lt;3.75), $V72), 1)"),1.0)</f>
        <v>1</v>
      </c>
      <c r="Z72" s="20">
        <f>IFERROR(__xludf.DUMMYFUNCTION("iferror(PERCENTRANK.INC(FILTER($V$2:$V$425, $T$2:$T$425&lt;4.5), $V72), 1)"),1.0)</f>
        <v>1</v>
      </c>
      <c r="AA72" s="20">
        <f>IFERROR(__xludf.DUMMYFUNCTION("iferror(PERCENTRANK.INC(FILTER($V$2:$V$425, $T$2:$T$425&gt;4.1), $V72), 0.01)"),0.01)</f>
        <v>0.01</v>
      </c>
    </row>
    <row r="73" ht="14.25" customHeight="1">
      <c r="I73" s="60"/>
      <c r="O73" s="20"/>
      <c r="P73" s="20"/>
      <c r="Q73" s="15"/>
      <c r="R73" s="20"/>
      <c r="V73" s="20"/>
      <c r="W73" s="20"/>
      <c r="Y73" s="20">
        <f>IFERROR(__xludf.DUMMYFUNCTION("iferror(PERCENTRANK.INC(FILTER($V$2:$V$425, $T$2:$T$425&lt;3.75), $V73), 1)"),1.0)</f>
        <v>1</v>
      </c>
      <c r="Z73" s="20">
        <f>IFERROR(__xludf.DUMMYFUNCTION("iferror(PERCENTRANK.INC(FILTER($V$2:$V$425, $T$2:$T$425&lt;4.5), $V73), 1)"),1.0)</f>
        <v>1</v>
      </c>
      <c r="AA73" s="20">
        <f>IFERROR(__xludf.DUMMYFUNCTION("iferror(PERCENTRANK.INC(FILTER($V$2:$V$425, $T$2:$T$425&gt;4.1), $V73), 0.01)"),0.01)</f>
        <v>0.01</v>
      </c>
    </row>
    <row r="74" ht="14.25" customHeight="1">
      <c r="I74" s="60"/>
      <c r="O74" s="20"/>
      <c r="P74" s="20"/>
      <c r="Q74" s="15"/>
      <c r="R74" s="20"/>
      <c r="V74" s="20"/>
      <c r="W74" s="20"/>
      <c r="Y74" s="20">
        <f>IFERROR(__xludf.DUMMYFUNCTION("iferror(PERCENTRANK.INC(FILTER($V$2:$V$425, $T$2:$T$425&lt;3.75), $V74), 1)"),1.0)</f>
        <v>1</v>
      </c>
      <c r="Z74" s="20">
        <f>IFERROR(__xludf.DUMMYFUNCTION("iferror(PERCENTRANK.INC(FILTER($V$2:$V$425, $T$2:$T$425&lt;4.5), $V74), 1)"),1.0)</f>
        <v>1</v>
      </c>
      <c r="AA74" s="20">
        <f>IFERROR(__xludf.DUMMYFUNCTION("iferror(PERCENTRANK.INC(FILTER($V$2:$V$425, $T$2:$T$425&gt;4.1), $V74), 0.01)"),0.01)</f>
        <v>0.01</v>
      </c>
    </row>
    <row r="75" ht="14.25" customHeight="1">
      <c r="I75" s="61"/>
      <c r="O75" s="20"/>
      <c r="P75" s="20"/>
      <c r="Q75" s="15"/>
      <c r="R75" s="20"/>
      <c r="V75" s="20"/>
      <c r="W75" s="20"/>
      <c r="Y75" s="20">
        <f>IFERROR(__xludf.DUMMYFUNCTION("iferror(PERCENTRANK.INC(FILTER($V$2:$V$425, $T$2:$T$425&lt;3.75), $V75), 1)"),1.0)</f>
        <v>1</v>
      </c>
      <c r="Z75" s="20">
        <f>IFERROR(__xludf.DUMMYFUNCTION("iferror(PERCENTRANK.INC(FILTER($V$2:$V$425, $T$2:$T$425&lt;4.5), $V75), 1)"),1.0)</f>
        <v>1</v>
      </c>
      <c r="AA75" s="20">
        <f>IFERROR(__xludf.DUMMYFUNCTION("iferror(PERCENTRANK.INC(FILTER($V$2:$V$425, $T$2:$T$425&gt;4.1), $V75), 0.01)"),0.01)</f>
        <v>0.01</v>
      </c>
    </row>
    <row r="76" ht="14.25" customHeight="1">
      <c r="I76" s="60"/>
      <c r="O76" s="20"/>
      <c r="P76" s="20"/>
      <c r="Q76" s="15"/>
      <c r="R76" s="20"/>
      <c r="V76" s="20"/>
      <c r="W76" s="20"/>
      <c r="Y76" s="20">
        <f>IFERROR(__xludf.DUMMYFUNCTION("iferror(PERCENTRANK.INC(FILTER($V$2:$V$425, $T$2:$T$425&lt;3.75), $V76), 1)"),1.0)</f>
        <v>1</v>
      </c>
      <c r="Z76" s="20">
        <f>IFERROR(__xludf.DUMMYFUNCTION("iferror(PERCENTRANK.INC(FILTER($V$2:$V$425, $T$2:$T$425&lt;4.5), $V76), 1)"),1.0)</f>
        <v>1</v>
      </c>
      <c r="AA76" s="20">
        <f>IFERROR(__xludf.DUMMYFUNCTION("iferror(PERCENTRANK.INC(FILTER($V$2:$V$425, $T$2:$T$425&gt;4.1), $V76), 0.01)"),0.01)</f>
        <v>0.01</v>
      </c>
    </row>
    <row r="77" ht="14.25" customHeight="1">
      <c r="I77" s="60"/>
      <c r="O77" s="20"/>
      <c r="P77" s="20"/>
      <c r="Q77" s="15"/>
      <c r="R77" s="20"/>
      <c r="V77" s="20"/>
      <c r="W77" s="20"/>
      <c r="Y77" s="20">
        <f>IFERROR(__xludf.DUMMYFUNCTION("iferror(PERCENTRANK.INC(FILTER($V$2:$V$425, $T$2:$T$425&lt;3.75), $V77), 1)"),1.0)</f>
        <v>1</v>
      </c>
      <c r="Z77" s="20">
        <f>IFERROR(__xludf.DUMMYFUNCTION("iferror(PERCENTRANK.INC(FILTER($V$2:$V$425, $T$2:$T$425&lt;4.5), $V77), 1)"),1.0)</f>
        <v>1</v>
      </c>
      <c r="AA77" s="20">
        <f>IFERROR(__xludf.DUMMYFUNCTION("iferror(PERCENTRANK.INC(FILTER($V$2:$V$425, $T$2:$T$425&gt;4.1), $V77), 0.01)"),0.01)</f>
        <v>0.01</v>
      </c>
    </row>
    <row r="78" ht="14.25" customHeight="1">
      <c r="I78" s="60"/>
      <c r="O78" s="20"/>
      <c r="P78" s="20"/>
      <c r="Q78" s="15"/>
      <c r="R78" s="20"/>
      <c r="V78" s="20"/>
      <c r="W78" s="20"/>
      <c r="Y78" s="20">
        <f>IFERROR(__xludf.DUMMYFUNCTION("iferror(PERCENTRANK.INC(FILTER($V$2:$V$425, $T$2:$T$425&lt;3.75), $V78), 1)"),1.0)</f>
        <v>1</v>
      </c>
      <c r="Z78" s="20">
        <f>IFERROR(__xludf.DUMMYFUNCTION("iferror(PERCENTRANK.INC(FILTER($V$2:$V$425, $T$2:$T$425&lt;4.5), $V78), 1)"),1.0)</f>
        <v>1</v>
      </c>
      <c r="AA78" s="20">
        <f>IFERROR(__xludf.DUMMYFUNCTION("iferror(PERCENTRANK.INC(FILTER($V$2:$V$425, $T$2:$T$425&gt;4.1), $V78), 0.01)"),0.01)</f>
        <v>0.01</v>
      </c>
    </row>
    <row r="79" ht="14.25" customHeight="1">
      <c r="I79" s="60"/>
      <c r="O79" s="20"/>
      <c r="P79" s="20"/>
      <c r="Q79" s="15"/>
      <c r="R79" s="20"/>
      <c r="V79" s="20"/>
      <c r="W79" s="20"/>
      <c r="Y79" s="20">
        <f>IFERROR(__xludf.DUMMYFUNCTION("iferror(PERCENTRANK.INC(FILTER($V$2:$V$425, $T$2:$T$425&lt;3.75), $V79), 1)"),1.0)</f>
        <v>1</v>
      </c>
      <c r="Z79" s="20">
        <f>IFERROR(__xludf.DUMMYFUNCTION("iferror(PERCENTRANK.INC(FILTER($V$2:$V$425, $T$2:$T$425&lt;4.5), $V79), 1)"),1.0)</f>
        <v>1</v>
      </c>
      <c r="AA79" s="20">
        <f>IFERROR(__xludf.DUMMYFUNCTION("iferror(PERCENTRANK.INC(FILTER($V$2:$V$425, $T$2:$T$425&gt;4.1), $V79), 0.01)"),0.01)</f>
        <v>0.01</v>
      </c>
    </row>
    <row r="80" ht="14.25" customHeight="1">
      <c r="I80" s="60"/>
      <c r="O80" s="20"/>
      <c r="P80" s="20"/>
      <c r="Q80" s="15"/>
      <c r="R80" s="20"/>
      <c r="V80" s="20"/>
      <c r="W80" s="20"/>
      <c r="Y80" s="20">
        <f>IFERROR(__xludf.DUMMYFUNCTION("iferror(PERCENTRANK.INC(FILTER($V$2:$V$425, $T$2:$T$425&lt;3.75), $V80), 1)"),1.0)</f>
        <v>1</v>
      </c>
      <c r="Z80" s="20">
        <f>IFERROR(__xludf.DUMMYFUNCTION("iferror(PERCENTRANK.INC(FILTER($V$2:$V$425, $T$2:$T$425&lt;4.5), $V80), 1)"),1.0)</f>
        <v>1</v>
      </c>
      <c r="AA80" s="20">
        <f>IFERROR(__xludf.DUMMYFUNCTION("iferror(PERCENTRANK.INC(FILTER($V$2:$V$425, $T$2:$T$425&gt;4.1), $V80), 0.01)"),0.01)</f>
        <v>0.01</v>
      </c>
    </row>
    <row r="81" ht="14.25" customHeight="1">
      <c r="I81" s="60"/>
      <c r="O81" s="20"/>
      <c r="P81" s="20"/>
      <c r="Q81" s="15"/>
      <c r="R81" s="20"/>
      <c r="V81" s="20"/>
      <c r="W81" s="20"/>
      <c r="Y81" s="20">
        <f>IFERROR(__xludf.DUMMYFUNCTION("iferror(PERCENTRANK.INC(FILTER($V$2:$V$425, $T$2:$T$425&lt;3.75), $V81), 1)"),1.0)</f>
        <v>1</v>
      </c>
      <c r="Z81" s="20">
        <f>IFERROR(__xludf.DUMMYFUNCTION("iferror(PERCENTRANK.INC(FILTER($V$2:$V$425, $T$2:$T$425&lt;4.5), $V81), 1)"),1.0)</f>
        <v>1</v>
      </c>
      <c r="AA81" s="20">
        <f>IFERROR(__xludf.DUMMYFUNCTION("iferror(PERCENTRANK.INC(FILTER($V$2:$V$425, $T$2:$T$425&gt;4.1), $V81), 0.01)"),0.01)</f>
        <v>0.01</v>
      </c>
    </row>
    <row r="82" ht="14.25" customHeight="1">
      <c r="I82" s="60"/>
      <c r="O82" s="20"/>
      <c r="P82" s="20"/>
      <c r="Q82" s="15"/>
      <c r="R82" s="20"/>
      <c r="V82" s="20"/>
      <c r="W82" s="20"/>
      <c r="Y82" s="20">
        <f>IFERROR(__xludf.DUMMYFUNCTION("iferror(PERCENTRANK.INC(FILTER($V$2:$V$425, $T$2:$T$425&lt;3.75), $V82), 1)"),1.0)</f>
        <v>1</v>
      </c>
      <c r="Z82" s="20">
        <f>IFERROR(__xludf.DUMMYFUNCTION("iferror(PERCENTRANK.INC(FILTER($V$2:$V$425, $T$2:$T$425&lt;4.5), $V82), 1)"),1.0)</f>
        <v>1</v>
      </c>
      <c r="AA82" s="20">
        <f>IFERROR(__xludf.DUMMYFUNCTION("iferror(PERCENTRANK.INC(FILTER($V$2:$V$425, $T$2:$T$425&gt;4.1), $V82), 0.01)"),0.01)</f>
        <v>0.01</v>
      </c>
    </row>
    <row r="83" ht="14.25" customHeight="1">
      <c r="I83" s="60"/>
      <c r="O83" s="20"/>
      <c r="P83" s="20"/>
      <c r="Q83" s="15"/>
      <c r="R83" s="20"/>
      <c r="V83" s="20"/>
      <c r="W83" s="20"/>
      <c r="Y83" s="20">
        <f>IFERROR(__xludf.DUMMYFUNCTION("iferror(PERCENTRANK.INC(FILTER($V$2:$V$425, $T$2:$T$425&lt;3.75), $V83), 1)"),1.0)</f>
        <v>1</v>
      </c>
      <c r="Z83" s="20">
        <f>IFERROR(__xludf.DUMMYFUNCTION("iferror(PERCENTRANK.INC(FILTER($V$2:$V$425, $T$2:$T$425&lt;4.5), $V83), 1)"),1.0)</f>
        <v>1</v>
      </c>
      <c r="AA83" s="20">
        <f>IFERROR(__xludf.DUMMYFUNCTION("iferror(PERCENTRANK.INC(FILTER($V$2:$V$425, $T$2:$T$425&gt;4.1), $V83), 0.01)"),0.01)</f>
        <v>0.01</v>
      </c>
    </row>
    <row r="84" ht="14.25" customHeight="1">
      <c r="I84" s="60"/>
      <c r="O84" s="20"/>
      <c r="P84" s="20"/>
      <c r="Q84" s="15"/>
      <c r="R84" s="20"/>
      <c r="V84" s="20"/>
      <c r="W84" s="20"/>
      <c r="Y84" s="20">
        <f>IFERROR(__xludf.DUMMYFUNCTION("iferror(PERCENTRANK.INC(FILTER($V$2:$V$425, $T$2:$T$425&lt;3.75), $V84), 1)"),1.0)</f>
        <v>1</v>
      </c>
      <c r="Z84" s="20">
        <f>IFERROR(__xludf.DUMMYFUNCTION("iferror(PERCENTRANK.INC(FILTER($V$2:$V$425, $T$2:$T$425&lt;4.5), $V84), 1)"),1.0)</f>
        <v>1</v>
      </c>
      <c r="AA84" s="20">
        <f>IFERROR(__xludf.DUMMYFUNCTION("iferror(PERCENTRANK.INC(FILTER($V$2:$V$425, $T$2:$T$425&gt;4.1), $V84), 0.01)"),0.01)</f>
        <v>0.01</v>
      </c>
    </row>
    <row r="85" ht="14.25" customHeight="1">
      <c r="I85" s="60"/>
      <c r="O85" s="20"/>
      <c r="P85" s="20"/>
      <c r="Q85" s="15"/>
      <c r="R85" s="20"/>
      <c r="V85" s="20"/>
      <c r="W85" s="20"/>
      <c r="Y85" s="20">
        <f>IFERROR(__xludf.DUMMYFUNCTION("iferror(PERCENTRANK.INC(FILTER($V$2:$V$425, $T$2:$T$425&lt;3.75), $V85), 1)"),1.0)</f>
        <v>1</v>
      </c>
      <c r="Z85" s="20">
        <f>IFERROR(__xludf.DUMMYFUNCTION("iferror(PERCENTRANK.INC(FILTER($V$2:$V$425, $T$2:$T$425&lt;4.5), $V85), 1)"),1.0)</f>
        <v>1</v>
      </c>
      <c r="AA85" s="20">
        <f>IFERROR(__xludf.DUMMYFUNCTION("iferror(PERCENTRANK.INC(FILTER($V$2:$V$425, $T$2:$T$425&gt;4.1), $V85), 0.01)"),0.01)</f>
        <v>0.01</v>
      </c>
    </row>
    <row r="86" ht="14.25" customHeight="1">
      <c r="I86" s="60"/>
      <c r="O86" s="20"/>
      <c r="P86" s="20"/>
      <c r="Q86" s="15"/>
      <c r="R86" s="20"/>
      <c r="V86" s="20"/>
      <c r="W86" s="20"/>
      <c r="Y86" s="20">
        <f>IFERROR(__xludf.DUMMYFUNCTION("iferror(PERCENTRANK.INC(FILTER($V$2:$V$425, $T$2:$T$425&lt;3.75), $V86), 1)"),1.0)</f>
        <v>1</v>
      </c>
      <c r="Z86" s="20">
        <f>IFERROR(__xludf.DUMMYFUNCTION("iferror(PERCENTRANK.INC(FILTER($V$2:$V$425, $T$2:$T$425&lt;4.5), $V86), 1)"),1.0)</f>
        <v>1</v>
      </c>
      <c r="AA86" s="20">
        <f>IFERROR(__xludf.DUMMYFUNCTION("iferror(PERCENTRANK.INC(FILTER($V$2:$V$425, $T$2:$T$425&gt;4.1), $V86), 0.01)"),0.01)</f>
        <v>0.01</v>
      </c>
    </row>
    <row r="87" ht="14.25" customHeight="1">
      <c r="I87" s="60"/>
      <c r="O87" s="20"/>
      <c r="P87" s="20"/>
      <c r="Q87" s="15"/>
      <c r="R87" s="20"/>
      <c r="V87" s="20"/>
      <c r="W87" s="20"/>
      <c r="Y87" s="20">
        <f>IFERROR(__xludf.DUMMYFUNCTION("iferror(PERCENTRANK.INC(FILTER($V$2:$V$425, $T$2:$T$425&lt;3.75), $V87), 1)"),1.0)</f>
        <v>1</v>
      </c>
      <c r="Z87" s="20">
        <f>IFERROR(__xludf.DUMMYFUNCTION("iferror(PERCENTRANK.INC(FILTER($V$2:$V$425, $T$2:$T$425&lt;4.5), $V87), 1)"),1.0)</f>
        <v>1</v>
      </c>
      <c r="AA87" s="20">
        <f>IFERROR(__xludf.DUMMYFUNCTION("iferror(PERCENTRANK.INC(FILTER($V$2:$V$425, $T$2:$T$425&gt;4.1), $V87), 0.01)"),0.01)</f>
        <v>0.01</v>
      </c>
    </row>
    <row r="88" ht="14.25" customHeight="1">
      <c r="I88" s="60"/>
      <c r="O88" s="20"/>
      <c r="P88" s="20"/>
      <c r="Q88" s="15"/>
      <c r="R88" s="20"/>
      <c r="V88" s="20"/>
      <c r="W88" s="20"/>
      <c r="Y88" s="20">
        <f>IFERROR(__xludf.DUMMYFUNCTION("iferror(PERCENTRANK.INC(FILTER($V$2:$V$425, $T$2:$T$425&lt;3.75), $V88), 1)"),1.0)</f>
        <v>1</v>
      </c>
      <c r="Z88" s="20">
        <f>IFERROR(__xludf.DUMMYFUNCTION("iferror(PERCENTRANK.INC(FILTER($V$2:$V$425, $T$2:$T$425&lt;4.5), $V88), 1)"),1.0)</f>
        <v>1</v>
      </c>
      <c r="AA88" s="20">
        <f>IFERROR(__xludf.DUMMYFUNCTION("iferror(PERCENTRANK.INC(FILTER($V$2:$V$425, $T$2:$T$425&gt;4.1), $V88), 0.01)"),0.01)</f>
        <v>0.01</v>
      </c>
    </row>
    <row r="89" ht="14.25" customHeight="1">
      <c r="Q89" s="15"/>
      <c r="R89" s="20"/>
    </row>
    <row r="90" ht="14.25" customHeight="1">
      <c r="Q90" s="15"/>
      <c r="R90" s="20"/>
    </row>
    <row r="91" ht="14.25" customHeight="1">
      <c r="Q91" s="15"/>
      <c r="R91" s="20"/>
    </row>
    <row r="92" ht="14.25" customHeight="1">
      <c r="Q92" s="15"/>
      <c r="R92" s="20"/>
    </row>
    <row r="93" ht="14.25" customHeight="1">
      <c r="Q93" s="15"/>
      <c r="R93" s="20"/>
    </row>
    <row r="94" ht="14.25" customHeight="1">
      <c r="Q94" s="15"/>
      <c r="R94" s="20"/>
    </row>
    <row r="95" ht="14.25" customHeight="1">
      <c r="Q95" s="15"/>
      <c r="R95" s="20"/>
    </row>
    <row r="96" ht="14.25" customHeight="1">
      <c r="Q96" s="15"/>
      <c r="R96" s="20"/>
    </row>
    <row r="97" ht="14.25" customHeight="1">
      <c r="Q97" s="15"/>
      <c r="R97" s="20"/>
    </row>
    <row r="98" ht="14.25" customHeight="1">
      <c r="Q98" s="15"/>
      <c r="R98" s="20"/>
    </row>
    <row r="99" ht="14.25" customHeight="1">
      <c r="Q99" s="15"/>
      <c r="R99" s="20"/>
    </row>
    <row r="100" ht="14.25" customHeight="1">
      <c r="Q100" s="15"/>
      <c r="R100" s="20"/>
    </row>
    <row r="101" ht="14.25" customHeight="1">
      <c r="Q101" s="15"/>
      <c r="R101" s="20"/>
    </row>
    <row r="102" ht="14.25" customHeight="1">
      <c r="Q102" s="15"/>
      <c r="R102" s="20"/>
    </row>
    <row r="103" ht="14.25" customHeight="1">
      <c r="Q103" s="15"/>
      <c r="R103" s="20"/>
    </row>
    <row r="104" ht="14.25" customHeight="1">
      <c r="Q104" s="15"/>
      <c r="R104" s="20"/>
    </row>
    <row r="105" ht="14.25" customHeight="1">
      <c r="Q105" s="15"/>
      <c r="R105" s="20"/>
    </row>
    <row r="106" ht="14.25" customHeight="1">
      <c r="Q106" s="15"/>
      <c r="R106" s="20"/>
    </row>
    <row r="107" ht="14.25" customHeight="1">
      <c r="Q107" s="15"/>
      <c r="R107" s="20"/>
    </row>
    <row r="108" ht="14.25" customHeight="1">
      <c r="Q108" s="15"/>
      <c r="R108" s="20"/>
    </row>
    <row r="109" ht="14.25" customHeight="1">
      <c r="Q109" s="15"/>
      <c r="R109" s="20"/>
    </row>
    <row r="110" ht="14.25" customHeight="1">
      <c r="Q110" s="15"/>
      <c r="R110" s="20"/>
    </row>
    <row r="111" ht="14.25" customHeight="1">
      <c r="Q111" s="15"/>
      <c r="R111" s="20"/>
    </row>
    <row r="112" ht="14.25" customHeight="1">
      <c r="Q112" s="15"/>
      <c r="R112" s="20"/>
    </row>
    <row r="113" ht="14.25" customHeight="1">
      <c r="Q113" s="15"/>
      <c r="R113" s="20"/>
    </row>
    <row r="114" ht="14.25" customHeight="1">
      <c r="Q114" s="15"/>
      <c r="R114" s="20"/>
    </row>
    <row r="115" ht="14.25" customHeight="1">
      <c r="Q115" s="15"/>
      <c r="R115" s="20"/>
    </row>
    <row r="116" ht="14.25" customHeight="1">
      <c r="Q116" s="15"/>
      <c r="R116" s="20"/>
    </row>
    <row r="117" ht="14.25" customHeight="1">
      <c r="Q117" s="15"/>
    </row>
    <row r="118" ht="14.25" customHeight="1">
      <c r="Q118" s="15"/>
    </row>
    <row r="119" ht="14.25" customHeight="1">
      <c r="Q119" s="15"/>
    </row>
    <row r="120" ht="14.25" customHeight="1">
      <c r="Q120" s="15"/>
    </row>
    <row r="121" ht="14.25" customHeight="1">
      <c r="Q121" s="15"/>
    </row>
    <row r="122" ht="14.25" customHeight="1">
      <c r="Q122" s="15"/>
    </row>
    <row r="123" ht="14.25" customHeight="1">
      <c r="Q123" s="15"/>
    </row>
    <row r="124" ht="14.25" customHeight="1">
      <c r="Q124" s="15"/>
    </row>
    <row r="125" ht="14.25" customHeight="1">
      <c r="Q125" s="15"/>
    </row>
    <row r="126" ht="14.25" customHeight="1">
      <c r="Q126" s="15"/>
    </row>
    <row r="127" ht="14.25" customHeight="1">
      <c r="Q127" s="15"/>
    </row>
    <row r="128" ht="14.25" customHeight="1">
      <c r="Q128" s="15"/>
    </row>
    <row r="129" ht="14.25" customHeight="1">
      <c r="Q129" s="15"/>
    </row>
    <row r="130" ht="14.25" customHeight="1">
      <c r="Q130" s="15"/>
    </row>
    <row r="131" ht="14.25" customHeight="1">
      <c r="Q131" s="15"/>
    </row>
    <row r="132" ht="14.25" customHeight="1">
      <c r="Q132" s="15"/>
    </row>
    <row r="133" ht="14.25" customHeight="1">
      <c r="Q133" s="15"/>
    </row>
    <row r="134" ht="14.25" customHeight="1">
      <c r="Q134" s="15"/>
    </row>
    <row r="135" ht="14.25" customHeight="1">
      <c r="Q135" s="15"/>
    </row>
    <row r="136" ht="14.25" customHeight="1">
      <c r="Q136" s="15"/>
    </row>
    <row r="137" ht="14.25" customHeight="1">
      <c r="Q137" s="15"/>
    </row>
    <row r="138" ht="14.25" customHeight="1">
      <c r="Q138" s="15"/>
    </row>
    <row r="139" ht="14.25" customHeight="1">
      <c r="Q139" s="15"/>
    </row>
    <row r="140" ht="14.25" customHeight="1">
      <c r="Q140" s="15"/>
    </row>
    <row r="141" ht="14.25" customHeight="1">
      <c r="Q141" s="15"/>
    </row>
    <row r="142" ht="14.25" customHeight="1">
      <c r="Q142" s="15"/>
    </row>
    <row r="143" ht="14.25" customHeight="1">
      <c r="Q143" s="15"/>
    </row>
    <row r="144" ht="14.25" customHeight="1">
      <c r="Q144" s="15"/>
    </row>
    <row r="145" ht="14.25" customHeight="1">
      <c r="Q145" s="15"/>
    </row>
    <row r="146" ht="14.25" customHeight="1">
      <c r="Q146" s="15"/>
    </row>
    <row r="147" ht="14.25" customHeight="1">
      <c r="Q147" s="15"/>
    </row>
    <row r="148" ht="14.25" customHeight="1">
      <c r="Q148" s="15"/>
    </row>
    <row r="149" ht="14.25" customHeight="1">
      <c r="Q149" s="15"/>
    </row>
    <row r="150" ht="14.25" customHeight="1">
      <c r="Q150" s="15"/>
    </row>
    <row r="151" ht="14.25" customHeight="1">
      <c r="Q151" s="15"/>
    </row>
    <row r="152" ht="14.25" customHeight="1">
      <c r="Q152" s="15"/>
    </row>
    <row r="153" ht="14.25" customHeight="1">
      <c r="Q153" s="15"/>
    </row>
    <row r="154" ht="14.25" customHeight="1">
      <c r="Q154" s="15"/>
    </row>
    <row r="155" ht="14.25" customHeight="1">
      <c r="Q155" s="15"/>
    </row>
    <row r="156" ht="14.25" customHeight="1">
      <c r="Q156" s="15"/>
    </row>
    <row r="157" ht="14.25" customHeight="1">
      <c r="Q157" s="15"/>
    </row>
    <row r="158" ht="14.25" customHeight="1">
      <c r="Q158" s="15"/>
    </row>
    <row r="159" ht="14.25" customHeight="1">
      <c r="Q159" s="15"/>
    </row>
    <row r="160" ht="14.25" customHeight="1">
      <c r="Q160" s="15"/>
    </row>
    <row r="161" ht="14.25" customHeight="1">
      <c r="Q161" s="15"/>
    </row>
    <row r="162" ht="14.25" customHeight="1">
      <c r="Q162" s="15"/>
    </row>
    <row r="163" ht="14.25" customHeight="1">
      <c r="Q163" s="15"/>
    </row>
    <row r="164" ht="14.25" customHeight="1">
      <c r="Q164" s="15"/>
    </row>
    <row r="165" ht="14.25" customHeight="1">
      <c r="Q165" s="15"/>
    </row>
    <row r="166" ht="14.25" customHeight="1">
      <c r="Q166" s="15"/>
    </row>
    <row r="167" ht="14.25" customHeight="1">
      <c r="Q167" s="15"/>
    </row>
    <row r="168" ht="14.25" customHeight="1">
      <c r="Q168" s="15"/>
    </row>
    <row r="169" ht="14.25" customHeight="1">
      <c r="Q169" s="15"/>
    </row>
    <row r="170" ht="14.25" customHeight="1">
      <c r="Q170" s="15"/>
    </row>
    <row r="171" ht="14.25" customHeight="1">
      <c r="Q171" s="15"/>
    </row>
    <row r="172" ht="14.25" customHeight="1">
      <c r="Q172" s="15"/>
    </row>
    <row r="173" ht="14.25" customHeight="1">
      <c r="Q173" s="15"/>
    </row>
    <row r="174" ht="14.25" customHeight="1">
      <c r="Q174" s="15"/>
    </row>
    <row r="175" ht="14.25" customHeight="1">
      <c r="Q175" s="15"/>
    </row>
    <row r="176" ht="14.25" customHeight="1">
      <c r="Q176" s="15"/>
    </row>
    <row r="177" ht="14.25" customHeight="1">
      <c r="Q177" s="15"/>
    </row>
    <row r="178" ht="14.25" customHeight="1">
      <c r="Q178" s="15"/>
    </row>
    <row r="179" ht="14.25" customHeight="1">
      <c r="Q179" s="15"/>
    </row>
    <row r="180" ht="14.25" customHeight="1">
      <c r="Q180" s="15"/>
    </row>
    <row r="181" ht="14.25" customHeight="1">
      <c r="Q181" s="15"/>
    </row>
    <row r="182" ht="14.25" customHeight="1">
      <c r="Q182" s="15"/>
    </row>
    <row r="183" ht="14.25" customHeight="1">
      <c r="Q183" s="15"/>
    </row>
    <row r="184" ht="14.25" customHeight="1">
      <c r="Q184" s="15"/>
    </row>
    <row r="185" ht="14.25" customHeight="1">
      <c r="Q185" s="15"/>
    </row>
    <row r="186" ht="14.25" customHeight="1">
      <c r="Q186" s="15"/>
    </row>
    <row r="187" ht="14.25" customHeight="1">
      <c r="Q187" s="15"/>
    </row>
    <row r="188" ht="14.25" customHeight="1">
      <c r="Q188" s="15"/>
    </row>
    <row r="189" ht="14.25" customHeight="1">
      <c r="Q189" s="15"/>
    </row>
    <row r="190" ht="14.25" customHeight="1">
      <c r="Q190" s="15"/>
    </row>
    <row r="191" ht="14.25" customHeight="1">
      <c r="Q191" s="15"/>
    </row>
    <row r="192" ht="14.25" customHeight="1">
      <c r="Q192" s="15"/>
    </row>
    <row r="193" ht="14.25" customHeight="1">
      <c r="Q193" s="15"/>
    </row>
    <row r="194" ht="14.25" customHeight="1">
      <c r="Q194" s="15"/>
    </row>
    <row r="195" ht="14.25" customHeight="1">
      <c r="Q195" s="15"/>
    </row>
    <row r="196" ht="14.25" customHeight="1">
      <c r="Q196" s="15"/>
    </row>
    <row r="197" ht="14.25" customHeight="1">
      <c r="Q197" s="15"/>
    </row>
    <row r="198" ht="14.25" customHeight="1">
      <c r="Q198" s="15"/>
    </row>
    <row r="199" ht="14.25" customHeight="1">
      <c r="Q199" s="15"/>
    </row>
    <row r="200" ht="14.25" customHeight="1">
      <c r="Q200" s="15"/>
    </row>
    <row r="201" ht="14.25" customHeight="1">
      <c r="Q201" s="15"/>
    </row>
    <row r="202" ht="14.25" customHeight="1">
      <c r="Q202" s="15"/>
    </row>
    <row r="203" ht="14.25" customHeight="1">
      <c r="Q203" s="15"/>
    </row>
    <row r="204" ht="14.25" customHeight="1">
      <c r="Q204" s="15"/>
    </row>
    <row r="205" ht="14.25" customHeight="1">
      <c r="Q205" s="15"/>
    </row>
    <row r="206" ht="14.25" customHeight="1">
      <c r="Q206" s="15"/>
    </row>
    <row r="207" ht="14.25" customHeight="1">
      <c r="Q207" s="15"/>
    </row>
    <row r="208" ht="14.25" customHeight="1">
      <c r="Q208" s="15"/>
    </row>
    <row r="209" ht="14.25" customHeight="1">
      <c r="Q209" s="15"/>
    </row>
    <row r="210" ht="14.25" customHeight="1">
      <c r="Q210" s="15"/>
    </row>
    <row r="211" ht="14.25" customHeight="1">
      <c r="Q211" s="15"/>
    </row>
    <row r="212" ht="14.25" customHeight="1">
      <c r="Q212" s="15"/>
    </row>
    <row r="213" ht="14.25" customHeight="1">
      <c r="Q213" s="15"/>
    </row>
    <row r="214" ht="14.25" customHeight="1">
      <c r="Q214" s="15"/>
    </row>
    <row r="215" ht="14.25" customHeight="1">
      <c r="Q215" s="15"/>
    </row>
    <row r="216" ht="14.25" customHeight="1">
      <c r="Q216" s="15"/>
    </row>
    <row r="217" ht="14.25" customHeight="1">
      <c r="Q217" s="15"/>
    </row>
    <row r="218" ht="14.25" customHeight="1">
      <c r="Q218" s="15"/>
    </row>
    <row r="219" ht="14.25" customHeight="1">
      <c r="Q219" s="15"/>
    </row>
    <row r="220" ht="14.25" customHeight="1">
      <c r="Q220" s="15"/>
    </row>
    <row r="221" ht="14.25" customHeight="1">
      <c r="Q221" s="15"/>
    </row>
    <row r="222" ht="14.25" customHeight="1">
      <c r="Q222" s="15"/>
    </row>
    <row r="223" ht="14.25" customHeight="1">
      <c r="Q223" s="15"/>
    </row>
    <row r="224" ht="14.25" customHeight="1">
      <c r="Q224" s="15"/>
    </row>
    <row r="225" ht="14.25" customHeight="1">
      <c r="Q225" s="15"/>
    </row>
    <row r="226" ht="14.25" customHeight="1">
      <c r="Q226" s="15"/>
    </row>
    <row r="227" ht="14.25" customHeight="1">
      <c r="Q227" s="15"/>
    </row>
    <row r="228" ht="14.25" customHeight="1">
      <c r="Q228" s="15"/>
    </row>
    <row r="229" ht="14.25" customHeight="1">
      <c r="Q229" s="15"/>
    </row>
    <row r="230" ht="14.25" customHeight="1">
      <c r="Q230" s="15"/>
    </row>
    <row r="231" ht="14.25" customHeight="1">
      <c r="Q231" s="15"/>
    </row>
    <row r="232" ht="14.25" customHeight="1">
      <c r="Q232" s="15"/>
    </row>
    <row r="233" ht="14.25" customHeight="1">
      <c r="Q233" s="15"/>
    </row>
    <row r="234" ht="14.25" customHeight="1">
      <c r="Q234" s="15"/>
    </row>
    <row r="235" ht="14.25" customHeight="1">
      <c r="Q235" s="15"/>
    </row>
    <row r="236" ht="14.25" customHeight="1">
      <c r="Q236" s="15"/>
    </row>
    <row r="237" ht="14.25" customHeight="1">
      <c r="Q237" s="15"/>
    </row>
    <row r="238" ht="14.25" customHeight="1">
      <c r="Q238" s="15"/>
    </row>
    <row r="239" ht="14.25" customHeight="1">
      <c r="Q239" s="15"/>
    </row>
    <row r="240" ht="14.25" customHeight="1">
      <c r="Q240" s="15"/>
    </row>
    <row r="241" ht="14.25" customHeight="1">
      <c r="Q241" s="15"/>
    </row>
    <row r="242" ht="14.25" customHeight="1">
      <c r="Q242" s="15"/>
    </row>
    <row r="243" ht="14.25" customHeight="1">
      <c r="Q243" s="15"/>
    </row>
    <row r="244" ht="14.25" customHeight="1">
      <c r="Q244" s="15"/>
    </row>
    <row r="245" ht="14.25" customHeight="1">
      <c r="Q245" s="15"/>
    </row>
    <row r="246" ht="14.25" customHeight="1">
      <c r="Q246" s="15"/>
    </row>
    <row r="247" ht="14.25" customHeight="1">
      <c r="Q247" s="15"/>
    </row>
    <row r="248" ht="14.25" customHeight="1">
      <c r="Q248" s="15"/>
    </row>
    <row r="249" ht="14.25" customHeight="1">
      <c r="Q249" s="15"/>
    </row>
    <row r="250" ht="14.25" customHeight="1">
      <c r="Q250" s="15"/>
    </row>
    <row r="251" ht="14.25" customHeight="1">
      <c r="Q251" s="15"/>
    </row>
    <row r="252" ht="14.25" customHeight="1">
      <c r="Q252" s="15"/>
    </row>
    <row r="253" ht="14.25" customHeight="1">
      <c r="Q253" s="15"/>
    </row>
    <row r="254" ht="14.25" customHeight="1">
      <c r="Q254" s="15"/>
    </row>
    <row r="255" ht="14.25" customHeight="1">
      <c r="Q255" s="15"/>
    </row>
    <row r="256" ht="14.25" customHeight="1">
      <c r="Q256" s="15"/>
    </row>
    <row r="257" ht="14.25" customHeight="1">
      <c r="Q257" s="15"/>
    </row>
    <row r="258" ht="14.25" customHeight="1">
      <c r="Q258" s="15"/>
    </row>
    <row r="259" ht="14.25" customHeight="1">
      <c r="Q259" s="15"/>
    </row>
    <row r="260" ht="14.25" customHeight="1">
      <c r="Q260" s="15"/>
    </row>
    <row r="261" ht="14.25" customHeight="1">
      <c r="Q261" s="15"/>
    </row>
    <row r="262" ht="14.25" customHeight="1">
      <c r="Q262" s="15"/>
    </row>
    <row r="263" ht="14.25" customHeight="1">
      <c r="Q263" s="15"/>
    </row>
    <row r="264" ht="14.25" customHeight="1">
      <c r="Q264" s="15"/>
    </row>
    <row r="265" ht="14.25" customHeight="1">
      <c r="Q265" s="15"/>
    </row>
    <row r="266" ht="14.25" customHeight="1">
      <c r="Q266" s="15"/>
    </row>
    <row r="267" ht="14.25" customHeight="1">
      <c r="Q267" s="15"/>
    </row>
    <row r="268" ht="14.25" customHeight="1">
      <c r="Q268" s="15"/>
    </row>
    <row r="269" ht="14.25" customHeight="1">
      <c r="Q269" s="15"/>
    </row>
    <row r="270" ht="14.25" customHeight="1">
      <c r="Q270" s="15"/>
    </row>
    <row r="271" ht="14.25" customHeight="1">
      <c r="Q271" s="15"/>
    </row>
    <row r="272" ht="14.25" customHeight="1">
      <c r="Q272" s="15"/>
    </row>
    <row r="273" ht="14.25" customHeight="1">
      <c r="Q273" s="15"/>
    </row>
    <row r="274" ht="14.25" customHeight="1">
      <c r="Q274" s="15"/>
    </row>
    <row r="275" ht="14.25" customHeight="1">
      <c r="Q275" s="15"/>
    </row>
    <row r="276" ht="14.25" customHeight="1">
      <c r="Q276" s="15"/>
    </row>
    <row r="277" ht="14.25" customHeight="1">
      <c r="Q277" s="15"/>
    </row>
    <row r="278" ht="14.25" customHeight="1">
      <c r="Q278" s="15"/>
    </row>
    <row r="279" ht="14.25" customHeight="1">
      <c r="Q279" s="15"/>
    </row>
    <row r="280" ht="14.25" customHeight="1">
      <c r="Q280" s="15"/>
    </row>
    <row r="281" ht="14.25" customHeight="1">
      <c r="Q281" s="15"/>
    </row>
    <row r="282" ht="14.25" customHeight="1">
      <c r="Q282" s="15"/>
    </row>
    <row r="283" ht="14.25" customHeight="1">
      <c r="Q283" s="15"/>
    </row>
    <row r="284" ht="14.25" customHeight="1">
      <c r="Q284" s="15"/>
    </row>
    <row r="285" ht="14.25" customHeight="1">
      <c r="Q285" s="15"/>
    </row>
    <row r="286" ht="14.25" customHeight="1">
      <c r="Q286" s="15"/>
    </row>
    <row r="287" ht="14.25" customHeight="1">
      <c r="Q287" s="15"/>
    </row>
    <row r="288" ht="14.25" customHeight="1">
      <c r="Q288" s="15"/>
    </row>
    <row r="289" ht="14.25" customHeight="1">
      <c r="Q289" s="15"/>
    </row>
    <row r="290" ht="14.25" customHeight="1">
      <c r="Q290" s="15"/>
    </row>
    <row r="291" ht="14.25" customHeight="1">
      <c r="Q291" s="15"/>
    </row>
    <row r="292" ht="14.25" customHeight="1">
      <c r="Q292" s="15"/>
    </row>
    <row r="293" ht="14.25" customHeight="1">
      <c r="Q293" s="15"/>
    </row>
    <row r="294" ht="14.25" customHeight="1">
      <c r="Q294" s="15"/>
    </row>
    <row r="295" ht="14.25" customHeight="1">
      <c r="Q295" s="15"/>
    </row>
    <row r="296" ht="14.25" customHeight="1">
      <c r="Q296" s="15"/>
    </row>
    <row r="297" ht="14.25" customHeight="1">
      <c r="Q297" s="15"/>
    </row>
    <row r="298" ht="14.25" customHeight="1">
      <c r="Q298" s="15"/>
    </row>
    <row r="299" ht="14.25" customHeight="1">
      <c r="Q299" s="15"/>
    </row>
    <row r="300" ht="14.25" customHeight="1">
      <c r="Q300" s="15"/>
    </row>
    <row r="301" ht="14.25" customHeight="1">
      <c r="Q301" s="15"/>
    </row>
    <row r="302" ht="14.25" customHeight="1">
      <c r="Q302" s="15"/>
    </row>
    <row r="303" ht="14.25" customHeight="1">
      <c r="Q303" s="15"/>
    </row>
    <row r="304" ht="14.25" customHeight="1">
      <c r="Q304" s="15"/>
    </row>
    <row r="305" ht="14.25" customHeight="1">
      <c r="Q305" s="15"/>
    </row>
    <row r="306" ht="14.25" customHeight="1">
      <c r="Q306" s="15"/>
    </row>
    <row r="307" ht="14.25" customHeight="1">
      <c r="Q307" s="15"/>
    </row>
    <row r="308" ht="14.25" customHeight="1">
      <c r="Q308" s="15"/>
    </row>
    <row r="309" ht="14.25" customHeight="1">
      <c r="Q309" s="15"/>
    </row>
    <row r="310" ht="14.25" customHeight="1">
      <c r="Q310" s="15"/>
    </row>
    <row r="311" ht="14.25" customHeight="1">
      <c r="Q311" s="15"/>
    </row>
    <row r="312" ht="14.25" customHeight="1">
      <c r="Q312" s="15"/>
    </row>
    <row r="313" ht="14.25" customHeight="1">
      <c r="Q313" s="15"/>
    </row>
    <row r="314" ht="14.25" customHeight="1">
      <c r="Q314" s="15"/>
    </row>
    <row r="315" ht="14.25" customHeight="1">
      <c r="Q315" s="15"/>
    </row>
    <row r="316" ht="14.25" customHeight="1">
      <c r="Q316" s="15"/>
    </row>
    <row r="317" ht="14.25" customHeight="1">
      <c r="Q317" s="15"/>
    </row>
    <row r="318" ht="14.25" customHeight="1">
      <c r="Q318" s="15"/>
    </row>
    <row r="319" ht="14.25" customHeight="1">
      <c r="Q319" s="15"/>
    </row>
    <row r="320" ht="14.25" customHeight="1">
      <c r="Q320" s="15"/>
    </row>
    <row r="321" ht="14.25" customHeight="1">
      <c r="Q321" s="15"/>
    </row>
    <row r="322" ht="14.25" customHeight="1">
      <c r="Q322" s="15"/>
    </row>
    <row r="323" ht="14.25" customHeight="1">
      <c r="Q323" s="15"/>
    </row>
    <row r="324" ht="14.25" customHeight="1">
      <c r="Q324" s="15"/>
    </row>
    <row r="325" ht="14.25" customHeight="1">
      <c r="Q325" s="15"/>
    </row>
    <row r="326" ht="14.25" customHeight="1">
      <c r="Q326" s="15"/>
    </row>
    <row r="327" ht="14.25" customHeight="1">
      <c r="Q327" s="15"/>
    </row>
    <row r="328" ht="14.25" customHeight="1">
      <c r="Q328" s="15"/>
    </row>
    <row r="329" ht="14.25" customHeight="1">
      <c r="Q329" s="15"/>
    </row>
    <row r="330" ht="14.25" customHeight="1">
      <c r="Q330" s="15"/>
    </row>
    <row r="331" ht="14.25" customHeight="1">
      <c r="Q331" s="15"/>
    </row>
    <row r="332" ht="14.25" customHeight="1">
      <c r="Q332" s="15"/>
    </row>
    <row r="333" ht="14.25" customHeight="1">
      <c r="Q333" s="15"/>
    </row>
    <row r="334" ht="14.25" customHeight="1">
      <c r="Q334" s="15"/>
    </row>
    <row r="335" ht="14.25" customHeight="1">
      <c r="Q335" s="15"/>
    </row>
    <row r="336" ht="14.25" customHeight="1">
      <c r="Q336" s="15"/>
    </row>
    <row r="337" ht="14.25" customHeight="1">
      <c r="Q337" s="15"/>
    </row>
    <row r="338" ht="14.25" customHeight="1">
      <c r="Q338" s="15"/>
    </row>
    <row r="339" ht="14.25" customHeight="1">
      <c r="Q339" s="15"/>
    </row>
    <row r="340" ht="14.25" customHeight="1">
      <c r="Q340" s="15"/>
    </row>
    <row r="341" ht="14.25" customHeight="1">
      <c r="Q341" s="15"/>
    </row>
    <row r="342" ht="14.25" customHeight="1">
      <c r="Q342" s="15"/>
    </row>
    <row r="343" ht="14.25" customHeight="1">
      <c r="Q343" s="15"/>
    </row>
    <row r="344" ht="14.25" customHeight="1">
      <c r="Q344" s="15"/>
    </row>
    <row r="345" ht="14.25" customHeight="1">
      <c r="Q345" s="15"/>
    </row>
    <row r="346" ht="14.25" customHeight="1">
      <c r="Q346" s="15"/>
    </row>
    <row r="347" ht="14.25" customHeight="1">
      <c r="Q347" s="15"/>
    </row>
    <row r="348" ht="14.25" customHeight="1">
      <c r="Q348" s="15"/>
    </row>
    <row r="349" ht="14.25" customHeight="1">
      <c r="Q349" s="15"/>
    </row>
    <row r="350" ht="14.25" customHeight="1">
      <c r="Q350" s="15"/>
    </row>
    <row r="351" ht="14.25" customHeight="1">
      <c r="Q351" s="15"/>
    </row>
    <row r="352" ht="14.25" customHeight="1">
      <c r="Q352" s="15"/>
    </row>
    <row r="353" ht="14.25" customHeight="1">
      <c r="Q353" s="15"/>
    </row>
    <row r="354" ht="14.25" customHeight="1">
      <c r="Q354" s="15"/>
    </row>
    <row r="355" ht="14.25" customHeight="1">
      <c r="Q355" s="15"/>
    </row>
    <row r="356" ht="14.25" customHeight="1">
      <c r="Q356" s="15"/>
    </row>
    <row r="357" ht="14.25" customHeight="1">
      <c r="Q357" s="15"/>
    </row>
    <row r="358" ht="14.25" customHeight="1">
      <c r="Q358" s="15"/>
    </row>
    <row r="359" ht="14.25" customHeight="1">
      <c r="Q359" s="15"/>
    </row>
    <row r="360" ht="14.25" customHeight="1">
      <c r="Q360" s="15"/>
    </row>
    <row r="361" ht="14.25" customHeight="1">
      <c r="Q361" s="15"/>
    </row>
    <row r="362" ht="14.25" customHeight="1">
      <c r="Q362" s="15"/>
    </row>
    <row r="363" ht="14.25" customHeight="1">
      <c r="Q363" s="15"/>
    </row>
    <row r="364" ht="14.25" customHeight="1">
      <c r="Q364" s="15"/>
    </row>
    <row r="365" ht="14.25" customHeight="1">
      <c r="Q365" s="15"/>
    </row>
    <row r="366" ht="14.25" customHeight="1">
      <c r="Q366" s="15"/>
    </row>
    <row r="367" ht="14.25" customHeight="1">
      <c r="Q367" s="15"/>
    </row>
    <row r="368" ht="14.25" customHeight="1">
      <c r="Q368" s="15"/>
    </row>
    <row r="369" ht="14.25" customHeight="1">
      <c r="Q369" s="15"/>
    </row>
    <row r="370" ht="14.25" customHeight="1">
      <c r="Q370" s="15"/>
    </row>
    <row r="371" ht="14.25" customHeight="1">
      <c r="Q371" s="15"/>
    </row>
    <row r="372" ht="14.25" customHeight="1">
      <c r="Q372" s="15"/>
    </row>
    <row r="373" ht="14.25" customHeight="1">
      <c r="Q373" s="15"/>
    </row>
    <row r="374" ht="14.25" customHeight="1">
      <c r="Q374" s="15"/>
    </row>
    <row r="375" ht="14.25" customHeight="1">
      <c r="Q375" s="15"/>
    </row>
    <row r="376" ht="14.25" customHeight="1">
      <c r="Q376" s="15"/>
    </row>
    <row r="377" ht="14.25" customHeight="1">
      <c r="Q377" s="15"/>
    </row>
    <row r="378" ht="14.25" customHeight="1">
      <c r="Q378" s="15"/>
    </row>
    <row r="379" ht="14.25" customHeight="1">
      <c r="Q379" s="15"/>
    </row>
    <row r="380" ht="14.25" customHeight="1">
      <c r="Q380" s="15"/>
    </row>
    <row r="381" ht="14.25" customHeight="1">
      <c r="Q381" s="15"/>
    </row>
    <row r="382" ht="14.25" customHeight="1">
      <c r="Q382" s="15"/>
    </row>
    <row r="383" ht="14.25" customHeight="1">
      <c r="Q383" s="15"/>
    </row>
    <row r="384" ht="14.25" customHeight="1">
      <c r="Q384" s="15"/>
    </row>
    <row r="385" ht="14.25" customHeight="1">
      <c r="Q385" s="15"/>
    </row>
    <row r="386" ht="14.25" customHeight="1">
      <c r="Q386" s="15"/>
    </row>
    <row r="387" ht="14.25" customHeight="1">
      <c r="Q387" s="15"/>
    </row>
    <row r="388" ht="14.25" customHeight="1">
      <c r="Q388" s="15"/>
    </row>
    <row r="389" ht="14.25" customHeight="1">
      <c r="Q389" s="15"/>
    </row>
    <row r="390" ht="14.25" customHeight="1">
      <c r="Q390" s="15"/>
    </row>
    <row r="391" ht="14.25" customHeight="1">
      <c r="Q391" s="15"/>
    </row>
    <row r="392" ht="14.25" customHeight="1">
      <c r="Q392" s="15"/>
    </row>
    <row r="393" ht="14.25" customHeight="1">
      <c r="Q393" s="15"/>
    </row>
    <row r="394" ht="14.25" customHeight="1">
      <c r="Q394" s="15"/>
    </row>
    <row r="395" ht="14.25" customHeight="1">
      <c r="Q395" s="15"/>
    </row>
    <row r="396" ht="14.25" customHeight="1">
      <c r="Q396" s="15"/>
    </row>
    <row r="397" ht="14.25" customHeight="1">
      <c r="Q397" s="15"/>
    </row>
    <row r="398" ht="14.25" customHeight="1">
      <c r="Q398" s="15"/>
    </row>
    <row r="399" ht="14.25" customHeight="1">
      <c r="Q399" s="15"/>
    </row>
    <row r="400" ht="14.25" customHeight="1">
      <c r="Q400" s="15"/>
    </row>
    <row r="401" ht="14.25" customHeight="1">
      <c r="Q401" s="15"/>
    </row>
    <row r="402" ht="14.25" customHeight="1">
      <c r="Q402" s="15"/>
    </row>
    <row r="403" ht="14.25" customHeight="1">
      <c r="Q403" s="15"/>
    </row>
    <row r="404" ht="14.25" customHeight="1">
      <c r="Q404" s="15"/>
    </row>
    <row r="405" ht="14.25" customHeight="1">
      <c r="Q405" s="15"/>
    </row>
    <row r="406" ht="14.25" customHeight="1">
      <c r="Q406" s="15"/>
    </row>
    <row r="407" ht="14.25" customHeight="1">
      <c r="Q407" s="15"/>
    </row>
    <row r="408" ht="14.25" customHeight="1">
      <c r="Q408" s="15"/>
    </row>
    <row r="409" ht="14.25" customHeight="1">
      <c r="Q409" s="15"/>
    </row>
    <row r="410" ht="14.25" customHeight="1">
      <c r="Q410" s="15"/>
    </row>
    <row r="411" ht="14.25" customHeight="1">
      <c r="Q411" s="15"/>
    </row>
    <row r="412" ht="14.25" customHeight="1">
      <c r="Q412" s="15"/>
    </row>
    <row r="413" ht="14.25" customHeight="1">
      <c r="Q413" s="15"/>
    </row>
    <row r="414" ht="14.25" customHeight="1">
      <c r="Q414" s="15"/>
    </row>
    <row r="415" ht="14.25" customHeight="1">
      <c r="Q415" s="15"/>
    </row>
    <row r="416" ht="14.25" customHeight="1">
      <c r="Q416" s="15"/>
    </row>
    <row r="417" ht="14.25" customHeight="1">
      <c r="Q417" s="15"/>
    </row>
    <row r="418" ht="14.25" customHeight="1">
      <c r="Q418" s="15"/>
    </row>
    <row r="419" ht="14.25" customHeight="1">
      <c r="Q419" s="15"/>
    </row>
    <row r="420" ht="14.25" customHeight="1">
      <c r="Q420" s="15"/>
    </row>
    <row r="421" ht="14.25" customHeight="1">
      <c r="Q421" s="15"/>
    </row>
    <row r="422" ht="14.25" customHeight="1">
      <c r="Q422" s="15"/>
    </row>
    <row r="423" ht="14.25" customHeight="1">
      <c r="Q423" s="15"/>
    </row>
    <row r="424" ht="14.25" customHeight="1">
      <c r="Q424" s="15"/>
    </row>
    <row r="425" ht="14.25" customHeight="1">
      <c r="Q425" s="15"/>
    </row>
    <row r="426" ht="14.25" customHeight="1">
      <c r="Q426" s="15"/>
    </row>
    <row r="427" ht="14.25" customHeight="1">
      <c r="Q427" s="15"/>
    </row>
    <row r="428" ht="14.25" customHeight="1">
      <c r="Q428" s="15"/>
    </row>
    <row r="429" ht="14.25" customHeight="1">
      <c r="Q429" s="15"/>
    </row>
    <row r="430" ht="14.25" customHeight="1">
      <c r="Q430" s="15"/>
    </row>
    <row r="431" ht="14.25" customHeight="1">
      <c r="Q431" s="15"/>
    </row>
    <row r="432" ht="14.25" customHeight="1">
      <c r="Q432" s="15"/>
    </row>
    <row r="433" ht="14.25" customHeight="1">
      <c r="Q433" s="15"/>
    </row>
    <row r="434" ht="14.25" customHeight="1">
      <c r="Q434" s="15"/>
    </row>
    <row r="435" ht="14.25" customHeight="1">
      <c r="Q435" s="15"/>
    </row>
    <row r="436" ht="14.25" customHeight="1">
      <c r="Q436" s="15"/>
    </row>
    <row r="437" ht="14.25" customHeight="1">
      <c r="Q437" s="15"/>
    </row>
    <row r="438" ht="14.25" customHeight="1">
      <c r="Q438" s="15"/>
    </row>
    <row r="439" ht="14.25" customHeight="1">
      <c r="Q439" s="15"/>
    </row>
    <row r="440" ht="14.25" customHeight="1">
      <c r="Q440" s="15"/>
    </row>
    <row r="441" ht="14.25" customHeight="1">
      <c r="Q441" s="15"/>
    </row>
    <row r="442" ht="14.25" customHeight="1">
      <c r="Q442" s="15"/>
    </row>
    <row r="443" ht="14.25" customHeight="1">
      <c r="Q443" s="15"/>
    </row>
    <row r="444" ht="14.25" customHeight="1">
      <c r="Q444" s="15"/>
    </row>
    <row r="445" ht="14.25" customHeight="1">
      <c r="Q445" s="15"/>
    </row>
    <row r="446" ht="14.25" customHeight="1">
      <c r="Q446" s="15"/>
    </row>
    <row r="447" ht="14.25" customHeight="1">
      <c r="Q447" s="15"/>
    </row>
    <row r="448" ht="14.25" customHeight="1">
      <c r="Q448" s="15"/>
    </row>
    <row r="449" ht="14.25" customHeight="1">
      <c r="Q449" s="15"/>
    </row>
    <row r="450" ht="14.25" customHeight="1">
      <c r="Q450" s="15"/>
    </row>
    <row r="451" ht="14.25" customHeight="1">
      <c r="Q451" s="15"/>
    </row>
    <row r="452" ht="14.25" customHeight="1">
      <c r="Q452" s="15"/>
    </row>
    <row r="453" ht="14.25" customHeight="1">
      <c r="Q453" s="15"/>
    </row>
    <row r="454" ht="14.25" customHeight="1">
      <c r="Q454" s="15"/>
    </row>
    <row r="455" ht="14.25" customHeight="1">
      <c r="Q455" s="15"/>
    </row>
    <row r="456" ht="14.25" customHeight="1">
      <c r="Q456" s="15"/>
    </row>
    <row r="457" ht="14.25" customHeight="1">
      <c r="Q457" s="15"/>
    </row>
    <row r="458" ht="14.25" customHeight="1">
      <c r="Q458" s="15"/>
    </row>
    <row r="459" ht="14.25" customHeight="1">
      <c r="Q459" s="15"/>
    </row>
    <row r="460" ht="14.25" customHeight="1">
      <c r="Q460" s="15"/>
    </row>
    <row r="461" ht="14.25" customHeight="1">
      <c r="Q461" s="15"/>
    </row>
    <row r="462" ht="14.25" customHeight="1">
      <c r="Q462" s="15"/>
    </row>
    <row r="463" ht="14.25" customHeight="1">
      <c r="Q463" s="15"/>
    </row>
    <row r="464" ht="14.25" customHeight="1">
      <c r="Q464" s="15"/>
    </row>
    <row r="465" ht="14.25" customHeight="1">
      <c r="Q465" s="15"/>
    </row>
    <row r="466" ht="14.25" customHeight="1">
      <c r="Q466" s="15"/>
    </row>
    <row r="467" ht="14.25" customHeight="1">
      <c r="Q467" s="15"/>
    </row>
    <row r="468" ht="14.25" customHeight="1">
      <c r="Q468" s="15"/>
    </row>
    <row r="469" ht="14.25" customHeight="1">
      <c r="Q469" s="15"/>
    </row>
    <row r="470" ht="14.25" customHeight="1">
      <c r="Q470" s="15"/>
    </row>
    <row r="471" ht="14.25" customHeight="1">
      <c r="Q471" s="15"/>
    </row>
    <row r="472" ht="14.25" customHeight="1">
      <c r="Q472" s="15"/>
    </row>
    <row r="473" ht="14.25" customHeight="1">
      <c r="Q473" s="15"/>
    </row>
    <row r="474" ht="14.25" customHeight="1">
      <c r="Q474" s="15"/>
    </row>
    <row r="475" ht="14.25" customHeight="1">
      <c r="Q475" s="15"/>
    </row>
    <row r="476" ht="14.25" customHeight="1">
      <c r="Q476" s="15"/>
    </row>
    <row r="477" ht="14.25" customHeight="1">
      <c r="Q477" s="15"/>
    </row>
    <row r="478" ht="14.25" customHeight="1">
      <c r="Q478" s="15"/>
    </row>
    <row r="479" ht="14.25" customHeight="1">
      <c r="Q479" s="15"/>
    </row>
    <row r="480" ht="14.25" customHeight="1">
      <c r="Q480" s="15"/>
    </row>
    <row r="481" ht="14.25" customHeight="1">
      <c r="Q481" s="15"/>
    </row>
    <row r="482" ht="14.25" customHeight="1">
      <c r="Q482" s="15"/>
    </row>
    <row r="483" ht="14.25" customHeight="1">
      <c r="Q483" s="15"/>
    </row>
    <row r="484" ht="14.25" customHeight="1">
      <c r="Q484" s="15"/>
    </row>
    <row r="485" ht="14.25" customHeight="1">
      <c r="Q485" s="15"/>
    </row>
    <row r="486" ht="14.25" customHeight="1">
      <c r="Q486" s="15"/>
    </row>
    <row r="487" ht="14.25" customHeight="1">
      <c r="Q487" s="15"/>
    </row>
    <row r="488" ht="14.25" customHeight="1">
      <c r="Q488" s="15"/>
    </row>
    <row r="489" ht="14.25" customHeight="1">
      <c r="Q489" s="15"/>
    </row>
    <row r="490" ht="14.25" customHeight="1">
      <c r="Q490" s="15"/>
    </row>
    <row r="491" ht="14.25" customHeight="1">
      <c r="Q491" s="15"/>
    </row>
    <row r="492" ht="14.25" customHeight="1">
      <c r="Q492" s="15"/>
    </row>
    <row r="493" ht="14.25" customHeight="1">
      <c r="Q493" s="15"/>
    </row>
    <row r="494" ht="14.25" customHeight="1">
      <c r="Q494" s="15"/>
    </row>
    <row r="495" ht="14.25" customHeight="1">
      <c r="Q495" s="15"/>
    </row>
    <row r="496" ht="14.25" customHeight="1">
      <c r="Q496" s="15"/>
    </row>
    <row r="497" ht="14.25" customHeight="1">
      <c r="Q497" s="15"/>
    </row>
    <row r="498" ht="14.25" customHeight="1">
      <c r="Q498" s="15"/>
    </row>
    <row r="499" ht="14.25" customHeight="1">
      <c r="Q499" s="15"/>
    </row>
    <row r="500" ht="14.25" customHeight="1">
      <c r="Q500" s="15"/>
    </row>
    <row r="501" ht="14.25" customHeight="1">
      <c r="Q501" s="15"/>
    </row>
    <row r="502" ht="14.25" customHeight="1">
      <c r="Q502" s="15"/>
    </row>
    <row r="503" ht="14.25" customHeight="1">
      <c r="Q503" s="15"/>
    </row>
    <row r="504" ht="14.25" customHeight="1">
      <c r="Q504" s="15"/>
    </row>
    <row r="505" ht="14.25" customHeight="1">
      <c r="Q505" s="15"/>
    </row>
    <row r="506" ht="14.25" customHeight="1">
      <c r="Q506" s="15"/>
    </row>
    <row r="507" ht="14.25" customHeight="1">
      <c r="Q507" s="15"/>
    </row>
    <row r="508" ht="14.25" customHeight="1">
      <c r="Q508" s="15"/>
    </row>
    <row r="509" ht="14.25" customHeight="1">
      <c r="Q509" s="15"/>
    </row>
    <row r="510" ht="14.25" customHeight="1">
      <c r="Q510" s="15"/>
    </row>
    <row r="511" ht="14.25" customHeight="1">
      <c r="Q511" s="15"/>
    </row>
    <row r="512" ht="14.25" customHeight="1">
      <c r="Q512" s="15"/>
    </row>
    <row r="513" ht="14.25" customHeight="1">
      <c r="Q513" s="15"/>
    </row>
    <row r="514" ht="14.25" customHeight="1">
      <c r="Q514" s="15"/>
    </row>
    <row r="515" ht="14.25" customHeight="1">
      <c r="Q515" s="15"/>
    </row>
    <row r="516" ht="14.25" customHeight="1">
      <c r="Q516" s="15"/>
    </row>
    <row r="517" ht="14.25" customHeight="1">
      <c r="Q517" s="15"/>
    </row>
    <row r="518" ht="14.25" customHeight="1">
      <c r="Q518" s="15"/>
    </row>
    <row r="519" ht="14.25" customHeight="1">
      <c r="Q519" s="15"/>
    </row>
    <row r="520" ht="14.25" customHeight="1">
      <c r="Q520" s="15"/>
    </row>
    <row r="521" ht="14.25" customHeight="1">
      <c r="Q521" s="15"/>
    </row>
    <row r="522" ht="14.25" customHeight="1">
      <c r="Q522" s="15"/>
    </row>
    <row r="523" ht="14.25" customHeight="1">
      <c r="Q523" s="15"/>
    </row>
    <row r="524" ht="14.25" customHeight="1">
      <c r="Q524" s="15"/>
    </row>
    <row r="525" ht="14.25" customHeight="1">
      <c r="Q525" s="15"/>
    </row>
    <row r="526" ht="14.25" customHeight="1">
      <c r="Q526" s="15"/>
    </row>
    <row r="527" ht="14.25" customHeight="1">
      <c r="Q527" s="15"/>
    </row>
    <row r="528" ht="14.25" customHeight="1">
      <c r="Q528" s="15"/>
    </row>
    <row r="529" ht="14.25" customHeight="1">
      <c r="Q529" s="15"/>
    </row>
    <row r="530" ht="14.25" customHeight="1">
      <c r="Q530" s="15"/>
    </row>
    <row r="531" ht="14.25" customHeight="1">
      <c r="Q531" s="15"/>
    </row>
    <row r="532" ht="14.25" customHeight="1">
      <c r="Q532" s="15"/>
    </row>
    <row r="533" ht="14.25" customHeight="1">
      <c r="Q533" s="15"/>
    </row>
    <row r="534" ht="14.25" customHeight="1">
      <c r="Q534" s="15"/>
    </row>
    <row r="535" ht="14.25" customHeight="1">
      <c r="Q535" s="15"/>
    </row>
    <row r="536" ht="14.25" customHeight="1">
      <c r="Q536" s="15"/>
    </row>
    <row r="537" ht="14.25" customHeight="1">
      <c r="Q537" s="15"/>
    </row>
    <row r="538" ht="14.25" customHeight="1">
      <c r="Q538" s="15"/>
    </row>
    <row r="539" ht="14.25" customHeight="1">
      <c r="Q539" s="15"/>
    </row>
    <row r="540" ht="14.25" customHeight="1">
      <c r="Q540" s="15"/>
    </row>
    <row r="541" ht="14.25" customHeight="1">
      <c r="Q541" s="15"/>
    </row>
    <row r="542" ht="14.25" customHeight="1">
      <c r="Q542" s="15"/>
    </row>
    <row r="543" ht="14.25" customHeight="1">
      <c r="Q543" s="15"/>
    </row>
    <row r="544" ht="14.25" customHeight="1">
      <c r="Q544" s="15"/>
    </row>
    <row r="545" ht="14.25" customHeight="1">
      <c r="Q545" s="15"/>
    </row>
    <row r="546" ht="14.25" customHeight="1">
      <c r="Q546" s="15"/>
    </row>
    <row r="547" ht="14.25" customHeight="1">
      <c r="Q547" s="15"/>
    </row>
    <row r="548" ht="14.25" customHeight="1">
      <c r="Q548" s="15"/>
    </row>
    <row r="549" ht="14.25" customHeight="1">
      <c r="Q549" s="15"/>
    </row>
    <row r="550" ht="14.25" customHeight="1">
      <c r="Q550" s="15"/>
    </row>
    <row r="551" ht="14.25" customHeight="1">
      <c r="Q551" s="15"/>
    </row>
    <row r="552" ht="14.25" customHeight="1">
      <c r="Q552" s="15"/>
    </row>
    <row r="553" ht="14.25" customHeight="1">
      <c r="Q553" s="15"/>
    </row>
    <row r="554" ht="14.25" customHeight="1">
      <c r="Q554" s="15"/>
    </row>
    <row r="555" ht="14.25" customHeight="1">
      <c r="Q555" s="15"/>
    </row>
    <row r="556" ht="14.25" customHeight="1">
      <c r="Q556" s="15"/>
    </row>
    <row r="557" ht="14.25" customHeight="1">
      <c r="Q557" s="15"/>
    </row>
    <row r="558" ht="14.25" customHeight="1">
      <c r="Q558" s="15"/>
    </row>
    <row r="559" ht="14.25" customHeight="1">
      <c r="Q559" s="15"/>
    </row>
    <row r="560" ht="14.25" customHeight="1">
      <c r="Q560" s="15"/>
    </row>
    <row r="561" ht="14.25" customHeight="1">
      <c r="Q561" s="15"/>
    </row>
    <row r="562" ht="14.25" customHeight="1">
      <c r="Q562" s="15"/>
    </row>
    <row r="563" ht="14.25" customHeight="1">
      <c r="Q563" s="15"/>
    </row>
    <row r="564" ht="14.25" customHeight="1">
      <c r="Q564" s="15"/>
    </row>
    <row r="565" ht="14.25" customHeight="1">
      <c r="Q565" s="15"/>
    </row>
    <row r="566" ht="14.25" customHeight="1">
      <c r="Q566" s="15"/>
    </row>
    <row r="567" ht="14.25" customHeight="1">
      <c r="Q567" s="15"/>
    </row>
    <row r="568" ht="14.25" customHeight="1">
      <c r="Q568" s="15"/>
    </row>
    <row r="569" ht="14.25" customHeight="1">
      <c r="Q569" s="15"/>
    </row>
    <row r="570" ht="14.25" customHeight="1">
      <c r="Q570" s="15"/>
    </row>
    <row r="571" ht="14.25" customHeight="1">
      <c r="Q571" s="15"/>
    </row>
    <row r="572" ht="14.25" customHeight="1">
      <c r="Q572" s="15"/>
    </row>
    <row r="573" ht="14.25" customHeight="1">
      <c r="Q573" s="15"/>
    </row>
    <row r="574" ht="14.25" customHeight="1">
      <c r="Q574" s="15"/>
    </row>
    <row r="575" ht="14.25" customHeight="1">
      <c r="Q575" s="15"/>
    </row>
    <row r="576" ht="14.25" customHeight="1">
      <c r="Q576" s="15"/>
    </row>
    <row r="577" ht="14.25" customHeight="1">
      <c r="Q577" s="15"/>
    </row>
    <row r="578" ht="14.25" customHeight="1">
      <c r="Q578" s="15"/>
    </row>
    <row r="579" ht="14.25" customHeight="1">
      <c r="Q579" s="15"/>
    </row>
    <row r="580" ht="14.25" customHeight="1">
      <c r="Q580" s="15"/>
    </row>
    <row r="581" ht="14.25" customHeight="1">
      <c r="Q581" s="15"/>
    </row>
    <row r="582" ht="14.25" customHeight="1">
      <c r="Q582" s="15"/>
    </row>
    <row r="583" ht="14.25" customHeight="1">
      <c r="Q583" s="15"/>
    </row>
    <row r="584" ht="14.25" customHeight="1">
      <c r="Q584" s="15"/>
    </row>
    <row r="585" ht="14.25" customHeight="1">
      <c r="Q585" s="15"/>
    </row>
    <row r="586" ht="14.25" customHeight="1">
      <c r="Q586" s="15"/>
    </row>
    <row r="587" ht="14.25" customHeight="1">
      <c r="Q587" s="15"/>
    </row>
    <row r="588" ht="14.25" customHeight="1">
      <c r="Q588" s="15"/>
    </row>
    <row r="589" ht="14.25" customHeight="1">
      <c r="Q589" s="15"/>
    </row>
    <row r="590" ht="14.25" customHeight="1">
      <c r="Q590" s="15"/>
    </row>
    <row r="591" ht="14.25" customHeight="1">
      <c r="Q591" s="15"/>
    </row>
    <row r="592" ht="14.25" customHeight="1">
      <c r="Q592" s="15"/>
    </row>
    <row r="593" ht="14.25" customHeight="1">
      <c r="Q593" s="15"/>
    </row>
    <row r="594" ht="14.25" customHeight="1">
      <c r="Q594" s="15"/>
    </row>
    <row r="595" ht="14.25" customHeight="1">
      <c r="Q595" s="15"/>
    </row>
    <row r="596" ht="14.25" customHeight="1">
      <c r="Q596" s="15"/>
    </row>
    <row r="597" ht="14.25" customHeight="1">
      <c r="Q597" s="15"/>
    </row>
    <row r="598" ht="14.25" customHeight="1">
      <c r="Q598" s="15"/>
    </row>
    <row r="599" ht="14.25" customHeight="1">
      <c r="Q599" s="15"/>
    </row>
    <row r="600" ht="14.25" customHeight="1">
      <c r="Q600" s="15"/>
    </row>
    <row r="601" ht="14.25" customHeight="1">
      <c r="Q601" s="15"/>
    </row>
    <row r="602" ht="14.25" customHeight="1">
      <c r="Q602" s="15"/>
    </row>
    <row r="603" ht="14.25" customHeight="1">
      <c r="Q603" s="15"/>
    </row>
    <row r="604" ht="14.25" customHeight="1">
      <c r="Q604" s="15"/>
    </row>
    <row r="605" ht="14.25" customHeight="1">
      <c r="Q605" s="15"/>
    </row>
    <row r="606" ht="14.25" customHeight="1">
      <c r="Q606" s="15"/>
    </row>
    <row r="607" ht="14.25" customHeight="1">
      <c r="Q607" s="15"/>
    </row>
    <row r="608" ht="14.25" customHeight="1">
      <c r="Q608" s="15"/>
    </row>
    <row r="609" ht="14.25" customHeight="1">
      <c r="Q609" s="15"/>
    </row>
    <row r="610" ht="14.25" customHeight="1">
      <c r="Q610" s="15"/>
    </row>
    <row r="611" ht="14.25" customHeight="1">
      <c r="Q611" s="15"/>
    </row>
    <row r="612" ht="14.25" customHeight="1">
      <c r="Q612" s="15"/>
    </row>
    <row r="613" ht="14.25" customHeight="1">
      <c r="Q613" s="15"/>
    </row>
    <row r="614" ht="14.25" customHeight="1">
      <c r="Q614" s="15"/>
    </row>
    <row r="615" ht="14.25" customHeight="1">
      <c r="Q615" s="15"/>
    </row>
    <row r="616" ht="14.25" customHeight="1">
      <c r="Q616" s="15"/>
    </row>
    <row r="617" ht="14.25" customHeight="1">
      <c r="Q617" s="15"/>
    </row>
    <row r="618" ht="14.25" customHeight="1">
      <c r="Q618" s="15"/>
    </row>
    <row r="619" ht="14.25" customHeight="1">
      <c r="Q619" s="15"/>
    </row>
    <row r="620" ht="14.25" customHeight="1">
      <c r="Q620" s="15"/>
    </row>
    <row r="621" ht="14.25" customHeight="1">
      <c r="Q621" s="15"/>
    </row>
    <row r="622" ht="14.25" customHeight="1">
      <c r="Q622" s="15"/>
    </row>
    <row r="623" ht="14.25" customHeight="1">
      <c r="Q623" s="15"/>
    </row>
    <row r="624" ht="14.25" customHeight="1">
      <c r="Q624" s="15"/>
    </row>
    <row r="625" ht="14.25" customHeight="1">
      <c r="Q625" s="15"/>
    </row>
    <row r="626" ht="14.25" customHeight="1">
      <c r="Q626" s="15"/>
    </row>
    <row r="627" ht="14.25" customHeight="1">
      <c r="Q627" s="15"/>
    </row>
    <row r="628" ht="14.25" customHeight="1">
      <c r="Q628" s="15"/>
    </row>
    <row r="629" ht="14.25" customHeight="1">
      <c r="Q629" s="15"/>
    </row>
    <row r="630" ht="14.25" customHeight="1">
      <c r="Q630" s="15"/>
    </row>
    <row r="631" ht="14.25" customHeight="1">
      <c r="Q631" s="15"/>
    </row>
    <row r="632" ht="14.25" customHeight="1">
      <c r="Q632" s="15"/>
    </row>
    <row r="633" ht="14.25" customHeight="1">
      <c r="Q633" s="15"/>
    </row>
    <row r="634" ht="14.25" customHeight="1">
      <c r="Q634" s="15"/>
    </row>
    <row r="635" ht="14.25" customHeight="1">
      <c r="Q635" s="15"/>
    </row>
    <row r="636" ht="14.25" customHeight="1">
      <c r="Q636" s="15"/>
    </row>
    <row r="637" ht="14.25" customHeight="1">
      <c r="Q637" s="15"/>
    </row>
    <row r="638" ht="14.25" customHeight="1">
      <c r="Q638" s="15"/>
    </row>
    <row r="639" ht="14.25" customHeight="1">
      <c r="Q639" s="15"/>
    </row>
    <row r="640" ht="14.25" customHeight="1">
      <c r="Q640" s="15"/>
    </row>
    <row r="641" ht="14.25" customHeight="1">
      <c r="Q641" s="15"/>
    </row>
    <row r="642" ht="14.25" customHeight="1">
      <c r="Q642" s="15"/>
    </row>
    <row r="643" ht="14.25" customHeight="1">
      <c r="Q643" s="15"/>
    </row>
    <row r="644" ht="14.25" customHeight="1">
      <c r="Q644" s="15"/>
    </row>
    <row r="645" ht="14.25" customHeight="1">
      <c r="Q645" s="15"/>
    </row>
    <row r="646" ht="14.25" customHeight="1">
      <c r="Q646" s="15"/>
    </row>
    <row r="647" ht="14.25" customHeight="1">
      <c r="Q647" s="15"/>
    </row>
    <row r="648" ht="14.25" customHeight="1">
      <c r="Q648" s="15"/>
    </row>
    <row r="649" ht="14.25" customHeight="1">
      <c r="Q649" s="15"/>
    </row>
    <row r="650" ht="14.25" customHeight="1">
      <c r="Q650" s="15"/>
    </row>
    <row r="651" ht="14.25" customHeight="1">
      <c r="Q651" s="15"/>
    </row>
    <row r="652" ht="14.25" customHeight="1">
      <c r="Q652" s="15"/>
    </row>
    <row r="653" ht="14.25" customHeight="1">
      <c r="Q653" s="15"/>
    </row>
    <row r="654" ht="14.25" customHeight="1">
      <c r="Q654" s="15"/>
    </row>
    <row r="655" ht="14.25" customHeight="1">
      <c r="Q655" s="15"/>
    </row>
    <row r="656" ht="14.25" customHeight="1">
      <c r="Q656" s="15"/>
    </row>
    <row r="657" ht="14.25" customHeight="1">
      <c r="Q657" s="15"/>
    </row>
    <row r="658" ht="14.25" customHeight="1">
      <c r="Q658" s="15"/>
    </row>
    <row r="659" ht="14.25" customHeight="1">
      <c r="Q659" s="15"/>
    </row>
    <row r="660" ht="14.25" customHeight="1">
      <c r="Q660" s="15"/>
    </row>
    <row r="661" ht="14.25" customHeight="1">
      <c r="Q661" s="15"/>
    </row>
    <row r="662" ht="14.25" customHeight="1">
      <c r="Q662" s="15"/>
    </row>
    <row r="663" ht="14.25" customHeight="1">
      <c r="Q663" s="15"/>
    </row>
    <row r="664" ht="14.25" customHeight="1">
      <c r="Q664" s="15"/>
    </row>
    <row r="665" ht="14.25" customHeight="1">
      <c r="Q665" s="15"/>
    </row>
    <row r="666" ht="14.25" customHeight="1">
      <c r="Q666" s="15"/>
    </row>
    <row r="667" ht="14.25" customHeight="1">
      <c r="Q667" s="15"/>
    </row>
    <row r="668" ht="14.25" customHeight="1">
      <c r="Q668" s="15"/>
    </row>
    <row r="669" ht="14.25" customHeight="1">
      <c r="Q669" s="15"/>
    </row>
    <row r="670" ht="14.25" customHeight="1">
      <c r="Q670" s="15"/>
    </row>
    <row r="671" ht="14.25" customHeight="1">
      <c r="Q671" s="15"/>
    </row>
    <row r="672" ht="14.25" customHeight="1">
      <c r="Q672" s="15"/>
    </row>
    <row r="673" ht="14.25" customHeight="1">
      <c r="Q673" s="15"/>
    </row>
    <row r="674" ht="14.25" customHeight="1">
      <c r="Q674" s="15"/>
    </row>
    <row r="675" ht="14.25" customHeight="1">
      <c r="Q675" s="15"/>
    </row>
    <row r="676" ht="14.25" customHeight="1">
      <c r="Q676" s="15"/>
    </row>
    <row r="677" ht="14.25" customHeight="1">
      <c r="Q677" s="15"/>
    </row>
    <row r="678" ht="14.25" customHeight="1">
      <c r="Q678" s="15"/>
    </row>
    <row r="679" ht="14.25" customHeight="1">
      <c r="Q679" s="15"/>
    </row>
    <row r="680" ht="14.25" customHeight="1">
      <c r="Q680" s="15"/>
    </row>
    <row r="681" ht="14.25" customHeight="1">
      <c r="Q681" s="15"/>
    </row>
    <row r="682" ht="14.25" customHeight="1">
      <c r="Q682" s="15"/>
    </row>
    <row r="683" ht="14.25" customHeight="1">
      <c r="Q683" s="15"/>
    </row>
    <row r="684" ht="14.25" customHeight="1">
      <c r="Q684" s="15"/>
    </row>
    <row r="685" ht="14.25" customHeight="1">
      <c r="Q685" s="15"/>
    </row>
    <row r="686" ht="14.25" customHeight="1">
      <c r="Q686" s="15"/>
    </row>
    <row r="687" ht="14.25" customHeight="1">
      <c r="Q687" s="15"/>
    </row>
    <row r="688" ht="14.25" customHeight="1">
      <c r="Q688" s="15"/>
    </row>
    <row r="689" ht="14.25" customHeight="1">
      <c r="Q689" s="15"/>
    </row>
    <row r="690" ht="14.25" customHeight="1">
      <c r="Q690" s="15"/>
    </row>
    <row r="691" ht="14.25" customHeight="1">
      <c r="Q691" s="15"/>
    </row>
    <row r="692" ht="14.25" customHeight="1">
      <c r="Q692" s="15"/>
    </row>
    <row r="693" ht="14.25" customHeight="1">
      <c r="Q693" s="15"/>
    </row>
    <row r="694" ht="14.25" customHeight="1">
      <c r="Q694" s="15"/>
    </row>
    <row r="695" ht="14.25" customHeight="1">
      <c r="Q695" s="15"/>
    </row>
    <row r="696" ht="14.25" customHeight="1">
      <c r="Q696" s="15"/>
    </row>
    <row r="697" ht="14.25" customHeight="1">
      <c r="Q697" s="15"/>
    </row>
    <row r="698" ht="14.25" customHeight="1">
      <c r="Q698" s="15"/>
    </row>
    <row r="699" ht="14.25" customHeight="1">
      <c r="Q699" s="15"/>
    </row>
    <row r="700" ht="14.25" customHeight="1">
      <c r="Q700" s="15"/>
    </row>
    <row r="701" ht="14.25" customHeight="1">
      <c r="Q701" s="15"/>
    </row>
    <row r="702" ht="14.25" customHeight="1">
      <c r="Q702" s="15"/>
    </row>
    <row r="703" ht="14.25" customHeight="1">
      <c r="Q703" s="15"/>
    </row>
    <row r="704" ht="14.25" customHeight="1">
      <c r="Q704" s="15"/>
    </row>
    <row r="705" ht="14.25" customHeight="1">
      <c r="Q705" s="15"/>
    </row>
    <row r="706" ht="14.25" customHeight="1">
      <c r="Q706" s="15"/>
    </row>
    <row r="707" ht="14.25" customHeight="1">
      <c r="Q707" s="15"/>
    </row>
    <row r="708" ht="14.25" customHeight="1">
      <c r="Q708" s="15"/>
    </row>
    <row r="709" ht="14.25" customHeight="1">
      <c r="Q709" s="15"/>
    </row>
    <row r="710" ht="14.25" customHeight="1">
      <c r="Q710" s="15"/>
    </row>
    <row r="711" ht="14.25" customHeight="1">
      <c r="Q711" s="15"/>
    </row>
    <row r="712" ht="14.25" customHeight="1">
      <c r="Q712" s="15"/>
    </row>
    <row r="713" ht="14.25" customHeight="1">
      <c r="Q713" s="15"/>
    </row>
    <row r="714" ht="14.25" customHeight="1">
      <c r="Q714" s="15"/>
    </row>
    <row r="715" ht="14.25" customHeight="1">
      <c r="Q715" s="15"/>
    </row>
    <row r="716" ht="14.25" customHeight="1">
      <c r="Q716" s="15"/>
    </row>
    <row r="717" ht="14.25" customHeight="1">
      <c r="Q717" s="15"/>
    </row>
    <row r="718" ht="14.25" customHeight="1">
      <c r="Q718" s="15"/>
    </row>
    <row r="719" ht="14.25" customHeight="1">
      <c r="Q719" s="15"/>
    </row>
    <row r="720" ht="14.25" customHeight="1">
      <c r="Q720" s="15"/>
    </row>
    <row r="721" ht="14.25" customHeight="1">
      <c r="Q721" s="15"/>
    </row>
    <row r="722" ht="14.25" customHeight="1">
      <c r="Q722" s="15"/>
    </row>
    <row r="723" ht="14.25" customHeight="1">
      <c r="Q723" s="15"/>
    </row>
    <row r="724" ht="14.25" customHeight="1">
      <c r="Q724" s="15"/>
    </row>
    <row r="725" ht="14.25" customHeight="1">
      <c r="Q725" s="15"/>
    </row>
    <row r="726" ht="14.25" customHeight="1">
      <c r="Q726" s="15"/>
    </row>
    <row r="727" ht="14.25" customHeight="1">
      <c r="Q727" s="15"/>
    </row>
    <row r="728" ht="14.25" customHeight="1">
      <c r="Q728" s="15"/>
    </row>
    <row r="729" ht="14.25" customHeight="1">
      <c r="Q729" s="15"/>
    </row>
    <row r="730" ht="14.25" customHeight="1">
      <c r="Q730" s="15"/>
    </row>
    <row r="731" ht="14.25" customHeight="1">
      <c r="Q731" s="15"/>
    </row>
    <row r="732" ht="14.25" customHeight="1">
      <c r="Q732" s="15"/>
    </row>
    <row r="733" ht="14.25" customHeight="1">
      <c r="Q733" s="15"/>
    </row>
    <row r="734" ht="14.25" customHeight="1">
      <c r="Q734" s="15"/>
    </row>
    <row r="735" ht="14.25" customHeight="1">
      <c r="Q735" s="15"/>
    </row>
    <row r="736" ht="14.25" customHeight="1">
      <c r="Q736" s="15"/>
    </row>
    <row r="737" ht="14.25" customHeight="1">
      <c r="Q737" s="15"/>
    </row>
    <row r="738" ht="14.25" customHeight="1">
      <c r="Q738" s="15"/>
    </row>
    <row r="739" ht="14.25" customHeight="1">
      <c r="Q739" s="15"/>
    </row>
    <row r="740" ht="14.25" customHeight="1">
      <c r="Q740" s="15"/>
    </row>
    <row r="741" ht="14.25" customHeight="1">
      <c r="Q741" s="15"/>
    </row>
    <row r="742" ht="14.25" customHeight="1">
      <c r="Q742" s="15"/>
    </row>
    <row r="743" ht="14.25" customHeight="1">
      <c r="Q743" s="15"/>
    </row>
    <row r="744" ht="14.25" customHeight="1">
      <c r="Q744" s="15"/>
    </row>
    <row r="745" ht="14.25" customHeight="1">
      <c r="Q745" s="15"/>
    </row>
    <row r="746" ht="14.25" customHeight="1">
      <c r="Q746" s="15"/>
    </row>
    <row r="747" ht="14.25" customHeight="1">
      <c r="Q747" s="15"/>
    </row>
    <row r="748" ht="14.25" customHeight="1">
      <c r="Q748" s="15"/>
    </row>
    <row r="749" ht="14.25" customHeight="1">
      <c r="Q749" s="15"/>
    </row>
    <row r="750" ht="14.25" customHeight="1">
      <c r="Q750" s="15"/>
    </row>
    <row r="751" ht="14.25" customHeight="1">
      <c r="Q751" s="15"/>
    </row>
    <row r="752" ht="14.25" customHeight="1">
      <c r="Q752" s="15"/>
    </row>
    <row r="753" ht="14.25" customHeight="1">
      <c r="Q753" s="15"/>
    </row>
    <row r="754" ht="14.25" customHeight="1">
      <c r="Q754" s="15"/>
    </row>
    <row r="755" ht="14.25" customHeight="1">
      <c r="Q755" s="15"/>
    </row>
    <row r="756" ht="14.25" customHeight="1">
      <c r="Q756" s="15"/>
    </row>
    <row r="757" ht="14.25" customHeight="1">
      <c r="Q757" s="15"/>
    </row>
    <row r="758" ht="14.25" customHeight="1">
      <c r="Q758" s="15"/>
    </row>
    <row r="759" ht="14.25" customHeight="1">
      <c r="Q759" s="15"/>
    </row>
    <row r="760" ht="14.25" customHeight="1">
      <c r="Q760" s="15"/>
    </row>
    <row r="761" ht="14.25" customHeight="1">
      <c r="Q761" s="15"/>
    </row>
    <row r="762" ht="14.25" customHeight="1">
      <c r="Q762" s="15"/>
    </row>
    <row r="763" ht="14.25" customHeight="1">
      <c r="Q763" s="15"/>
    </row>
    <row r="764" ht="14.25" customHeight="1">
      <c r="Q764" s="15"/>
    </row>
    <row r="765" ht="14.25" customHeight="1">
      <c r="Q765" s="15"/>
    </row>
    <row r="766" ht="14.25" customHeight="1">
      <c r="Q766" s="15"/>
    </row>
    <row r="767" ht="14.25" customHeight="1">
      <c r="Q767" s="15"/>
    </row>
    <row r="768" ht="14.25" customHeight="1">
      <c r="Q768" s="15"/>
    </row>
    <row r="769" ht="14.25" customHeight="1">
      <c r="Q769" s="15"/>
    </row>
    <row r="770" ht="14.25" customHeight="1">
      <c r="Q770" s="15"/>
    </row>
    <row r="771" ht="14.25" customHeight="1">
      <c r="Q771" s="15"/>
    </row>
    <row r="772" ht="14.25" customHeight="1">
      <c r="Q772" s="15"/>
    </row>
    <row r="773" ht="14.25" customHeight="1">
      <c r="Q773" s="15"/>
    </row>
    <row r="774" ht="14.25" customHeight="1">
      <c r="Q774" s="15"/>
    </row>
    <row r="775" ht="14.25" customHeight="1">
      <c r="Q775" s="15"/>
    </row>
    <row r="776" ht="14.25" customHeight="1">
      <c r="Q776" s="15"/>
    </row>
    <row r="777" ht="14.25" customHeight="1">
      <c r="Q777" s="15"/>
    </row>
    <row r="778" ht="14.25" customHeight="1">
      <c r="Q778" s="15"/>
    </row>
    <row r="779" ht="14.25" customHeight="1">
      <c r="Q779" s="15"/>
    </row>
    <row r="780" ht="14.25" customHeight="1">
      <c r="Q780" s="15"/>
    </row>
    <row r="781" ht="14.25" customHeight="1">
      <c r="Q781" s="15"/>
    </row>
    <row r="782" ht="14.25" customHeight="1">
      <c r="Q782" s="15"/>
    </row>
    <row r="783" ht="14.25" customHeight="1">
      <c r="Q783" s="15"/>
    </row>
    <row r="784" ht="14.25" customHeight="1">
      <c r="Q784" s="15"/>
    </row>
    <row r="785" ht="14.25" customHeight="1">
      <c r="Q785" s="15"/>
    </row>
    <row r="786" ht="14.25" customHeight="1">
      <c r="Q786" s="15"/>
    </row>
    <row r="787" ht="14.25" customHeight="1">
      <c r="Q787" s="15"/>
    </row>
    <row r="788" ht="14.25" customHeight="1">
      <c r="Q788" s="15"/>
    </row>
    <row r="789" ht="14.25" customHeight="1">
      <c r="Q789" s="15"/>
    </row>
    <row r="790" ht="14.25" customHeight="1">
      <c r="Q790" s="15"/>
    </row>
    <row r="791" ht="14.25" customHeight="1">
      <c r="Q791" s="15"/>
    </row>
    <row r="792" ht="14.25" customHeight="1">
      <c r="Q792" s="15"/>
    </row>
    <row r="793" ht="14.25" customHeight="1">
      <c r="Q793" s="15"/>
    </row>
    <row r="794" ht="14.25" customHeight="1">
      <c r="Q794" s="15"/>
    </row>
    <row r="795" ht="14.25" customHeight="1">
      <c r="Q795" s="15"/>
    </row>
    <row r="796" ht="14.25" customHeight="1">
      <c r="Q796" s="15"/>
    </row>
    <row r="797" ht="14.25" customHeight="1">
      <c r="Q797" s="15"/>
    </row>
    <row r="798" ht="14.25" customHeight="1">
      <c r="Q798" s="15"/>
    </row>
    <row r="799" ht="14.25" customHeight="1">
      <c r="Q799" s="15"/>
    </row>
    <row r="800" ht="14.25" customHeight="1">
      <c r="Q800" s="15"/>
    </row>
    <row r="801" ht="14.25" customHeight="1">
      <c r="Q801" s="15"/>
    </row>
    <row r="802" ht="14.25" customHeight="1">
      <c r="Q802" s="15"/>
    </row>
    <row r="803" ht="14.25" customHeight="1">
      <c r="Q803" s="15"/>
    </row>
    <row r="804" ht="14.25" customHeight="1">
      <c r="Q804" s="15"/>
    </row>
    <row r="805" ht="14.25" customHeight="1">
      <c r="Q805" s="15"/>
    </row>
    <row r="806" ht="14.25" customHeight="1">
      <c r="Q806" s="15"/>
    </row>
    <row r="807" ht="14.25" customHeight="1">
      <c r="Q807" s="15"/>
    </row>
    <row r="808" ht="14.25" customHeight="1">
      <c r="Q808" s="15"/>
    </row>
    <row r="809" ht="14.25" customHeight="1">
      <c r="Q809" s="15"/>
    </row>
    <row r="810" ht="14.25" customHeight="1">
      <c r="Q810" s="15"/>
    </row>
    <row r="811" ht="14.25" customHeight="1">
      <c r="Q811" s="15"/>
    </row>
    <row r="812" ht="14.25" customHeight="1">
      <c r="Q812" s="15"/>
    </row>
    <row r="813" ht="14.25" customHeight="1">
      <c r="Q813" s="15"/>
    </row>
    <row r="814" ht="14.25" customHeight="1">
      <c r="Q814" s="15"/>
    </row>
    <row r="815" ht="14.25" customHeight="1">
      <c r="Q815" s="15"/>
    </row>
    <row r="816" ht="14.25" customHeight="1">
      <c r="Q816" s="15"/>
    </row>
    <row r="817" ht="14.25" customHeight="1">
      <c r="Q817" s="15"/>
    </row>
    <row r="818" ht="14.25" customHeight="1">
      <c r="Q818" s="15"/>
    </row>
    <row r="819" ht="14.25" customHeight="1">
      <c r="Q819" s="15"/>
    </row>
    <row r="820" ht="14.25" customHeight="1">
      <c r="Q820" s="15"/>
    </row>
    <row r="821" ht="14.25" customHeight="1">
      <c r="Q821" s="15"/>
    </row>
    <row r="822" ht="14.25" customHeight="1">
      <c r="Q822" s="15"/>
    </row>
    <row r="823" ht="14.25" customHeight="1">
      <c r="Q823" s="15"/>
    </row>
    <row r="824" ht="14.25" customHeight="1">
      <c r="Q824" s="15"/>
    </row>
    <row r="825" ht="14.25" customHeight="1">
      <c r="Q825" s="15"/>
    </row>
    <row r="826" ht="14.25" customHeight="1">
      <c r="Q826" s="15"/>
    </row>
    <row r="827" ht="14.25" customHeight="1">
      <c r="Q827" s="15"/>
    </row>
    <row r="828" ht="14.25" customHeight="1">
      <c r="Q828" s="15"/>
    </row>
    <row r="829" ht="14.25" customHeight="1">
      <c r="Q829" s="15"/>
    </row>
    <row r="830" ht="14.25" customHeight="1">
      <c r="Q830" s="15"/>
    </row>
    <row r="831" ht="14.25" customHeight="1">
      <c r="Q831" s="15"/>
    </row>
    <row r="832" ht="14.25" customHeight="1">
      <c r="Q832" s="15"/>
    </row>
    <row r="833" ht="14.25" customHeight="1">
      <c r="Q833" s="15"/>
    </row>
    <row r="834" ht="14.25" customHeight="1">
      <c r="Q834" s="15"/>
    </row>
    <row r="835" ht="14.25" customHeight="1">
      <c r="Q835" s="15"/>
    </row>
    <row r="836" ht="14.25" customHeight="1">
      <c r="Q836" s="15"/>
    </row>
    <row r="837" ht="14.25" customHeight="1">
      <c r="Q837" s="15"/>
    </row>
    <row r="838" ht="14.25" customHeight="1">
      <c r="Q838" s="15"/>
    </row>
    <row r="839" ht="14.25" customHeight="1">
      <c r="Q839" s="15"/>
    </row>
    <row r="840" ht="14.25" customHeight="1">
      <c r="Q840" s="15"/>
    </row>
    <row r="841" ht="14.25" customHeight="1">
      <c r="Q841" s="15"/>
    </row>
    <row r="842" ht="14.25" customHeight="1">
      <c r="Q842" s="15"/>
    </row>
    <row r="843" ht="14.25" customHeight="1">
      <c r="Q843" s="15"/>
    </row>
    <row r="844" ht="14.25" customHeight="1">
      <c r="Q844" s="15"/>
    </row>
    <row r="845" ht="14.25" customHeight="1">
      <c r="Q845" s="15"/>
    </row>
    <row r="846" ht="14.25" customHeight="1">
      <c r="Q846" s="15"/>
    </row>
    <row r="847" ht="14.25" customHeight="1">
      <c r="Q847" s="15"/>
    </row>
    <row r="848" ht="14.25" customHeight="1">
      <c r="Q848" s="15"/>
    </row>
    <row r="849" ht="14.25" customHeight="1">
      <c r="Q849" s="15"/>
    </row>
    <row r="850" ht="14.25" customHeight="1">
      <c r="Q850" s="15"/>
    </row>
    <row r="851" ht="14.25" customHeight="1">
      <c r="Q851" s="15"/>
    </row>
    <row r="852" ht="14.25" customHeight="1">
      <c r="Q852" s="15"/>
    </row>
    <row r="853" ht="14.25" customHeight="1">
      <c r="Q853" s="15"/>
    </row>
    <row r="854" ht="14.25" customHeight="1">
      <c r="Q854" s="15"/>
    </row>
    <row r="855" ht="14.25" customHeight="1">
      <c r="Q855" s="15"/>
    </row>
    <row r="856" ht="14.25" customHeight="1">
      <c r="Q856" s="15"/>
    </row>
    <row r="857" ht="14.25" customHeight="1">
      <c r="Q857" s="15"/>
    </row>
    <row r="858" ht="14.25" customHeight="1">
      <c r="Q858" s="15"/>
    </row>
    <row r="859" ht="14.25" customHeight="1">
      <c r="Q859" s="15"/>
    </row>
    <row r="860" ht="14.25" customHeight="1">
      <c r="Q860" s="15"/>
    </row>
    <row r="861" ht="14.25" customHeight="1">
      <c r="Q861" s="15"/>
    </row>
    <row r="862" ht="14.25" customHeight="1">
      <c r="Q862" s="15"/>
    </row>
    <row r="863" ht="14.25" customHeight="1">
      <c r="Q863" s="15"/>
    </row>
    <row r="864" ht="14.25" customHeight="1">
      <c r="Q864" s="15"/>
    </row>
    <row r="865" ht="14.25" customHeight="1">
      <c r="Q865" s="15"/>
    </row>
    <row r="866" ht="14.25" customHeight="1">
      <c r="Q866" s="15"/>
    </row>
    <row r="867" ht="14.25" customHeight="1">
      <c r="Q867" s="15"/>
    </row>
    <row r="868" ht="14.25" customHeight="1">
      <c r="Q868" s="15"/>
    </row>
    <row r="869" ht="14.25" customHeight="1">
      <c r="Q869" s="15"/>
    </row>
    <row r="870" ht="14.25" customHeight="1">
      <c r="Q870" s="15"/>
    </row>
    <row r="871" ht="14.25" customHeight="1">
      <c r="Q871" s="15"/>
    </row>
    <row r="872" ht="14.25" customHeight="1">
      <c r="Q872" s="15"/>
    </row>
    <row r="873" ht="14.25" customHeight="1">
      <c r="Q873" s="15"/>
    </row>
    <row r="874" ht="14.25" customHeight="1">
      <c r="Q874" s="15"/>
    </row>
    <row r="875" ht="14.25" customHeight="1">
      <c r="Q875" s="15"/>
    </row>
    <row r="876" ht="14.25" customHeight="1">
      <c r="Q876" s="15"/>
    </row>
    <row r="877" ht="14.25" customHeight="1">
      <c r="Q877" s="15"/>
    </row>
    <row r="878" ht="14.25" customHeight="1">
      <c r="Q878" s="15"/>
    </row>
    <row r="879" ht="14.25" customHeight="1">
      <c r="Q879" s="15"/>
    </row>
    <row r="880" ht="14.25" customHeight="1">
      <c r="Q880" s="15"/>
    </row>
    <row r="881" ht="14.25" customHeight="1">
      <c r="Q881" s="15"/>
    </row>
    <row r="882" ht="14.25" customHeight="1">
      <c r="Q882" s="15"/>
    </row>
    <row r="883" ht="14.25" customHeight="1">
      <c r="Q883" s="15"/>
    </row>
    <row r="884" ht="14.25" customHeight="1">
      <c r="Q884" s="15"/>
    </row>
    <row r="885" ht="14.25" customHeight="1">
      <c r="Q885" s="15"/>
    </row>
    <row r="886" ht="14.25" customHeight="1">
      <c r="Q886" s="15"/>
    </row>
    <row r="887" ht="14.25" customHeight="1">
      <c r="Q887" s="15"/>
    </row>
    <row r="888" ht="14.25" customHeight="1">
      <c r="Q888" s="15"/>
    </row>
    <row r="889" ht="14.25" customHeight="1">
      <c r="Q889" s="15"/>
    </row>
    <row r="890" ht="14.25" customHeight="1">
      <c r="Q890" s="15"/>
    </row>
    <row r="891" ht="14.25" customHeight="1">
      <c r="Q891" s="15"/>
    </row>
    <row r="892" ht="14.25" customHeight="1">
      <c r="Q892" s="15"/>
    </row>
    <row r="893" ht="14.25" customHeight="1">
      <c r="Q893" s="15"/>
    </row>
    <row r="894" ht="14.25" customHeight="1">
      <c r="Q894" s="15"/>
    </row>
    <row r="895" ht="14.25" customHeight="1">
      <c r="Q895" s="15"/>
    </row>
    <row r="896" ht="14.25" customHeight="1">
      <c r="Q896" s="15"/>
    </row>
    <row r="897" ht="14.25" customHeight="1">
      <c r="Q897" s="15"/>
    </row>
    <row r="898" ht="14.25" customHeight="1">
      <c r="Q898" s="15"/>
    </row>
    <row r="899" ht="14.25" customHeight="1">
      <c r="Q899" s="15"/>
    </row>
    <row r="900" ht="14.25" customHeight="1">
      <c r="Q900" s="15"/>
    </row>
    <row r="901" ht="14.25" customHeight="1">
      <c r="Q901" s="15"/>
    </row>
    <row r="902" ht="14.25" customHeight="1">
      <c r="Q902" s="15"/>
    </row>
    <row r="903" ht="14.25" customHeight="1">
      <c r="Q903" s="15"/>
    </row>
    <row r="904" ht="14.25" customHeight="1">
      <c r="Q904" s="15"/>
    </row>
    <row r="905" ht="14.25" customHeight="1">
      <c r="Q905" s="15"/>
    </row>
    <row r="906" ht="14.25" customHeight="1">
      <c r="Q906" s="15"/>
    </row>
    <row r="907" ht="14.25" customHeight="1">
      <c r="Q907" s="15"/>
    </row>
    <row r="908" ht="14.25" customHeight="1">
      <c r="Q908" s="15"/>
    </row>
    <row r="909" ht="14.25" customHeight="1">
      <c r="Q909" s="15"/>
    </row>
    <row r="910" ht="14.25" customHeight="1">
      <c r="Q910" s="15"/>
    </row>
    <row r="911" ht="14.25" customHeight="1">
      <c r="Q911" s="15"/>
    </row>
    <row r="912" ht="14.25" customHeight="1">
      <c r="Q912" s="15"/>
    </row>
    <row r="913" ht="14.25" customHeight="1">
      <c r="Q913" s="15"/>
    </row>
    <row r="914" ht="14.25" customHeight="1">
      <c r="Q914" s="15"/>
    </row>
    <row r="915" ht="14.25" customHeight="1">
      <c r="Q915" s="15"/>
    </row>
    <row r="916" ht="14.25" customHeight="1">
      <c r="Q916" s="15"/>
    </row>
    <row r="917" ht="14.25" customHeight="1">
      <c r="Q917" s="15"/>
    </row>
    <row r="918" ht="14.25" customHeight="1">
      <c r="Q918" s="15"/>
    </row>
    <row r="919" ht="14.25" customHeight="1">
      <c r="Q919" s="15"/>
    </row>
    <row r="920" ht="14.25" customHeight="1">
      <c r="Q920" s="15"/>
    </row>
    <row r="921" ht="14.25" customHeight="1">
      <c r="Q921" s="15"/>
    </row>
    <row r="922" ht="14.25" customHeight="1">
      <c r="Q922" s="15"/>
    </row>
    <row r="923" ht="14.25" customHeight="1">
      <c r="Q923" s="15"/>
    </row>
    <row r="924" ht="14.25" customHeight="1">
      <c r="Q924" s="15"/>
    </row>
    <row r="925" ht="14.25" customHeight="1">
      <c r="Q925" s="15"/>
    </row>
    <row r="926" ht="14.25" customHeight="1">
      <c r="Q926" s="15"/>
    </row>
    <row r="927" ht="14.25" customHeight="1">
      <c r="Q927" s="15"/>
    </row>
    <row r="928" ht="14.25" customHeight="1">
      <c r="Q928" s="15"/>
    </row>
    <row r="929" ht="14.25" customHeight="1">
      <c r="Q929" s="15"/>
    </row>
    <row r="930" ht="14.25" customHeight="1">
      <c r="Q930" s="15"/>
    </row>
    <row r="931" ht="14.25" customHeight="1">
      <c r="Q931" s="15"/>
    </row>
    <row r="932" ht="14.25" customHeight="1">
      <c r="Q932" s="15"/>
    </row>
    <row r="933" ht="14.25" customHeight="1">
      <c r="Q933" s="15"/>
    </row>
    <row r="934" ht="14.25" customHeight="1">
      <c r="Q934" s="15"/>
    </row>
    <row r="935" ht="14.25" customHeight="1">
      <c r="Q935" s="15"/>
    </row>
    <row r="936" ht="14.25" customHeight="1">
      <c r="Q936" s="15"/>
    </row>
    <row r="937" ht="14.25" customHeight="1">
      <c r="Q937" s="15"/>
    </row>
    <row r="938" ht="14.25" customHeight="1">
      <c r="Q938" s="15"/>
    </row>
    <row r="939" ht="14.25" customHeight="1">
      <c r="Q939" s="15"/>
    </row>
    <row r="940" ht="14.25" customHeight="1">
      <c r="Q940" s="15"/>
    </row>
    <row r="941" ht="14.25" customHeight="1">
      <c r="Q941" s="15"/>
    </row>
    <row r="942" ht="14.25" customHeight="1">
      <c r="Q942" s="15"/>
    </row>
    <row r="943" ht="14.25" customHeight="1">
      <c r="Q943" s="15"/>
    </row>
    <row r="944" ht="14.25" customHeight="1">
      <c r="Q944" s="15"/>
    </row>
    <row r="945" ht="14.25" customHeight="1">
      <c r="Q945" s="15"/>
    </row>
    <row r="946" ht="14.25" customHeight="1">
      <c r="Q946" s="15"/>
    </row>
    <row r="947" ht="14.25" customHeight="1">
      <c r="Q947" s="15"/>
    </row>
    <row r="948" ht="14.25" customHeight="1">
      <c r="Q948" s="15"/>
    </row>
    <row r="949" ht="14.25" customHeight="1">
      <c r="Q949" s="15"/>
    </row>
    <row r="950" ht="14.25" customHeight="1">
      <c r="Q950" s="15"/>
    </row>
    <row r="951" ht="14.25" customHeight="1">
      <c r="Q951" s="15"/>
    </row>
    <row r="952" ht="14.25" customHeight="1">
      <c r="Q952" s="15"/>
    </row>
    <row r="953" ht="14.25" customHeight="1">
      <c r="Q953" s="15"/>
    </row>
    <row r="954" ht="14.25" customHeight="1">
      <c r="Q954" s="15"/>
    </row>
    <row r="955" ht="14.25" customHeight="1">
      <c r="Q955" s="15"/>
    </row>
    <row r="956" ht="14.25" customHeight="1">
      <c r="Q956" s="15"/>
    </row>
    <row r="957" ht="14.25" customHeight="1">
      <c r="Q957" s="15"/>
    </row>
    <row r="958" ht="14.25" customHeight="1">
      <c r="Q958" s="15"/>
    </row>
    <row r="959" ht="14.25" customHeight="1">
      <c r="Q959" s="15"/>
    </row>
    <row r="960" ht="14.25" customHeight="1">
      <c r="Q960" s="15"/>
    </row>
    <row r="961" ht="14.25" customHeight="1">
      <c r="Q961" s="15"/>
    </row>
    <row r="962" ht="14.25" customHeight="1">
      <c r="Q962" s="15"/>
    </row>
    <row r="963" ht="14.25" customHeight="1">
      <c r="Q963" s="15"/>
    </row>
    <row r="964" ht="14.25" customHeight="1">
      <c r="Q964" s="15"/>
    </row>
    <row r="965" ht="14.25" customHeight="1">
      <c r="Q965" s="15"/>
    </row>
    <row r="966" ht="14.25" customHeight="1">
      <c r="Q966" s="15"/>
    </row>
    <row r="967" ht="14.25" customHeight="1">
      <c r="Q967" s="15"/>
    </row>
    <row r="968" ht="14.25" customHeight="1">
      <c r="Q968" s="15"/>
    </row>
    <row r="969" ht="14.25" customHeight="1">
      <c r="Q969" s="15"/>
    </row>
    <row r="970" ht="14.25" customHeight="1">
      <c r="Q970" s="15"/>
    </row>
    <row r="971" ht="14.25" customHeight="1">
      <c r="Q971" s="15"/>
    </row>
    <row r="972" ht="14.25" customHeight="1">
      <c r="Q972" s="15"/>
    </row>
    <row r="973" ht="14.25" customHeight="1">
      <c r="Q973" s="15"/>
    </row>
    <row r="974" ht="14.25" customHeight="1">
      <c r="Q974" s="15"/>
    </row>
    <row r="975" ht="14.25" customHeight="1">
      <c r="Q975" s="15"/>
    </row>
    <row r="976" ht="14.25" customHeight="1">
      <c r="Q976" s="15"/>
    </row>
    <row r="977" ht="14.25" customHeight="1">
      <c r="Q977" s="15"/>
    </row>
    <row r="978" ht="14.25" customHeight="1">
      <c r="Q978" s="15"/>
    </row>
    <row r="979" ht="14.25" customHeight="1">
      <c r="Q979" s="15"/>
    </row>
    <row r="980" ht="14.25" customHeight="1">
      <c r="Q980" s="15"/>
    </row>
    <row r="981" ht="14.25" customHeight="1">
      <c r="Q981" s="15"/>
    </row>
    <row r="982" ht="14.25" customHeight="1">
      <c r="Q982" s="15"/>
    </row>
    <row r="983" ht="14.25" customHeight="1">
      <c r="Q983" s="15"/>
    </row>
    <row r="984" ht="14.25" customHeight="1">
      <c r="Q984" s="15"/>
    </row>
    <row r="985" ht="14.25" customHeight="1">
      <c r="Q985" s="15"/>
    </row>
    <row r="986" ht="14.25" customHeight="1">
      <c r="Q986" s="15"/>
    </row>
    <row r="987" ht="14.25" customHeight="1">
      <c r="Q987" s="15"/>
    </row>
    <row r="988" ht="14.25" customHeight="1">
      <c r="Q988" s="15"/>
    </row>
    <row r="989" ht="14.25" customHeight="1">
      <c r="Q989" s="15"/>
    </row>
    <row r="990" ht="14.25" customHeight="1">
      <c r="Q990" s="15"/>
    </row>
    <row r="991" ht="14.25" customHeight="1">
      <c r="Q991" s="15"/>
    </row>
    <row r="992" ht="14.25" customHeight="1">
      <c r="Q992" s="15"/>
    </row>
    <row r="993" ht="14.25" customHeight="1">
      <c r="Q993" s="15"/>
    </row>
    <row r="994" ht="14.25" customHeight="1">
      <c r="Q994" s="15"/>
    </row>
    <row r="995" ht="14.25" customHeight="1">
      <c r="Q995" s="15"/>
    </row>
    <row r="996" ht="14.25" customHeight="1">
      <c r="Q996" s="15"/>
    </row>
    <row r="997" ht="14.25" customHeight="1">
      <c r="Q997" s="15"/>
    </row>
    <row r="998" ht="14.25" customHeight="1">
      <c r="Q998" s="15"/>
    </row>
    <row r="999" ht="14.25" customHeight="1">
      <c r="Q999" s="15"/>
    </row>
    <row r="1000" ht="14.25" customHeight="1">
      <c r="Q1000" s="15"/>
    </row>
    <row r="1001" ht="14.25" customHeight="1">
      <c r="Q1001" s="15"/>
    </row>
    <row r="1002" ht="14.25" customHeight="1">
      <c r="Q1002" s="15"/>
    </row>
  </sheetData>
  <autoFilter ref="$A$1:$AA$88">
    <sortState ref="A1:AA88">
      <sortCondition descending="1" ref="T1:T88"/>
      <sortCondition ref="B1:B88"/>
      <sortCondition descending="1" ref="W1:W88"/>
    </sortState>
  </autoFilter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4.25" customHeight="1">
      <c r="A1" s="14" t="s">
        <v>1226</v>
      </c>
      <c r="B1" s="14" t="s">
        <v>1664</v>
      </c>
      <c r="C1" s="14" t="s">
        <v>1665</v>
      </c>
    </row>
    <row r="2" ht="14.25" customHeight="1">
      <c r="A2" s="14" t="s">
        <v>132</v>
      </c>
      <c r="B2" s="14" t="s">
        <v>1666</v>
      </c>
      <c r="C2" s="14">
        <v>0.95</v>
      </c>
    </row>
    <row r="3" ht="14.25" customHeight="1">
      <c r="A3" s="14" t="s">
        <v>147</v>
      </c>
      <c r="B3" s="14" t="s">
        <v>1666</v>
      </c>
      <c r="C3" s="14">
        <v>0.95</v>
      </c>
    </row>
    <row r="4" ht="14.25" customHeight="1">
      <c r="A4" s="14" t="s">
        <v>117</v>
      </c>
      <c r="B4" s="14" t="s">
        <v>1666</v>
      </c>
      <c r="C4" s="14">
        <v>0.95</v>
      </c>
    </row>
    <row r="5" ht="14.25" customHeight="1">
      <c r="A5" s="14" t="s">
        <v>158</v>
      </c>
      <c r="B5" s="14" t="s">
        <v>1666</v>
      </c>
      <c r="C5" s="14">
        <v>0.95</v>
      </c>
    </row>
    <row r="6" ht="14.25" customHeight="1">
      <c r="A6" s="14" t="s">
        <v>144</v>
      </c>
      <c r="B6" s="14" t="s">
        <v>1666</v>
      </c>
      <c r="C6" s="14">
        <v>0.95</v>
      </c>
    </row>
    <row r="7" ht="14.25" customHeight="1">
      <c r="A7" s="14" t="s">
        <v>506</v>
      </c>
      <c r="B7" s="14" t="s">
        <v>1666</v>
      </c>
      <c r="C7" s="14">
        <v>0.95</v>
      </c>
    </row>
    <row r="8" ht="14.25" customHeight="1">
      <c r="A8" s="14" t="s">
        <v>172</v>
      </c>
      <c r="B8" s="14" t="s">
        <v>1667</v>
      </c>
      <c r="C8" s="14">
        <v>0.9</v>
      </c>
    </row>
    <row r="9" ht="14.25" customHeight="1">
      <c r="A9" s="14" t="s">
        <v>179</v>
      </c>
      <c r="B9" s="14" t="s">
        <v>1667</v>
      </c>
      <c r="C9" s="14">
        <v>0.9</v>
      </c>
    </row>
    <row r="10" ht="14.25" customHeight="1">
      <c r="A10" s="14" t="s">
        <v>105</v>
      </c>
      <c r="B10" s="14" t="s">
        <v>1667</v>
      </c>
      <c r="C10" s="14">
        <v>0.9</v>
      </c>
    </row>
    <row r="11" ht="14.25" customHeight="1">
      <c r="A11" s="14" t="s">
        <v>189</v>
      </c>
      <c r="B11" s="14" t="s">
        <v>1667</v>
      </c>
      <c r="C11" s="14">
        <v>0.9</v>
      </c>
    </row>
    <row r="12" ht="14.25" customHeight="1">
      <c r="A12" s="14" t="s">
        <v>127</v>
      </c>
      <c r="B12" s="14" t="s">
        <v>1667</v>
      </c>
      <c r="C12" s="14">
        <v>0.9</v>
      </c>
    </row>
    <row r="13" ht="14.25" customHeight="1">
      <c r="A13" s="14" t="s">
        <v>155</v>
      </c>
      <c r="B13" s="14" t="s">
        <v>1667</v>
      </c>
      <c r="C13" s="14">
        <v>0.9</v>
      </c>
    </row>
    <row r="14" ht="14.25" customHeight="1">
      <c r="A14" s="14" t="s">
        <v>121</v>
      </c>
      <c r="B14" s="14" t="s">
        <v>1667</v>
      </c>
      <c r="C14" s="14">
        <v>0.9</v>
      </c>
    </row>
    <row r="15" ht="14.25" customHeight="1">
      <c r="A15" s="14" t="s">
        <v>124</v>
      </c>
      <c r="B15" s="14" t="s">
        <v>1667</v>
      </c>
      <c r="C15" s="14">
        <v>0.9</v>
      </c>
    </row>
    <row r="16" ht="14.25" customHeight="1">
      <c r="A16" s="14" t="s">
        <v>114</v>
      </c>
      <c r="B16" s="14" t="s">
        <v>1667</v>
      </c>
      <c r="C16" s="14">
        <v>0.9</v>
      </c>
    </row>
    <row r="17" ht="14.25" customHeight="1">
      <c r="A17" s="14" t="s">
        <v>102</v>
      </c>
      <c r="B17" s="14" t="s">
        <v>1667</v>
      </c>
      <c r="C17" s="14">
        <v>0.9</v>
      </c>
    </row>
    <row r="18" ht="14.25" customHeight="1">
      <c r="A18" s="14" t="s">
        <v>138</v>
      </c>
      <c r="B18" s="14" t="s">
        <v>1667</v>
      </c>
      <c r="C18" s="14">
        <v>0.9</v>
      </c>
    </row>
    <row r="19" ht="14.25" customHeight="1">
      <c r="A19" s="14" t="s">
        <v>210</v>
      </c>
      <c r="B19" s="14" t="s">
        <v>1667</v>
      </c>
      <c r="C19" s="14">
        <v>0.9</v>
      </c>
    </row>
    <row r="20" ht="14.25" customHeight="1">
      <c r="A20" s="14" t="s">
        <v>243</v>
      </c>
      <c r="B20" s="14" t="s">
        <v>1667</v>
      </c>
      <c r="C20" s="14">
        <v>0.9</v>
      </c>
    </row>
    <row r="21" ht="14.25" customHeight="1">
      <c r="A21" s="14" t="s">
        <v>220</v>
      </c>
      <c r="B21" s="14" t="s">
        <v>1668</v>
      </c>
      <c r="C21" s="14">
        <v>1.0</v>
      </c>
    </row>
    <row r="22" ht="14.25" customHeight="1">
      <c r="A22" s="14" t="s">
        <v>135</v>
      </c>
      <c r="B22" s="14" t="s">
        <v>1668</v>
      </c>
      <c r="C22" s="14">
        <v>1.0</v>
      </c>
    </row>
    <row r="23" ht="14.25" customHeight="1">
      <c r="A23" s="14" t="s">
        <v>99</v>
      </c>
      <c r="B23" s="14" t="s">
        <v>1668</v>
      </c>
      <c r="C23" s="14">
        <v>1.0</v>
      </c>
    </row>
    <row r="24" ht="14.25" customHeight="1">
      <c r="A24" s="14" t="s">
        <v>108</v>
      </c>
      <c r="B24" s="14" t="s">
        <v>1668</v>
      </c>
      <c r="C24" s="14">
        <v>1.0</v>
      </c>
    </row>
    <row r="25" ht="14.25" customHeight="1">
      <c r="A25" s="14" t="s">
        <v>182</v>
      </c>
      <c r="B25" s="14" t="s">
        <v>1668</v>
      </c>
      <c r="C25" s="14">
        <v>1.0</v>
      </c>
    </row>
    <row r="26" ht="14.25" customHeight="1">
      <c r="A26" s="16" t="s">
        <v>111</v>
      </c>
      <c r="B26" s="16" t="s">
        <v>1669</v>
      </c>
      <c r="C26" s="16">
        <v>0.85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2025-10-29T23:47:54Z</dcterms:created>
  <dc:creator>adithya prabakaran</dc:creator>
</cp:coreProperties>
</file>